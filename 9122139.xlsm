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295" windowHeight="8535" tabRatio="615" firstSheet="1" activeTab="1"/>
  </bookViews>
  <sheets>
    <sheet name="PE" sheetId="1" state="hidden" r:id="rId1"/>
    <sheet name="Sheet2" sheetId="2" r:id="rId2"/>
    <sheet name="mg" sheetId="3" state="hidden" r:id="rId3"/>
    <sheet name="Chart1" sheetId="4" state="hidden" r:id="rId4"/>
    <sheet name="Sheet1" sheetId="5" r:id="rId5"/>
    <sheet name="bkNogg" sheetId="6" state="hidden" r:id="rId6"/>
    <sheet name="2016-02-16" sheetId="7" r:id="rId7"/>
    <sheet name="有差距" sheetId="8" r:id="rId8"/>
    <sheet name="mine" sheetId="9" r:id="rId9"/>
    <sheet name="点子评估" sheetId="10" r:id="rId10"/>
    <sheet name="static" sheetId="11" r:id="rId11"/>
    <sheet name="newadd" sheetId="12" state="hidden" r:id="rId12"/>
    <sheet name="newadd2" sheetId="13" state="hidden" r:id="rId13"/>
    <sheet name="newadd3" sheetId="14" state="hidden" r:id="rId14"/>
    <sheet name="all" sheetId="15" state="hidden" r:id="rId15"/>
    <sheet name="newadd4" sheetId="16" state="hidden" r:id="rId16"/>
  </sheets>
  <definedNames>
    <definedName name="_xlnm._FilterDatabase" localSheetId="1" hidden="1">Sheet2!$A$1:$AE$665</definedName>
    <definedName name="_xlnm._FilterDatabase" localSheetId="6" hidden="1">'2016-02-16'!$A$1:$R$410</definedName>
    <definedName name="_xlnm._FilterDatabase" localSheetId="11" hidden="1">newadd!$A$1:$K$69</definedName>
    <definedName name="_xlnm._FilterDatabase" localSheetId="13" hidden="1">newadd3!$A$1:$K$33</definedName>
    <definedName name="_xlnm._FilterDatabase" localSheetId="14" hidden="1">all!$A$1:$L$733</definedName>
    <definedName name="_xlnm._FilterDatabase" localSheetId="15" hidden="1">newadd4!$A$1:$M$105</definedName>
    <definedName name="_xlnm._FilterDatabase" localSheetId="2" hidden="1">mg!$A$1:$AD$493</definedName>
    <definedName name="abc" localSheetId="0">PE!$C$2:$N$607</definedName>
    <definedName name="abc2_" localSheetId="6">'2016-02-16'!$A$2:$O$410</definedName>
    <definedName name="abc2_" localSheetId="2">mg!$A$2:$O$408</definedName>
    <definedName name="allInfo." localSheetId="14">all!$A$2:$L$733</definedName>
    <definedName name="newadd25." localSheetId="12">newadd2!$A$1:$J$25</definedName>
    <definedName name="newadd32." localSheetId="13">newadd3!$A$2:$K$33</definedName>
    <definedName name="newadd4" localSheetId="15">newadd4!$A$2:$L$105</definedName>
    <definedName name="newadd68." localSheetId="11">newadd!$A$2:$K$69</definedName>
  </definedNames>
  <calcPr calcId="144525"/>
</workbook>
</file>

<file path=xl/connections.xml><?xml version="1.0" encoding="utf-8"?>
<connections xmlns="http://schemas.openxmlformats.org/spreadsheetml/2006/main">
  <connection id="1" name="abc" type="6" background="1" refreshedVersion="2" saveData="1">
    <textPr sourceFile="C:\abc.txt" space="1" consecutive="1">
      <textFields>
        <textField/>
      </textFields>
    </textPr>
  </connection>
  <connection id="2" name="abc2" type="6" background="1" refreshedVersion="2" saveData="1">
    <textPr sourceFile="C:\abc2.txt" space="1" consecutive="1">
      <textFields>
        <textField/>
      </textFields>
    </textPr>
  </connection>
  <connection id="3" name="abc21" type="6" background="1" refreshedVersion="2" saveData="1">
    <textPr sourceFile="C:\abc2.txt" space="1" consecutive="1">
      <textFields>
        <textField/>
      </textFields>
    </textPr>
  </connection>
  <connection id="4" name="abc22" type="6" background="1" refreshedVersion="2" saveData="1">
    <textPr sourceFile="C:\abc2.txt" space="1" consecutive="1">
      <textFields>
        <textField/>
      </textFields>
    </textPr>
  </connection>
  <connection id="5" name="allInfo" type="6" background="1" refreshedVersion="2" saveData="1">
    <textPr sourceFile="C:\allInfo." space="1" consecutive="1">
      <textFields>
        <textField/>
      </textFields>
    </textPr>
  </connection>
  <connection id="6" name="newadd25" type="6" background="1" refreshedVersion="2" saveData="1">
    <textPr sourceFile="C:\newadd25." space="1" consecutive="1">
      <textFields>
        <textField/>
      </textFields>
    </textPr>
  </connection>
  <connection id="7" name="newadd32" type="6" background="1" refreshedVersion="2" saveData="1">
    <textPr sourceFile="C:\newadd32." space="1" consecutive="1">
      <textFields>
        <textField/>
      </textFields>
    </textPr>
  </connection>
  <connection id="8" name="newadd4" type="6" background="1" refreshedVersion="2" saveData="1">
    <textPr sourceFile="E:\me\wealth\newadd4.txt" space="1" consecutive="1">
      <textFields>
        <textField/>
      </textFields>
    </textPr>
  </connection>
  <connection id="9" name="newadd68" type="6" background="1" refreshedVersion="2" saveData="1">
    <textPr sourceFile="C:\newadd68.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<sst xmlns="http://schemas.openxmlformats.org/spreadsheetml/2006/main" count="1547">
  <si>
    <t>symbol</t>
  </si>
  <si>
    <t>1.21收盘价</t>
  </si>
  <si>
    <t>52周最低</t>
  </si>
  <si>
    <t>最高</t>
  </si>
  <si>
    <t>市值</t>
  </si>
  <si>
    <t>USO</t>
  </si>
  <si>
    <t>石油指数ETF-美国</t>
  </si>
  <si>
    <t>长城汽车</t>
  </si>
  <si>
    <t>SZ002466</t>
  </si>
  <si>
    <t>天齐锂业</t>
  </si>
  <si>
    <t>皓天财经集团</t>
  </si>
  <si>
    <t>SZ002415</t>
  </si>
  <si>
    <t>海康威视</t>
  </si>
  <si>
    <t>玖源集团</t>
  </si>
  <si>
    <t>毅信控股</t>
  </si>
  <si>
    <t>玖龙纸业</t>
  </si>
  <si>
    <t>日东科技</t>
  </si>
  <si>
    <t>坛金矿业</t>
  </si>
  <si>
    <t>至卓国际</t>
  </si>
  <si>
    <t>京西国际</t>
  </si>
  <si>
    <t>新龙移动</t>
  </si>
  <si>
    <t>六福集团</t>
  </si>
  <si>
    <t>施伯乐策略控股</t>
  </si>
  <si>
    <t>福莱特玻璃</t>
  </si>
  <si>
    <t>新福港</t>
  </si>
  <si>
    <t>万辉化工</t>
  </si>
  <si>
    <t>中国能源建设</t>
  </si>
  <si>
    <t>郑州银行</t>
  </si>
  <si>
    <t>中盈盛达融资担保</t>
  </si>
  <si>
    <t>承达集团</t>
  </si>
  <si>
    <t>金斯瑞生物科技</t>
  </si>
  <si>
    <t>智傲控股</t>
  </si>
  <si>
    <t>DTO</t>
  </si>
  <si>
    <t>原油ETF-PowerShares</t>
  </si>
  <si>
    <t>DB两倍做空</t>
  </si>
  <si>
    <t>UCO</t>
  </si>
  <si>
    <t>原油指数ETF-ProShares</t>
  </si>
  <si>
    <t>DJ-UBS两倍做多</t>
  </si>
  <si>
    <t>SPI</t>
  </si>
  <si>
    <t>阳光动力</t>
  </si>
  <si>
    <t>年年卡</t>
  </si>
  <si>
    <t>巨匠建设</t>
  </si>
  <si>
    <t>香港交易所</t>
  </si>
  <si>
    <t>SGXCN</t>
  </si>
  <si>
    <t>新华富时中国A50指数</t>
  </si>
  <si>
    <t>undefined</t>
  </si>
  <si>
    <t>富誉控股</t>
  </si>
  <si>
    <t>保发集团</t>
  </si>
  <si>
    <t>兴达国际</t>
  </si>
  <si>
    <t>宝胜国际</t>
  </si>
  <si>
    <t>中国再生医学</t>
  </si>
  <si>
    <t>SH000010</t>
  </si>
  <si>
    <t>上证180</t>
  </si>
  <si>
    <t>SH000300</t>
  </si>
  <si>
    <t>沪深300</t>
  </si>
  <si>
    <t>SYUT</t>
  </si>
  <si>
    <t>圣元国际</t>
  </si>
  <si>
    <t>中联重科</t>
  </si>
  <si>
    <t>中国生物制药</t>
  </si>
  <si>
    <t>恒生H股ETF</t>
  </si>
  <si>
    <t>飞尚非金属</t>
  </si>
  <si>
    <t>SH510880</t>
  </si>
  <si>
    <t>红利ETF</t>
  </si>
  <si>
    <t>百威国际</t>
  </si>
  <si>
    <t>GSI</t>
  </si>
  <si>
    <t>通用钢铁</t>
  </si>
  <si>
    <t>SH000016</t>
  </si>
  <si>
    <t>上证50</t>
  </si>
  <si>
    <t>耀才证券金融</t>
  </si>
  <si>
    <t>中慧国际控股</t>
  </si>
  <si>
    <t>TP7300124600</t>
  </si>
  <si>
    <t>农行套利通1号</t>
  </si>
  <si>
    <t>中建富通</t>
  </si>
  <si>
    <t>航天控股</t>
  </si>
  <si>
    <t>盈信控股</t>
  </si>
  <si>
    <t>中国新经济投资</t>
  </si>
  <si>
    <t>恒隆地产</t>
  </si>
  <si>
    <t>中国资本</t>
  </si>
  <si>
    <t>中国软实力</t>
  </si>
  <si>
    <t>星美控股</t>
  </si>
  <si>
    <t>宏辉集团</t>
  </si>
  <si>
    <t>统一企业中国</t>
  </si>
  <si>
    <t>闽信集团</t>
  </si>
  <si>
    <t>幸福控股</t>
  </si>
  <si>
    <t>康师傅控股</t>
  </si>
  <si>
    <t>百富环球</t>
  </si>
  <si>
    <t>绿地香港</t>
  </si>
  <si>
    <t>KTL</t>
  </si>
  <si>
    <t>INT'L</t>
  </si>
  <si>
    <t>富通科技</t>
  </si>
  <si>
    <t>中国消防</t>
  </si>
  <si>
    <t>先丰服务集团</t>
  </si>
  <si>
    <t>中国通信服务</t>
  </si>
  <si>
    <t>百信药业</t>
  </si>
  <si>
    <t>中国金融投资管理</t>
  </si>
  <si>
    <t>中国大冶有色金属</t>
  </si>
  <si>
    <t>中泛控股</t>
  </si>
  <si>
    <t>昌兴国际</t>
  </si>
  <si>
    <t>中国水务</t>
  </si>
  <si>
    <t>嘉年华国际</t>
  </si>
  <si>
    <t>桑德国际</t>
  </si>
  <si>
    <t>信义光能</t>
  </si>
  <si>
    <t>华耐控股</t>
  </si>
  <si>
    <t>物美商业</t>
  </si>
  <si>
    <t>粤海制革</t>
  </si>
  <si>
    <t>恒安国际</t>
  </si>
  <si>
    <t>现代牧业</t>
  </si>
  <si>
    <t>顺风清洁能源</t>
  </si>
  <si>
    <t>联想集团</t>
  </si>
  <si>
    <t>汇彩控股</t>
  </si>
  <si>
    <t>广南(集团)</t>
  </si>
  <si>
    <t>卡撒天娇</t>
  </si>
  <si>
    <t>上置集团</t>
  </si>
  <si>
    <t>鑫网易商</t>
  </si>
  <si>
    <t>农业银行</t>
  </si>
  <si>
    <t>香港信贷</t>
  </si>
  <si>
    <t>SH601288</t>
  </si>
  <si>
    <t>先健科技</t>
  </si>
  <si>
    <t>盈进集团</t>
  </si>
  <si>
    <t>高伟电子</t>
  </si>
  <si>
    <t>滴达国际</t>
  </si>
  <si>
    <t>恩达集团控股</t>
  </si>
  <si>
    <t>天洁环境</t>
  </si>
  <si>
    <t>环球信贷集团</t>
  </si>
  <si>
    <t>城建设计</t>
  </si>
  <si>
    <t>广发证券</t>
  </si>
  <si>
    <t>IMAX</t>
  </si>
  <si>
    <t>CHINA</t>
  </si>
  <si>
    <t>中国交通建设</t>
  </si>
  <si>
    <t>晨讯科技</t>
  </si>
  <si>
    <t>锦江酒店</t>
  </si>
  <si>
    <t>中集集团</t>
  </si>
  <si>
    <t>绿叶制药</t>
  </si>
  <si>
    <t>研祥智能</t>
  </si>
  <si>
    <t>海昌海洋公园</t>
  </si>
  <si>
    <t>紫金矿业</t>
  </si>
  <si>
    <t>粤运交通</t>
  </si>
  <si>
    <t>福耀玻璃</t>
  </si>
  <si>
    <t>招商银行</t>
  </si>
  <si>
    <t>中国银行</t>
  </si>
  <si>
    <t>中彩网通控股</t>
  </si>
  <si>
    <t>中国银河</t>
  </si>
  <si>
    <t>环球能源资源</t>
  </si>
  <si>
    <t>宏峰太平洋</t>
  </si>
  <si>
    <t>中国育儿网络</t>
  </si>
  <si>
    <t>天津创业环保股份</t>
  </si>
  <si>
    <t>中国瀛晟娱乐</t>
  </si>
  <si>
    <t>朸濬国际</t>
  </si>
  <si>
    <t>KGJI</t>
  </si>
  <si>
    <t>金凰珠宝</t>
  </si>
  <si>
    <t>DHRM</t>
  </si>
  <si>
    <t>德海尔医疗</t>
  </si>
  <si>
    <t>ZX</t>
  </si>
  <si>
    <t>正兴集团</t>
  </si>
  <si>
    <t>达利食品</t>
  </si>
  <si>
    <t>十方控股</t>
  </si>
  <si>
    <t>GLOBAL</t>
  </si>
  <si>
    <t>TECH</t>
  </si>
  <si>
    <t>F100061</t>
  </si>
  <si>
    <t>富国中国中小盘股票(QDII)</t>
  </si>
  <si>
    <t>长飞光纤光缆</t>
  </si>
  <si>
    <t>天彩控股</t>
  </si>
  <si>
    <t>中建置地</t>
  </si>
  <si>
    <t>海通证券</t>
  </si>
  <si>
    <t>金宝宝控股</t>
  </si>
  <si>
    <t>远东发展</t>
  </si>
  <si>
    <t>华人置业</t>
  </si>
  <si>
    <t>NFEC</t>
  </si>
  <si>
    <t>能发伟业</t>
  </si>
  <si>
    <t>万科置业海外股权</t>
  </si>
  <si>
    <t>万科企业</t>
  </si>
  <si>
    <t>SZ000002</t>
  </si>
  <si>
    <t>万科A</t>
  </si>
  <si>
    <t>万科置业海外</t>
  </si>
  <si>
    <t>中金公司</t>
  </si>
  <si>
    <t>中奥到家</t>
  </si>
  <si>
    <t>康宁医院</t>
  </si>
  <si>
    <t>时代地产</t>
  </si>
  <si>
    <t>云南水务</t>
  </si>
  <si>
    <t>中海船舶</t>
  </si>
  <si>
    <t>浩泽净水</t>
  </si>
  <si>
    <t>万达酒店发展</t>
  </si>
  <si>
    <t>SZ002739</t>
  </si>
  <si>
    <t>万达院线</t>
  </si>
  <si>
    <t>万达商业地产股权</t>
  </si>
  <si>
    <t>中国金茂</t>
  </si>
  <si>
    <t>融创中国</t>
  </si>
  <si>
    <t>中国白银集团</t>
  </si>
  <si>
    <t>SZ000839</t>
  </si>
  <si>
    <t>中信国安</t>
  </si>
  <si>
    <t>SZ300359</t>
  </si>
  <si>
    <t>全通教育</t>
  </si>
  <si>
    <t>拉近网娱</t>
  </si>
  <si>
    <t>泰凌医药</t>
  </si>
  <si>
    <t>JC</t>
  </si>
  <si>
    <t>GROUP</t>
  </si>
  <si>
    <t>HLDG</t>
  </si>
  <si>
    <t>SH601155</t>
  </si>
  <si>
    <t>新城控股</t>
  </si>
  <si>
    <t>中信银行</t>
  </si>
  <si>
    <t>中生北控生物科技</t>
  </si>
  <si>
    <t>新华保险</t>
  </si>
  <si>
    <t>SZ150199</t>
  </si>
  <si>
    <t>食品B</t>
  </si>
  <si>
    <t>HUADA</t>
  </si>
  <si>
    <t>华大基因</t>
  </si>
  <si>
    <t>SH511880</t>
  </si>
  <si>
    <t>银华日利</t>
  </si>
  <si>
    <t>工商银行</t>
  </si>
  <si>
    <t>中集安瑞科</t>
  </si>
  <si>
    <t>中国信达</t>
  </si>
  <si>
    <t>瑞东集团</t>
  </si>
  <si>
    <t>YRD</t>
  </si>
  <si>
    <t>宜人贷</t>
  </si>
  <si>
    <t>智城控股</t>
  </si>
  <si>
    <t>YUGANG</t>
  </si>
  <si>
    <t>广汽集团</t>
  </si>
  <si>
    <t>渝太地产</t>
  </si>
  <si>
    <t>力高地产</t>
  </si>
  <si>
    <t>CRM</t>
  </si>
  <si>
    <t>Salesforce</t>
  </si>
  <si>
    <t>亚美能源</t>
  </si>
  <si>
    <t>绿景中国地产</t>
  </si>
  <si>
    <t>RWLK</t>
  </si>
  <si>
    <t>ReWalk</t>
  </si>
  <si>
    <t>Robotics</t>
  </si>
  <si>
    <t>SZ300251</t>
  </si>
  <si>
    <t>光线传媒</t>
  </si>
  <si>
    <t>SH000015</t>
  </si>
  <si>
    <t>红利指数</t>
  </si>
  <si>
    <t>宝信汽车</t>
  </si>
  <si>
    <t>TCL多媒体</t>
  </si>
  <si>
    <t>SH510900</t>
  </si>
  <si>
    <t>H股ETF</t>
  </si>
  <si>
    <t>超威动力</t>
  </si>
  <si>
    <t>众彩股份</t>
  </si>
  <si>
    <t>灵宝黄金</t>
  </si>
  <si>
    <t>恒芯中国</t>
  </si>
  <si>
    <t>申万宏源</t>
  </si>
  <si>
    <t>GMCR</t>
  </si>
  <si>
    <t>绿山咖啡</t>
  </si>
  <si>
    <t>龙光地产</t>
  </si>
  <si>
    <t>东北虎药业</t>
  </si>
  <si>
    <t>CPHI</t>
  </si>
  <si>
    <t>惠普森医药</t>
  </si>
  <si>
    <t>集一家居</t>
  </si>
  <si>
    <t>TOR</t>
  </si>
  <si>
    <t>森特集团</t>
  </si>
  <si>
    <t>IQIYI</t>
  </si>
  <si>
    <t>爱奇艺</t>
  </si>
  <si>
    <t>星岛</t>
  </si>
  <si>
    <t>中国9号健康</t>
  </si>
  <si>
    <t>ATV</t>
  </si>
  <si>
    <t>橡果国际</t>
  </si>
  <si>
    <t>中国光电控股</t>
  </si>
  <si>
    <t>SZ000526</t>
  </si>
  <si>
    <t>银润投资</t>
  </si>
  <si>
    <t>SH600053</t>
  </si>
  <si>
    <t>九鼎投资</t>
  </si>
  <si>
    <t>BONA</t>
  </si>
  <si>
    <t>博纳影业</t>
  </si>
  <si>
    <t>SZ002049</t>
  </si>
  <si>
    <t>同方国芯</t>
  </si>
  <si>
    <t>STV</t>
  </si>
  <si>
    <t>永新视博</t>
  </si>
  <si>
    <t>SH600647</t>
  </si>
  <si>
    <t>同达创业</t>
  </si>
  <si>
    <t>SZ002027</t>
  </si>
  <si>
    <t>七喜控股</t>
  </si>
  <si>
    <t>SZ002558</t>
  </si>
  <si>
    <t>世纪游轮</t>
  </si>
  <si>
    <t>DJI30</t>
  </si>
  <si>
    <t>道琼斯指数</t>
  </si>
  <si>
    <t>中国电力新能源</t>
  </si>
  <si>
    <t>SQ</t>
  </si>
  <si>
    <t>Square,</t>
  </si>
  <si>
    <t>Inc.</t>
  </si>
  <si>
    <t>家梦控股</t>
  </si>
  <si>
    <t>惠理集团</t>
  </si>
  <si>
    <t>中国创联教育</t>
  </si>
  <si>
    <t>意马国际</t>
  </si>
  <si>
    <t>中海物业</t>
  </si>
  <si>
    <t>神州数码</t>
  </si>
  <si>
    <t>香港教育国际</t>
  </si>
  <si>
    <t>新明中国</t>
  </si>
  <si>
    <t>盈富基金</t>
  </si>
  <si>
    <t>中国再保险</t>
  </si>
  <si>
    <t>中天国际</t>
  </si>
  <si>
    <t>中国3D数码</t>
  </si>
  <si>
    <t>恒投证券</t>
  </si>
  <si>
    <t>中国派对文化</t>
  </si>
  <si>
    <t>丰展控股</t>
  </si>
  <si>
    <t>SZ300033</t>
  </si>
  <si>
    <t>同花顺</t>
  </si>
  <si>
    <t>麦迪森酒业</t>
  </si>
  <si>
    <t>SZ300059</t>
  </si>
  <si>
    <t>东方财富</t>
  </si>
  <si>
    <t>北控水务集团</t>
  </si>
  <si>
    <t>SPY</t>
  </si>
  <si>
    <t>标普500指数ETF-SPDR</t>
  </si>
  <si>
    <t>SZ399006</t>
  </si>
  <si>
    <t>创业板指</t>
  </si>
  <si>
    <t>SOLOMON</t>
  </si>
  <si>
    <t>SYSTECH</t>
  </si>
  <si>
    <t>泛海集团</t>
  </si>
  <si>
    <t>庄园牧场</t>
  </si>
  <si>
    <t>SZ000046</t>
  </si>
  <si>
    <t>泛海控股</t>
  </si>
  <si>
    <t>联合光伏</t>
  </si>
  <si>
    <t>滙能集团</t>
  </si>
  <si>
    <t>光谷联合</t>
  </si>
  <si>
    <t>华宝国际</t>
  </si>
  <si>
    <t>泰邦集团</t>
  </si>
  <si>
    <t>中国财险</t>
  </si>
  <si>
    <t>中国人民保险集团</t>
  </si>
  <si>
    <t>HKHSU</t>
  </si>
  <si>
    <t>恒生公用事业分类</t>
  </si>
  <si>
    <t>SZ159920</t>
  </si>
  <si>
    <t>恒生ETF</t>
  </si>
  <si>
    <t>时间由你</t>
  </si>
  <si>
    <t>中国置业投资</t>
  </si>
  <si>
    <t>应力控股</t>
  </si>
  <si>
    <t>云裳衣</t>
  </si>
  <si>
    <t>优派能源发展</t>
  </si>
  <si>
    <t>EDC</t>
  </si>
  <si>
    <t>新兴市场ETF-Direxion三倍做多</t>
  </si>
  <si>
    <t>CHAU</t>
  </si>
  <si>
    <t>Direxion沪深300两倍做多</t>
  </si>
  <si>
    <t>德莱建业</t>
  </si>
  <si>
    <t>SZ150176</t>
  </si>
  <si>
    <t>H股B</t>
  </si>
  <si>
    <t>XOP</t>
  </si>
  <si>
    <t>油气开采指数ETF-SPDR</t>
  </si>
  <si>
    <t>S&amp;P</t>
  </si>
  <si>
    <t>南南资源</t>
  </si>
  <si>
    <t>超智能控股</t>
  </si>
  <si>
    <t>数字王国</t>
  </si>
  <si>
    <t>中国天化工</t>
  </si>
  <si>
    <t>天马影视</t>
  </si>
  <si>
    <t>立基工程控股</t>
  </si>
  <si>
    <t>中民筑友科技</t>
  </si>
  <si>
    <t>SZ000752</t>
  </si>
  <si>
    <t>西藏发展</t>
  </si>
  <si>
    <t>品牌中国</t>
  </si>
  <si>
    <t>首都金融控股</t>
  </si>
  <si>
    <t>协鑫新能源</t>
  </si>
  <si>
    <t>蜡笔小新食品</t>
  </si>
  <si>
    <t>中国宏桥</t>
  </si>
  <si>
    <t>永嘉集团</t>
  </si>
  <si>
    <t>HKHSCEI</t>
  </si>
  <si>
    <t>国企指数</t>
  </si>
  <si>
    <t>华星控股</t>
  </si>
  <si>
    <t>中国顺客隆</t>
  </si>
  <si>
    <t>楼东俊安资源</t>
  </si>
  <si>
    <t>良斯集团</t>
  </si>
  <si>
    <t>宏基集团控股</t>
  </si>
  <si>
    <t>文化传信</t>
  </si>
  <si>
    <t>先传媒</t>
  </si>
  <si>
    <t>澳门励骏</t>
  </si>
  <si>
    <t>华多利集团</t>
  </si>
  <si>
    <t>北控清洁能源集团</t>
  </si>
  <si>
    <t>环球医疗</t>
  </si>
  <si>
    <t>华泰瑞银</t>
  </si>
  <si>
    <t>中国新城市</t>
  </si>
  <si>
    <t>前进控股集团</t>
  </si>
  <si>
    <t>华富国际</t>
  </si>
  <si>
    <t>千里眼控股</t>
  </si>
  <si>
    <t>新体育</t>
  </si>
  <si>
    <t>MEGAEXPO</t>
  </si>
  <si>
    <t>欢喜传媒</t>
  </si>
  <si>
    <t>PEK</t>
  </si>
  <si>
    <t>中国ETF-Market</t>
  </si>
  <si>
    <t>Vectors</t>
  </si>
  <si>
    <t>富智康集团</t>
  </si>
  <si>
    <t>花样年控股</t>
  </si>
  <si>
    <t>SZ300431</t>
  </si>
  <si>
    <t>暴风科技</t>
  </si>
  <si>
    <t>SZ002385</t>
  </si>
  <si>
    <t>大北农</t>
  </si>
  <si>
    <t>高银金融</t>
  </si>
  <si>
    <t>中播控股</t>
  </si>
  <si>
    <t>高银地产</t>
  </si>
  <si>
    <t>味千(中国)</t>
  </si>
  <si>
    <t>合和公路基建</t>
  </si>
  <si>
    <t>彩星集团</t>
  </si>
  <si>
    <t>御濠娱乐</t>
  </si>
  <si>
    <t>SPDC</t>
  </si>
  <si>
    <t>SPEED</t>
  </si>
  <si>
    <t>COMM</t>
  </si>
  <si>
    <t>INC</t>
  </si>
  <si>
    <t>三生制药</t>
  </si>
  <si>
    <t>QQQ</t>
  </si>
  <si>
    <t>纳斯达克100指数ETF-PowerShares</t>
  </si>
  <si>
    <t>SH</t>
  </si>
  <si>
    <t>标普500指数ETF-ProShares做空</t>
  </si>
  <si>
    <t>CQQQ</t>
  </si>
  <si>
    <t>中国科技指数ETF-Guggenheim</t>
  </si>
  <si>
    <t>YANG</t>
  </si>
  <si>
    <t>Direxion</t>
  </si>
  <si>
    <t>Daily</t>
  </si>
  <si>
    <t>FTSE</t>
  </si>
  <si>
    <t>中国三倍做空</t>
  </si>
  <si>
    <t>XME</t>
  </si>
  <si>
    <t>金属与采矿指数ETF-SPDR</t>
  </si>
  <si>
    <t>IBB</t>
  </si>
  <si>
    <t>生物科技指数ETF-iShares</t>
  </si>
  <si>
    <t>Nasdaq</t>
  </si>
  <si>
    <t>UUP</t>
  </si>
  <si>
    <t>美元ETF-PowerShares</t>
  </si>
  <si>
    <t>DB</t>
  </si>
  <si>
    <t>GPRO</t>
  </si>
  <si>
    <t>GoPro</t>
  </si>
  <si>
    <t>HKVHSI</t>
  </si>
  <si>
    <t>恒指波幅指数</t>
  </si>
  <si>
    <t>FXP</t>
  </si>
  <si>
    <t>中国ETF-ProShares</t>
  </si>
  <si>
    <t>FTSE两倍做空</t>
  </si>
  <si>
    <t>DRN</t>
  </si>
  <si>
    <t>房地产指数ETF-Direxion三倍做多</t>
  </si>
  <si>
    <t>VXX</t>
  </si>
  <si>
    <t>恐慌指数ETF-iPath</t>
  </si>
  <si>
    <t>英裘控股</t>
  </si>
  <si>
    <t>EWH</t>
  </si>
  <si>
    <t>香港ETF-iShares</t>
  </si>
  <si>
    <t>MSCI</t>
  </si>
  <si>
    <t>上海集优</t>
  </si>
  <si>
    <t>威灵控股</t>
  </si>
  <si>
    <t>中国忠旺</t>
  </si>
  <si>
    <t>红星美凯龙</t>
  </si>
  <si>
    <t>BIDU</t>
  </si>
  <si>
    <t>百度</t>
  </si>
  <si>
    <t>北京控股</t>
  </si>
  <si>
    <t>中国电力</t>
  </si>
  <si>
    <t>华能国际电力股份</t>
  </si>
  <si>
    <t>申洲国际</t>
  </si>
  <si>
    <t>新锐医药</t>
  </si>
  <si>
    <t>金卫医疗</t>
  </si>
  <si>
    <t>荟萃国际(控股)</t>
  </si>
  <si>
    <t>中国民生金融</t>
  </si>
  <si>
    <t>恒大健康</t>
  </si>
  <si>
    <t>时富投资</t>
  </si>
  <si>
    <t>DXCM</t>
  </si>
  <si>
    <t>德康医疗</t>
  </si>
  <si>
    <t>UVXY</t>
  </si>
  <si>
    <t>ProShares</t>
  </si>
  <si>
    <t>Ultra</t>
  </si>
  <si>
    <t>VIX</t>
  </si>
  <si>
    <t>Short-Term</t>
  </si>
  <si>
    <t>Futures</t>
  </si>
  <si>
    <t>汇财金融投资</t>
  </si>
  <si>
    <t>中国光大国际</t>
  </si>
  <si>
    <t>SEDG</t>
  </si>
  <si>
    <t>SolarEdge</t>
  </si>
  <si>
    <t>卓高国际</t>
  </si>
  <si>
    <t>JKS</t>
  </si>
  <si>
    <t>晶科能源</t>
  </si>
  <si>
    <t>CSIQ</t>
  </si>
  <si>
    <t>阿特斯太阳能</t>
  </si>
  <si>
    <t>汇盈控股</t>
  </si>
  <si>
    <t>汇丰控股</t>
  </si>
  <si>
    <t>中国心连心化肥</t>
  </si>
  <si>
    <t>恒腾网络</t>
  </si>
  <si>
    <t>中州证券</t>
  </si>
  <si>
    <t>IGG</t>
  </si>
  <si>
    <t>FFCO</t>
  </si>
  <si>
    <t>美联储第一财经</t>
  </si>
  <si>
    <t>东方汇财证券</t>
  </si>
  <si>
    <t>大新银行集团</t>
  </si>
  <si>
    <t>SZ399979</t>
  </si>
  <si>
    <t>大宗商品</t>
  </si>
  <si>
    <t>美克国际</t>
  </si>
  <si>
    <t>安踏体育</t>
  </si>
  <si>
    <t>通达集团</t>
  </si>
  <si>
    <t>中国粮油控股</t>
  </si>
  <si>
    <t>亚洲果业</t>
  </si>
  <si>
    <t>环球数码创意</t>
  </si>
  <si>
    <t>华夏动漫</t>
  </si>
  <si>
    <t>中国信贷</t>
  </si>
  <si>
    <t>华夏医疗</t>
  </si>
  <si>
    <t>同仁堂国药</t>
  </si>
  <si>
    <t>洛阳钼业</t>
  </si>
  <si>
    <t>金山软件</t>
  </si>
  <si>
    <t>威胜集团</t>
  </si>
  <si>
    <t>亨得利</t>
  </si>
  <si>
    <t>天津港发展</t>
  </si>
  <si>
    <t>厦门港务</t>
  </si>
  <si>
    <t>MONGOLMININGRTS</t>
  </si>
  <si>
    <t>安东油田服务</t>
  </si>
  <si>
    <t>上海电气</t>
  </si>
  <si>
    <t>远大中国</t>
  </si>
  <si>
    <t>金邦达宝嘉</t>
  </si>
  <si>
    <t>中银香港</t>
  </si>
  <si>
    <t>康达环保</t>
  </si>
  <si>
    <t>中航科工</t>
  </si>
  <si>
    <t>东瑞制药</t>
  </si>
  <si>
    <t>慧聪网</t>
  </si>
  <si>
    <t>大健康国际</t>
  </si>
  <si>
    <t>金风科技</t>
  </si>
  <si>
    <t>瑞声科技</t>
  </si>
  <si>
    <t>金隅股份</t>
  </si>
  <si>
    <t>天鸽互动</t>
  </si>
  <si>
    <t>银泰商业</t>
  </si>
  <si>
    <t>中信国际电讯</t>
  </si>
  <si>
    <t>合景泰富</t>
  </si>
  <si>
    <t>招金矿业</t>
  </si>
  <si>
    <t>国泰君安国际</t>
  </si>
  <si>
    <t>SH601788</t>
  </si>
  <si>
    <t>光大证券</t>
  </si>
  <si>
    <t>彩生活</t>
  </si>
  <si>
    <t>中国中车</t>
  </si>
  <si>
    <t>SH601766</t>
  </si>
  <si>
    <t>SH601668</t>
  </si>
  <si>
    <t>中国建筑</t>
  </si>
  <si>
    <t>智美体育</t>
  </si>
  <si>
    <t>重庆机电</t>
  </si>
  <si>
    <t>同仁堂科技</t>
  </si>
  <si>
    <t>安捷利实业</t>
  </si>
  <si>
    <t>上海复旦</t>
  </si>
  <si>
    <t>凤凰医疗</t>
  </si>
  <si>
    <t>汇源果汁</t>
  </si>
  <si>
    <t>中滔环保</t>
  </si>
  <si>
    <t>普华和顺</t>
  </si>
  <si>
    <t>复旦张江</t>
  </si>
  <si>
    <t>中国先锋医药</t>
  </si>
  <si>
    <t>中国擎天软件</t>
  </si>
  <si>
    <t>翠华控股</t>
  </si>
  <si>
    <t>比亚迪股份</t>
  </si>
  <si>
    <t>合生元</t>
  </si>
  <si>
    <t>阿里影业</t>
  </si>
  <si>
    <t>中国南方航空股份</t>
  </si>
  <si>
    <t>越秀交通基建</t>
  </si>
  <si>
    <t>BBI生命科技</t>
  </si>
  <si>
    <t>招商局置地</t>
  </si>
  <si>
    <t>新城发展控股</t>
  </si>
  <si>
    <t>中国太平</t>
  </si>
  <si>
    <t>华熙生物科技</t>
  </si>
  <si>
    <t>天津发展</t>
  </si>
  <si>
    <t>中粮包装</t>
  </si>
  <si>
    <t>天能动力</t>
  </si>
  <si>
    <t>华电福新</t>
  </si>
  <si>
    <t>高阳科技</t>
  </si>
  <si>
    <t>网龙</t>
  </si>
  <si>
    <t>兴业太阳能</t>
  </si>
  <si>
    <t>腾讯控股</t>
  </si>
  <si>
    <t>神州租车</t>
  </si>
  <si>
    <t>中国民航信息网络</t>
  </si>
  <si>
    <t>北京首都机场股份</t>
  </si>
  <si>
    <t>海通国际</t>
  </si>
  <si>
    <t>京能清洁能源</t>
  </si>
  <si>
    <t>中国中药</t>
  </si>
  <si>
    <t>中国动物保健品</t>
  </si>
  <si>
    <t>珠江船务</t>
  </si>
  <si>
    <t>太平洋网络</t>
  </si>
  <si>
    <t>广深铁路股份</t>
  </si>
  <si>
    <t>时富金融服务集团</t>
  </si>
  <si>
    <t>保华集团</t>
  </si>
  <si>
    <t>国美电器</t>
  </si>
  <si>
    <t>博雅互动</t>
  </si>
  <si>
    <t>天下图控股</t>
  </si>
  <si>
    <t>科通芯城</t>
  </si>
  <si>
    <t>阜丰集团</t>
  </si>
  <si>
    <t>中国中铁</t>
  </si>
  <si>
    <t>中外运航运</t>
  </si>
  <si>
    <t>上海石油化工股份</t>
  </si>
  <si>
    <t>中船防务</t>
  </si>
  <si>
    <t>青岛港</t>
  </si>
  <si>
    <t>光启科学</t>
  </si>
  <si>
    <t>琥珀能源</t>
  </si>
  <si>
    <t>精英国际</t>
  </si>
  <si>
    <t>丘钛科技</t>
  </si>
  <si>
    <t>华瀚生物制药</t>
  </si>
  <si>
    <t>NCTY</t>
  </si>
  <si>
    <t>第九城市</t>
  </si>
  <si>
    <t>ZA</t>
  </si>
  <si>
    <t>左岸</t>
  </si>
  <si>
    <t>复星医药</t>
  </si>
  <si>
    <t>SZ000039</t>
  </si>
  <si>
    <t>SH600606</t>
  </si>
  <si>
    <t>绿地控股</t>
  </si>
  <si>
    <t>SZ000100</t>
  </si>
  <si>
    <t>TCL集团</t>
  </si>
  <si>
    <t>SZ002202</t>
  </si>
  <si>
    <t>SH600118</t>
  </si>
  <si>
    <t>中国卫星</t>
  </si>
  <si>
    <t>SH600153</t>
  </si>
  <si>
    <t>建发股份</t>
  </si>
  <si>
    <t>中国动力控股</t>
  </si>
  <si>
    <t>CHLN</t>
  </si>
  <si>
    <t>中华地产</t>
  </si>
  <si>
    <t>CPGI</t>
  </si>
  <si>
    <t>胜达包装</t>
  </si>
  <si>
    <t>CLNT</t>
  </si>
  <si>
    <t>中国风能技术</t>
  </si>
  <si>
    <t>DATE</t>
  </si>
  <si>
    <t>世纪佳缘</t>
  </si>
  <si>
    <t>KONE</t>
  </si>
  <si>
    <t>联合信息</t>
  </si>
  <si>
    <t>CNYD</t>
  </si>
  <si>
    <t>易达控股</t>
  </si>
  <si>
    <t>TAOM</t>
  </si>
  <si>
    <t>淘米</t>
  </si>
  <si>
    <t>CSUN</t>
  </si>
  <si>
    <t>中电光伏</t>
  </si>
  <si>
    <t>JOBS</t>
  </si>
  <si>
    <t>前程无忧</t>
  </si>
  <si>
    <t>EFUT</t>
  </si>
  <si>
    <t>富基融通</t>
  </si>
  <si>
    <t>NPD</t>
  </si>
  <si>
    <t>海王星辰</t>
  </si>
  <si>
    <t>XUE</t>
  </si>
  <si>
    <t>学大教育</t>
  </si>
  <si>
    <t>CREG</t>
  </si>
  <si>
    <t>中国循环能源</t>
  </si>
  <si>
    <t>OSN</t>
  </si>
  <si>
    <t>奥盛创新</t>
  </si>
  <si>
    <t>MCOX</t>
  </si>
  <si>
    <t>麦考林</t>
  </si>
  <si>
    <t>SMI</t>
  </si>
  <si>
    <t>中芯国际</t>
  </si>
  <si>
    <t>LONG</t>
  </si>
  <si>
    <t>艺龙</t>
  </si>
  <si>
    <t>CISG</t>
  </si>
  <si>
    <t>泛华保险</t>
  </si>
  <si>
    <t>CNIT</t>
  </si>
  <si>
    <t>中国信息技术</t>
  </si>
  <si>
    <t>EDU</t>
  </si>
  <si>
    <t>新东方</t>
  </si>
  <si>
    <t>VISN</t>
  </si>
  <si>
    <t>华视传媒</t>
  </si>
  <si>
    <t>VNET</t>
  </si>
  <si>
    <t>世纪互联</t>
  </si>
  <si>
    <t>NTES</t>
  </si>
  <si>
    <t>网易</t>
  </si>
  <si>
    <t>SPU</t>
  </si>
  <si>
    <t>天人果汁</t>
  </si>
  <si>
    <t>KUTV</t>
  </si>
  <si>
    <t>酷6</t>
  </si>
  <si>
    <t>TSL</t>
  </si>
  <si>
    <t>天合光能</t>
  </si>
  <si>
    <t>JRJC</t>
  </si>
  <si>
    <t>金融界</t>
  </si>
  <si>
    <t>QUNR</t>
  </si>
  <si>
    <t>去哪儿网</t>
  </si>
  <si>
    <t>DANG</t>
  </si>
  <si>
    <t>当当网</t>
  </si>
  <si>
    <t>MY</t>
  </si>
  <si>
    <t>明阳风电</t>
  </si>
  <si>
    <t>RENN</t>
  </si>
  <si>
    <t>人人</t>
  </si>
  <si>
    <t>BZUN</t>
  </si>
  <si>
    <t>宝尊电商</t>
  </si>
  <si>
    <t>北控医疗健康</t>
  </si>
  <si>
    <t>汇银智慧社区</t>
  </si>
  <si>
    <t>创达科技控股</t>
  </si>
  <si>
    <t>ATHM</t>
  </si>
  <si>
    <t>汽车之家</t>
  </si>
  <si>
    <t>EHIC</t>
  </si>
  <si>
    <t>一嗨租车</t>
  </si>
  <si>
    <t>YGE</t>
  </si>
  <si>
    <t>英利绿色能源</t>
  </si>
  <si>
    <t>HEB</t>
  </si>
  <si>
    <t>HEMISPHERX</t>
  </si>
  <si>
    <t>BIOPHARMA</t>
  </si>
  <si>
    <t>SZ168201</t>
  </si>
  <si>
    <t>一带一路</t>
  </si>
  <si>
    <t>JASO</t>
  </si>
  <si>
    <t>晶澳太阳能</t>
  </si>
  <si>
    <t>泰坦能源技术</t>
  </si>
  <si>
    <t>HOLI</t>
  </si>
  <si>
    <t>和利时自动化</t>
  </si>
  <si>
    <t>复星国际</t>
  </si>
  <si>
    <t>DL</t>
  </si>
  <si>
    <t>正保远程教育</t>
  </si>
  <si>
    <t>百奥家庭互动</t>
  </si>
  <si>
    <t>飞鱼科技</t>
  </si>
  <si>
    <t>中国集成控股</t>
  </si>
  <si>
    <t>新焦点</t>
  </si>
  <si>
    <t>酷派集团</t>
  </si>
  <si>
    <t>元征科技</t>
  </si>
  <si>
    <t>中国动向</t>
  </si>
  <si>
    <t>英皇证券</t>
  </si>
  <si>
    <t>绿色动力环保</t>
  </si>
  <si>
    <t>中国软件国际</t>
  </si>
  <si>
    <t>TCL通讯</t>
  </si>
  <si>
    <t>CALI</t>
  </si>
  <si>
    <t>中国汽车物流</t>
  </si>
  <si>
    <t>北大青鸟环宇</t>
  </si>
  <si>
    <t>恒发洋参</t>
  </si>
  <si>
    <t>恒大地产</t>
  </si>
  <si>
    <t>中国电子</t>
  </si>
  <si>
    <t>碧生源</t>
  </si>
  <si>
    <t>西证国际证券</t>
  </si>
  <si>
    <t>AMCN</t>
  </si>
  <si>
    <t>航美传媒</t>
  </si>
  <si>
    <t>中广核电力</t>
  </si>
  <si>
    <t>金蝶国际</t>
  </si>
  <si>
    <t>蓝港互动</t>
  </si>
  <si>
    <t>华南城</t>
  </si>
  <si>
    <t>SFUN</t>
  </si>
  <si>
    <t>搜房</t>
  </si>
  <si>
    <t>DSKY</t>
  </si>
  <si>
    <t>乐逗游戏</t>
  </si>
  <si>
    <t>万达商业</t>
  </si>
  <si>
    <t>YY</t>
  </si>
  <si>
    <t>欢聚时代</t>
  </si>
  <si>
    <t>BABA</t>
  </si>
  <si>
    <t>阿里巴巴</t>
  </si>
  <si>
    <t>TMT20</t>
  </si>
  <si>
    <t>雪球中概TMT指数</t>
  </si>
  <si>
    <t>HCP10</t>
  </si>
  <si>
    <t>雪球中概医药指数</t>
  </si>
  <si>
    <t>EDU10</t>
  </si>
  <si>
    <t>雪球中概教育指数</t>
  </si>
  <si>
    <t>SLR10</t>
  </si>
  <si>
    <t>雪球中概太阳能指数</t>
  </si>
  <si>
    <t>保利协鑫能源</t>
  </si>
  <si>
    <t>中广核新能源</t>
  </si>
  <si>
    <t>都市丽人</t>
  </si>
  <si>
    <t>JD</t>
  </si>
  <si>
    <t>京东</t>
  </si>
  <si>
    <t>CMCM</t>
  </si>
  <si>
    <t>猎豹移动</t>
  </si>
  <si>
    <t>WUBA</t>
  </si>
  <si>
    <t>58同城</t>
  </si>
  <si>
    <t>VIMC</t>
  </si>
  <si>
    <t>中星微电子</t>
  </si>
  <si>
    <t>BITA</t>
  </si>
  <si>
    <t>易车</t>
  </si>
  <si>
    <t>LITB</t>
  </si>
  <si>
    <t>兰亭集势</t>
  </si>
  <si>
    <t>NOAH</t>
  </si>
  <si>
    <t>诺亚财富</t>
  </si>
  <si>
    <t>MOMO</t>
  </si>
  <si>
    <t>陌陌</t>
  </si>
  <si>
    <t>TrueCar</t>
  </si>
  <si>
    <t>ICS30</t>
  </si>
  <si>
    <t>雪球中概30指数</t>
  </si>
  <si>
    <t>YELP</t>
  </si>
  <si>
    <t>Yelp</t>
  </si>
  <si>
    <t>YHOO</t>
  </si>
  <si>
    <t>雅虎</t>
  </si>
  <si>
    <t>WFM</t>
  </si>
  <si>
    <t>Whole</t>
  </si>
  <si>
    <t>Foods</t>
  </si>
  <si>
    <t>XNET</t>
  </si>
  <si>
    <t>迅雷</t>
  </si>
  <si>
    <t>TSC集团</t>
  </si>
  <si>
    <t>SZ300104</t>
  </si>
  <si>
    <t>乐视网</t>
  </si>
  <si>
    <t>ATVI</t>
  </si>
  <si>
    <t>动视暴雪</t>
  </si>
  <si>
    <t>XRS</t>
  </si>
  <si>
    <t>好未来</t>
  </si>
  <si>
    <t>TOUR</t>
  </si>
  <si>
    <t>途牛</t>
  </si>
  <si>
    <t>SCTY</t>
  </si>
  <si>
    <t>SolarCity</t>
  </si>
  <si>
    <t>华彩控股</t>
  </si>
  <si>
    <t>WB</t>
  </si>
  <si>
    <t>微博</t>
  </si>
  <si>
    <t>LEJU</t>
  </si>
  <si>
    <t>乐居</t>
  </si>
  <si>
    <t>JMEI</t>
  </si>
  <si>
    <t>聚美优品</t>
  </si>
  <si>
    <t>KZ</t>
  </si>
  <si>
    <t>空中网</t>
  </si>
  <si>
    <t>协合新能源</t>
  </si>
  <si>
    <t>信达国际控股</t>
  </si>
  <si>
    <t>FB</t>
  </si>
  <si>
    <t>Facebook</t>
  </si>
  <si>
    <t>KANG</t>
  </si>
  <si>
    <t>爱康国宾</t>
  </si>
  <si>
    <t>SOHU</t>
  </si>
  <si>
    <t>搜狐</t>
  </si>
  <si>
    <t>TEDU</t>
  </si>
  <si>
    <t>达内科技</t>
  </si>
  <si>
    <t>李宁</t>
  </si>
  <si>
    <t>中国支付通</t>
  </si>
  <si>
    <t>智易控股</t>
  </si>
  <si>
    <t>SZ300126</t>
  </si>
  <si>
    <t>锐奇股份</t>
  </si>
  <si>
    <t>第一视频</t>
  </si>
  <si>
    <t>PFE</t>
  </si>
  <si>
    <t>辉瑞</t>
  </si>
  <si>
    <t>CTRP</t>
  </si>
  <si>
    <t>携程</t>
  </si>
  <si>
    <t>WBAI</t>
  </si>
  <si>
    <t>500彩票网</t>
  </si>
  <si>
    <t>EJ</t>
  </si>
  <si>
    <t>易居中国</t>
  </si>
  <si>
    <t>SH600000</t>
  </si>
  <si>
    <t>浦发银行</t>
  </si>
  <si>
    <t>NQ</t>
  </si>
  <si>
    <t>网秦</t>
  </si>
  <si>
    <t>VIPS</t>
  </si>
  <si>
    <t>唯品会</t>
  </si>
  <si>
    <t>PLUG</t>
  </si>
  <si>
    <t>普拉格能源</t>
  </si>
  <si>
    <t>YOKU</t>
  </si>
  <si>
    <t>优酷土豆</t>
  </si>
  <si>
    <t>中国平安</t>
  </si>
  <si>
    <t>锦胜集团(控股)</t>
  </si>
  <si>
    <t>SZ002312</t>
  </si>
  <si>
    <t>三泰控股</t>
  </si>
  <si>
    <t>贸易通</t>
  </si>
  <si>
    <t>浪潮国际</t>
  </si>
  <si>
    <t>华荣能源</t>
  </si>
  <si>
    <t>FSLR</t>
  </si>
  <si>
    <t>第一太阳能</t>
  </si>
  <si>
    <t>阿里健康</t>
  </si>
  <si>
    <t>SZ002396</t>
  </si>
  <si>
    <t>星网锐捷</t>
  </si>
  <si>
    <t>中国创新支付</t>
  </si>
  <si>
    <t>SZ002433</t>
  </si>
  <si>
    <t>太安堂</t>
  </si>
  <si>
    <t>SZ000997</t>
  </si>
  <si>
    <t>新大陆</t>
  </si>
  <si>
    <t>SZ300017</t>
  </si>
  <si>
    <t>网宿科技</t>
  </si>
  <si>
    <t>QIHU</t>
  </si>
  <si>
    <t>奇虎360</t>
  </si>
  <si>
    <t>CCIH</t>
  </si>
  <si>
    <t>蓝汛</t>
  </si>
  <si>
    <t>HKHSI</t>
  </si>
  <si>
    <t>恒生指数</t>
  </si>
  <si>
    <t>SINA</t>
  </si>
  <si>
    <t>新浪</t>
  </si>
  <si>
    <t>SZ002594</t>
  </si>
  <si>
    <t>比亚迪</t>
  </si>
  <si>
    <t>now收盘价</t>
  </si>
  <si>
    <t>名称</t>
  </si>
  <si>
    <t>目前及最低之比</t>
  </si>
  <si>
    <t>最高与目前对比</t>
  </si>
  <si>
    <t>风险收益比</t>
  </si>
  <si>
    <t>pb</t>
  </si>
  <si>
    <t>pbr</t>
  </si>
  <si>
    <t>lyr_pe</t>
  </si>
  <si>
    <t>ttm_pe</t>
  </si>
  <si>
    <t>现价</t>
  </si>
  <si>
    <t>波段涨幅</t>
  </si>
  <si>
    <t>异动h3-avg</t>
  </si>
  <si>
    <t>异动h1-2</t>
  </si>
  <si>
    <t>异动0-1</t>
  </si>
  <si>
    <t>价动</t>
  </si>
  <si>
    <t>目标</t>
  </si>
  <si>
    <t>量</t>
  </si>
  <si>
    <t>明华科技</t>
  </si>
  <si>
    <t>寰宇国际</t>
  </si>
  <si>
    <t>10合配售,0.72至0.1刚好1好整</t>
  </si>
  <si>
    <t>MONGOL MINING</t>
  </si>
  <si>
    <t>中国金石</t>
  </si>
  <si>
    <t>上市至今3倍</t>
  </si>
  <si>
    <t>中达金融集团</t>
  </si>
  <si>
    <t>和嘉资源</t>
  </si>
  <si>
    <t>债转股</t>
  </si>
  <si>
    <t>协同通信</t>
  </si>
  <si>
    <t>域高金融</t>
  </si>
  <si>
    <t>ccass48</t>
  </si>
  <si>
    <t>天宝集团</t>
  </si>
  <si>
    <t>中国环保能源</t>
  </si>
  <si>
    <t>重庆钢铁股份</t>
  </si>
  <si>
    <t>海信科龙</t>
  </si>
  <si>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H</t>
    </r>
  </si>
  <si>
    <t>锐康药业</t>
  </si>
  <si>
    <t>侨雄国际</t>
  </si>
  <si>
    <t>中国家居</t>
  </si>
  <si>
    <t>舜宇光学科技</t>
  </si>
  <si>
    <t>穿越扛</t>
  </si>
  <si>
    <t>蒙古能源</t>
  </si>
  <si>
    <t>亚洲煤业</t>
  </si>
  <si>
    <t>曾翻未走,再机未入</t>
  </si>
  <si>
    <t>民生珠宝</t>
  </si>
  <si>
    <t>支付马可能要牌照</t>
  </si>
  <si>
    <t>末期股息倍增</t>
  </si>
  <si>
    <t>中升控股</t>
  </si>
  <si>
    <t>马仕达国际</t>
  </si>
  <si>
    <t>泛亚环保</t>
  </si>
  <si>
    <t>手游优质</t>
  </si>
  <si>
    <t>吉利汽车</t>
  </si>
  <si>
    <t>g</t>
  </si>
  <si>
    <t>1.16配了5%</t>
  </si>
  <si>
    <t>久融控股</t>
  </si>
  <si>
    <t>民众金服</t>
  </si>
  <si>
    <t>铁货</t>
  </si>
  <si>
    <t>宏霸数码</t>
  </si>
  <si>
    <t>达力集团</t>
  </si>
  <si>
    <t>比亚迪电子</t>
  </si>
  <si>
    <t>KTL INT'L</t>
  </si>
  <si>
    <t>新时代能源</t>
  </si>
  <si>
    <t>兖州煤业股份</t>
  </si>
  <si>
    <t>浙江世宝</t>
  </si>
  <si>
    <t>中国投资基金公司</t>
  </si>
  <si>
    <t>2.6机未上</t>
  </si>
  <si>
    <t>多27.8点</t>
  </si>
  <si>
    <t>药</t>
  </si>
  <si>
    <t>隽泰控股</t>
  </si>
  <si>
    <t>理文手袋</t>
  </si>
  <si>
    <t>巨亏</t>
  </si>
  <si>
    <t>中国通号</t>
  </si>
  <si>
    <r>
      <rPr>
        <b/>
        <sz val="11"/>
        <color theme="1"/>
        <rFont val="宋体"/>
        <charset val="134"/>
      </rPr>
      <t>想回1</t>
    </r>
    <r>
      <rPr>
        <b/>
        <sz val="11"/>
        <color theme="1"/>
        <rFont val="宋体"/>
        <charset val="134"/>
      </rPr>
      <t>0</t>
    </r>
  </si>
  <si>
    <t>直播网红平台</t>
  </si>
  <si>
    <t>关注</t>
  </si>
  <si>
    <t>中煤能源</t>
  </si>
  <si>
    <t>环球大通集团</t>
  </si>
  <si>
    <t>大国企</t>
  </si>
  <si>
    <t>基建</t>
  </si>
  <si>
    <t>联邦制药</t>
  </si>
  <si>
    <t>娱乐</t>
  </si>
  <si>
    <t>投资</t>
  </si>
  <si>
    <t>券</t>
  </si>
  <si>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2</t>
    </r>
    <r>
      <rPr>
        <sz val="11"/>
        <color theme="1"/>
        <rFont val="宋体"/>
        <charset val="134"/>
      </rPr>
      <t>.5</t>
    </r>
    <r>
      <rPr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/</t>
    </r>
    <r>
      <rPr>
        <sz val="11"/>
        <color theme="1"/>
        <rFont val="宋体"/>
        <charset val="134"/>
      </rPr>
      <t>16</t>
    </r>
  </si>
  <si>
    <t>十分</t>
  </si>
  <si>
    <t>永耀集团控股</t>
  </si>
  <si>
    <t>小兵</t>
  </si>
  <si>
    <t>l:0.3754|恒大腾讯极低入股,看图形选择时间入,做O2O</t>
  </si>
  <si>
    <t>环保</t>
  </si>
  <si>
    <t>高息</t>
  </si>
  <si>
    <t>长盈集团(控股)</t>
  </si>
  <si>
    <t>再建一个</t>
  </si>
  <si>
    <t>医药,</t>
  </si>
  <si>
    <t>等机</t>
  </si>
  <si>
    <t>多37点</t>
  </si>
  <si>
    <t>机会</t>
  </si>
  <si>
    <t>中国融保金融集团</t>
  </si>
  <si>
    <t>美高梅中国</t>
  </si>
  <si>
    <t>银河娱乐</t>
  </si>
  <si>
    <t>五龙动力</t>
  </si>
  <si>
    <t>东江环保</t>
  </si>
  <si>
    <t>万景控股</t>
  </si>
  <si>
    <t>密迪斯肌</t>
  </si>
  <si>
    <t>恒隆集团</t>
  </si>
  <si>
    <t>股激</t>
  </si>
  <si>
    <t>千e</t>
  </si>
  <si>
    <t>英皇娱乐酒店</t>
  </si>
  <si>
    <t>皇冠环球集团</t>
  </si>
  <si>
    <t>中信资源</t>
  </si>
  <si>
    <t>装修</t>
  </si>
  <si>
    <t>徐峥产好</t>
  </si>
  <si>
    <t>中国神华</t>
  </si>
  <si>
    <t>a排队</t>
  </si>
  <si>
    <t>YUGANG INT'L</t>
  </si>
  <si>
    <t>朗廷-SS</t>
  </si>
  <si>
    <t>酒吧</t>
  </si>
  <si>
    <t>周大福</t>
  </si>
  <si>
    <t>上海医药</t>
  </si>
  <si>
    <t>华能新能源</t>
  </si>
  <si>
    <t>8月收窄99点的亏损，可入汽车后服</t>
  </si>
  <si>
    <t>升过,回调中.8可进</t>
  </si>
  <si>
    <t>一半确定</t>
  </si>
  <si>
    <t>要的|看消息</t>
  </si>
  <si>
    <t>洛阳玻璃股份</t>
  </si>
  <si>
    <t>国企改革AH</t>
  </si>
  <si>
    <t>会德丰</t>
  </si>
  <si>
    <t>宜租互联网租车</t>
  </si>
  <si>
    <t>中海油田服务</t>
  </si>
  <si>
    <t>雨润食品</t>
  </si>
  <si>
    <t>胜狮货柜</t>
  </si>
  <si>
    <t>力劲科技</t>
  </si>
  <si>
    <t>威华达控股</t>
  </si>
  <si>
    <t>地产</t>
  </si>
  <si>
    <t>中国糖果</t>
  </si>
  <si>
    <t>指数可入</t>
  </si>
  <si>
    <t>PERFECTECH INTL</t>
  </si>
  <si>
    <t>腾讯</t>
  </si>
  <si>
    <t>侨洋国际控股</t>
  </si>
  <si>
    <t>环能国际</t>
  </si>
  <si>
    <t>金利丰金融</t>
  </si>
  <si>
    <t>优质软件</t>
  </si>
  <si>
    <t>粤丰环保</t>
  </si>
  <si>
    <t>白云山</t>
  </si>
  <si>
    <t>深圳控股</t>
  </si>
  <si>
    <t>合和实业</t>
  </si>
  <si>
    <t>有机会</t>
  </si>
  <si>
    <r>
      <rPr>
        <sz val="11"/>
        <color theme="1"/>
        <rFont val="宋体"/>
        <charset val="134"/>
      </rPr>
      <t>集中,</t>
    </r>
    <r>
      <rPr>
        <b/>
        <sz val="11"/>
        <color theme="1"/>
        <rFont val="宋体"/>
        <charset val="134"/>
      </rPr>
      <t>1-1.3之间</t>
    </r>
    <r>
      <rPr>
        <sz val="11"/>
        <color theme="1"/>
        <rFont val="宋体"/>
        <charset val="134"/>
      </rPr>
      <t>或许可捡,各种买地部署健康,未来业绩可期</t>
    </r>
  </si>
  <si>
    <t>中国铝业</t>
  </si>
  <si>
    <t>星美文化</t>
  </si>
  <si>
    <t>财讯传媒</t>
  </si>
  <si>
    <t>上轮子</t>
  </si>
  <si>
    <t>中国稀土</t>
  </si>
  <si>
    <t>亏损收容</t>
  </si>
  <si>
    <t>太平洋航运</t>
  </si>
  <si>
    <t>重点</t>
  </si>
  <si>
    <t>半导体目前亏损</t>
  </si>
  <si>
    <t>万华媒体</t>
  </si>
  <si>
    <t>基因</t>
  </si>
  <si>
    <t>中国远洋</t>
  </si>
  <si>
    <t>中国铁钛</t>
  </si>
  <si>
    <t>净1国企重组</t>
  </si>
  <si>
    <t>中海集运</t>
  </si>
  <si>
    <t>JUNEFIELD GROUP</t>
  </si>
  <si>
    <t>嘉里建设</t>
  </si>
  <si>
    <t>海天国际</t>
  </si>
  <si>
    <t>中国华融</t>
  </si>
  <si>
    <t>联合能源集团</t>
  </si>
  <si>
    <t>SOHO中国</t>
  </si>
  <si>
    <t>因信达事件腰斩,机没上</t>
  </si>
  <si>
    <t>南华早报集团</t>
  </si>
  <si>
    <t>风电</t>
  </si>
  <si>
    <t>资管,联通受益股</t>
  </si>
  <si>
    <t>VAL EPREF-DRS</t>
  </si>
  <si>
    <t>龙头</t>
  </si>
  <si>
    <t>首创置业</t>
  </si>
  <si>
    <t>五龙电动车</t>
  </si>
  <si>
    <t>0.465中信</t>
  </si>
  <si>
    <t>智慧城,深度空间,但老板有点不靠谱</t>
  </si>
  <si>
    <t>正大企业国际</t>
  </si>
  <si>
    <t>龙源电力</t>
  </si>
  <si>
    <t>义合控股</t>
  </si>
  <si>
    <t>澳博控股</t>
  </si>
  <si>
    <t>魏桥纺织</t>
  </si>
  <si>
    <t>能源</t>
  </si>
  <si>
    <t>联合医务</t>
  </si>
  <si>
    <t>ROAD KING INFRA</t>
  </si>
  <si>
    <t>解禁</t>
  </si>
  <si>
    <t>华润啤酒</t>
  </si>
  <si>
    <t>理文化工</t>
  </si>
  <si>
    <t>军事</t>
  </si>
  <si>
    <t>一路概</t>
  </si>
  <si>
    <t>港深联合</t>
  </si>
  <si>
    <t>HZ恒生高股息率</t>
  </si>
  <si>
    <t>阿里</t>
  </si>
  <si>
    <t>四环医药</t>
  </si>
  <si>
    <t>少赚6点</t>
  </si>
  <si>
    <t>市值略高相比恒大,还经常出事,天猫医馆</t>
  </si>
  <si>
    <t>ALCO HOLDINGS</t>
  </si>
  <si>
    <t>橙天嘉禾</t>
  </si>
  <si>
    <t>影视</t>
  </si>
  <si>
    <t>多92点</t>
  </si>
  <si>
    <t>机</t>
  </si>
  <si>
    <t>中国资源交通</t>
  </si>
  <si>
    <t>金榜集团</t>
  </si>
  <si>
    <t>安全货仓</t>
  </si>
  <si>
    <t>ccass机</t>
  </si>
  <si>
    <t>精熙国际</t>
  </si>
  <si>
    <t>中国数码文化</t>
  </si>
  <si>
    <t>谭木匠</t>
  </si>
  <si>
    <t>远见控股</t>
  </si>
  <si>
    <t>五菱汽车</t>
  </si>
  <si>
    <t>隆基泰和</t>
  </si>
  <si>
    <t>中信证券</t>
  </si>
  <si>
    <t>靠谱环保</t>
  </si>
  <si>
    <t>金山能源</t>
  </si>
  <si>
    <t>医药底</t>
  </si>
  <si>
    <t>保险</t>
  </si>
  <si>
    <t>枫叶教育</t>
  </si>
  <si>
    <t>产业园</t>
  </si>
  <si>
    <t>苹果</t>
  </si>
  <si>
    <t>中国诚通发展集团</t>
  </si>
  <si>
    <t>瑞安房地产</t>
  </si>
  <si>
    <t>星光集团</t>
  </si>
  <si>
    <t>波段</t>
  </si>
  <si>
    <t>中石化油服</t>
  </si>
  <si>
    <t>富力地产</t>
  </si>
  <si>
    <t>完全安全</t>
  </si>
  <si>
    <t>充电桩</t>
  </si>
  <si>
    <t>利标品牌</t>
  </si>
  <si>
    <t>伟俊矿业集团</t>
  </si>
  <si>
    <t>龙杰智能卡</t>
  </si>
  <si>
    <t>中国再生能源投资</t>
  </si>
  <si>
    <t>JC GROUP HLDG</t>
  </si>
  <si>
    <r>
      <rPr>
        <sz val="11"/>
        <color theme="1"/>
        <rFont val="宋体"/>
        <charset val="134"/>
      </rPr>
      <t>2.3同景入主,业绩将步入增长期,20几E,因成本大为降低,上两倍没问题,拆手数流动性增加目标</t>
    </r>
    <r>
      <rPr>
        <b/>
        <sz val="11"/>
        <color theme="1"/>
        <rFont val="宋体"/>
        <charset val="134"/>
      </rPr>
      <t>至少10元</t>
    </r>
  </si>
  <si>
    <t>中国海外发展</t>
  </si>
  <si>
    <t>北控系列</t>
  </si>
  <si>
    <t>卓亚资本</t>
  </si>
  <si>
    <t>火岩控股</t>
  </si>
  <si>
    <r>
      <rPr>
        <b/>
        <sz val="11"/>
        <color theme="1"/>
        <rFont val="宋体"/>
        <charset val="134"/>
      </rPr>
      <t>2.1-2.3</t>
    </r>
    <r>
      <rPr>
        <sz val="11"/>
        <color theme="1"/>
        <rFont val="宋体"/>
        <charset val="134"/>
      </rPr>
      <t>之间或许有机会</t>
    </r>
  </si>
  <si>
    <t>招商局国际</t>
  </si>
  <si>
    <t>俊知集团</t>
  </si>
  <si>
    <t>圆美光电</t>
  </si>
  <si>
    <t>民生国际</t>
  </si>
  <si>
    <t>卓智控股</t>
  </si>
  <si>
    <t>钱</t>
  </si>
  <si>
    <t>标的携程</t>
  </si>
  <si>
    <t>福寿园</t>
  </si>
  <si>
    <t>亚博科技控股</t>
  </si>
  <si>
    <t>阿里彩票,等解禁</t>
  </si>
  <si>
    <t>协盛协丰</t>
  </si>
  <si>
    <t>长江基建集团</t>
  </si>
  <si>
    <t>香港中旅</t>
  </si>
  <si>
    <t>KFM金德</t>
  </si>
  <si>
    <t>畅捷通</t>
  </si>
  <si>
    <t>远洋地产</t>
  </si>
  <si>
    <t>博华太平洋</t>
  </si>
  <si>
    <t>增持不断,布局新场子,扭亏,到前期高,ggt</t>
  </si>
  <si>
    <t>中国互联网投资</t>
  </si>
  <si>
    <t>MEGAEXPO HLDG</t>
  </si>
  <si>
    <t>底部应该.8元</t>
  </si>
  <si>
    <t>中国粗粮王饮品</t>
  </si>
  <si>
    <t>香港电视</t>
  </si>
  <si>
    <t>联想控股</t>
  </si>
  <si>
    <t>镖局</t>
  </si>
  <si>
    <t>中国新电信</t>
  </si>
  <si>
    <t>亚势备份</t>
  </si>
  <si>
    <t>中国宇天</t>
  </si>
  <si>
    <t>中国金洋</t>
  </si>
  <si>
    <t>大成糖业</t>
  </si>
  <si>
    <t>手游</t>
  </si>
  <si>
    <t>亏转</t>
  </si>
  <si>
    <t>无缝绿色</t>
  </si>
  <si>
    <t>中国北大荒</t>
  </si>
  <si>
    <t>58.6|波段娱乐</t>
  </si>
  <si>
    <t>华联国际</t>
  </si>
  <si>
    <t>融众金融</t>
  </si>
  <si>
    <t>泓淋科技</t>
  </si>
  <si>
    <t>上次直接.3抽升翻</t>
  </si>
  <si>
    <r>
      <rPr>
        <sz val="11"/>
        <color theme="1"/>
        <rFont val="宋体"/>
        <charset val="134"/>
      </rPr>
      <t>工业4</t>
    </r>
    <r>
      <rPr>
        <sz val="11"/>
        <color theme="1"/>
        <rFont val="宋体"/>
        <charset val="134"/>
      </rPr>
      <t>0</t>
    </r>
  </si>
  <si>
    <t>超凡网络</t>
  </si>
  <si>
    <t>康宏金融</t>
  </si>
  <si>
    <t>大洋集团</t>
  </si>
  <si>
    <t>SDM GROUP</t>
  </si>
  <si>
    <t>和谐汽车</t>
  </si>
  <si>
    <t>中国国家文化产业</t>
  </si>
  <si>
    <t>互益集团</t>
  </si>
  <si>
    <t>国农控股</t>
  </si>
  <si>
    <t>亨泰</t>
  </si>
  <si>
    <t>东方明珠石油</t>
  </si>
  <si>
    <t>意科控股</t>
  </si>
  <si>
    <t>焯陞企业</t>
  </si>
  <si>
    <t>剑虹集团控股</t>
  </si>
  <si>
    <t>巨腾国际</t>
  </si>
  <si>
    <t>环球战略集团</t>
  </si>
  <si>
    <t>精电</t>
  </si>
  <si>
    <t>娱乐腾讯</t>
  </si>
  <si>
    <t>民信金控</t>
  </si>
  <si>
    <t>北亚资源</t>
  </si>
  <si>
    <t>领航医药生物科技</t>
  </si>
  <si>
    <t>新确科技</t>
  </si>
  <si>
    <t>壳</t>
  </si>
  <si>
    <t>胜龙国际</t>
  </si>
  <si>
    <t>中国华仁医疗</t>
  </si>
  <si>
    <t>米兰站</t>
  </si>
  <si>
    <t>中国生物资源</t>
  </si>
  <si>
    <t>比高集团</t>
  </si>
  <si>
    <t>周概底</t>
  </si>
  <si>
    <t>女</t>
  </si>
  <si>
    <t>天成国际</t>
  </si>
  <si>
    <t>中国创新投资</t>
  </si>
  <si>
    <t>百度合作</t>
  </si>
  <si>
    <t>售彩解禁</t>
  </si>
  <si>
    <t>底6-7,集中ggt</t>
  </si>
  <si>
    <t>投机</t>
  </si>
  <si>
    <t>回撤再</t>
  </si>
  <si>
    <t>手游新</t>
  </si>
  <si>
    <t xml:space="preserve">完蛋了+风波震荡 </t>
  </si>
  <si>
    <t>次新曾翻5倍,11号因为情绪因素,没能抓</t>
  </si>
  <si>
    <t>仁瑞投资</t>
  </si>
  <si>
    <t>拆细再炒上，股权集中|1.2(.24)可入点</t>
  </si>
  <si>
    <t>佳兆业集团</t>
  </si>
  <si>
    <t>誉宴集团</t>
  </si>
  <si>
    <t>强泰环保</t>
  </si>
  <si>
    <t>环保小市低位</t>
  </si>
  <si>
    <t>茂业国际</t>
  </si>
  <si>
    <t>底部了</t>
  </si>
  <si>
    <t>有冲动,1.7几因无流动错过</t>
  </si>
  <si>
    <t>大妈要来</t>
  </si>
  <si>
    <t>TSLA</t>
  </si>
  <si>
    <t>特斯拉电动车</t>
  </si>
  <si>
    <t>BSPM</t>
  </si>
  <si>
    <t>奥星制药</t>
  </si>
  <si>
    <t>SINO</t>
  </si>
  <si>
    <t>中环球船务</t>
  </si>
  <si>
    <t>CYD</t>
  </si>
  <si>
    <t>玉柴国际</t>
  </si>
  <si>
    <t>CJJD</t>
  </si>
  <si>
    <t>九洲大药房</t>
  </si>
  <si>
    <t>HTHT</t>
  </si>
  <si>
    <t>汉庭</t>
  </si>
  <si>
    <t>SORL</t>
  </si>
  <si>
    <t>SORL汽车零部件公司</t>
  </si>
  <si>
    <t>CXDC</t>
  </si>
  <si>
    <t>鑫达集团</t>
  </si>
  <si>
    <t>FFHL</t>
  </si>
  <si>
    <t>富维薄膜</t>
  </si>
  <si>
    <t>CGA</t>
  </si>
  <si>
    <t>中国绿色农业</t>
  </si>
  <si>
    <t>SGOC</t>
  </si>
  <si>
    <t>上为集团</t>
  </si>
  <si>
    <t>HGSH</t>
  </si>
  <si>
    <t>汉广厦房地产</t>
  </si>
  <si>
    <t>DQ</t>
  </si>
  <si>
    <t>大全新能源</t>
  </si>
  <si>
    <t>CYOU</t>
  </si>
  <si>
    <t>畅游</t>
  </si>
  <si>
    <t>ATAI</t>
  </si>
  <si>
    <t>ATA</t>
  </si>
  <si>
    <t>UTSI</t>
  </si>
  <si>
    <t>UT斯达康</t>
  </si>
  <si>
    <t>CO</t>
  </si>
  <si>
    <t>中国脐带血库</t>
  </si>
  <si>
    <t>YZC</t>
  </si>
  <si>
    <t>兖州煤业</t>
  </si>
  <si>
    <t>RCON</t>
  </si>
  <si>
    <t>研控科技</t>
  </si>
  <si>
    <t>SEED</t>
  </si>
  <si>
    <t>奥瑞金种业</t>
  </si>
  <si>
    <t>KNDI</t>
  </si>
  <si>
    <t>康迪车业</t>
  </si>
  <si>
    <t>ACTS</t>
  </si>
  <si>
    <t>炬力</t>
  </si>
  <si>
    <t>CCSC</t>
  </si>
  <si>
    <t>乡村基</t>
  </si>
  <si>
    <t>JST</t>
  </si>
  <si>
    <t>金盘电气</t>
  </si>
  <si>
    <t>TPI</t>
  </si>
  <si>
    <t>天银制药</t>
  </si>
  <si>
    <t>ALN</t>
  </si>
  <si>
    <t>绿润集团</t>
  </si>
  <si>
    <t>SSRX</t>
  </si>
  <si>
    <t>WH</t>
  </si>
  <si>
    <t>WSP控股</t>
  </si>
  <si>
    <t>CHOP</t>
  </si>
  <si>
    <t>河南鸽瑞</t>
  </si>
  <si>
    <t>PACT</t>
  </si>
  <si>
    <t>文思海辉</t>
  </si>
  <si>
    <t>HOGS</t>
  </si>
  <si>
    <t>众品食业</t>
  </si>
  <si>
    <t>WUHN</t>
  </si>
  <si>
    <t>武汉通用</t>
  </si>
  <si>
    <t>LLEN</t>
  </si>
  <si>
    <t>龙腾矿业</t>
  </si>
  <si>
    <t>DEER</t>
  </si>
  <si>
    <t>德尔集团</t>
  </si>
  <si>
    <t>SVM</t>
  </si>
  <si>
    <t>希尔威</t>
  </si>
  <si>
    <t>CMMCY</t>
  </si>
  <si>
    <t>广而告之</t>
  </si>
  <si>
    <t>MR</t>
  </si>
  <si>
    <t>深圳迈瑞</t>
  </si>
  <si>
    <t>SCR</t>
  </si>
  <si>
    <t>先声药业</t>
  </si>
  <si>
    <t>FEED</t>
  </si>
  <si>
    <t>艾格菲</t>
  </si>
  <si>
    <t>CCGM</t>
  </si>
  <si>
    <t>联游网络</t>
  </si>
  <si>
    <t>SCEI</t>
  </si>
  <si>
    <t>索昂生物</t>
  </si>
  <si>
    <t>YTEC</t>
  </si>
  <si>
    <t>宇信易诚</t>
  </si>
  <si>
    <t>NED</t>
  </si>
  <si>
    <t>诺亚舟</t>
  </si>
  <si>
    <t>FMCN</t>
  </si>
  <si>
    <t>分众传媒</t>
  </si>
  <si>
    <t>AMCF</t>
  </si>
  <si>
    <t>星源燃料</t>
  </si>
  <si>
    <t>SIHI</t>
  </si>
  <si>
    <t>协诺物流</t>
  </si>
  <si>
    <t>GAGA</t>
  </si>
  <si>
    <t>利农国际</t>
  </si>
  <si>
    <t>APWR</t>
  </si>
  <si>
    <t>第一能源</t>
  </si>
  <si>
    <t>UTRA</t>
  </si>
  <si>
    <t>旅程天下</t>
  </si>
  <si>
    <t>KH</t>
  </si>
  <si>
    <t>康辉医疗</t>
  </si>
  <si>
    <t>CEDU</t>
  </si>
  <si>
    <t>弘成教育</t>
  </si>
  <si>
    <t>SKBI</t>
  </si>
  <si>
    <t>天星生物</t>
  </si>
  <si>
    <t>GEDU</t>
  </si>
  <si>
    <t>环球天下</t>
  </si>
  <si>
    <t>CRIC</t>
  </si>
  <si>
    <t>中房信</t>
  </si>
  <si>
    <t>NSB</t>
  </si>
  <si>
    <t>新生源</t>
  </si>
  <si>
    <t>KONG</t>
  </si>
  <si>
    <t>KONGZHONG CORP</t>
  </si>
  <si>
    <t>SNDA</t>
  </si>
  <si>
    <t>盛大</t>
  </si>
  <si>
    <t>VIT</t>
  </si>
  <si>
    <t>文思信息</t>
  </si>
  <si>
    <t>CHGS</t>
  </si>
  <si>
    <t>耕生矿物</t>
  </si>
  <si>
    <t>BEST</t>
  </si>
  <si>
    <t>赛诺国际</t>
  </si>
  <si>
    <t>HEAT</t>
  </si>
  <si>
    <t>太宇机电</t>
  </si>
  <si>
    <t>LDK</t>
  </si>
  <si>
    <t>赛维LDK</t>
  </si>
  <si>
    <t>OINK</t>
  </si>
  <si>
    <t>丰泽农牧</t>
  </si>
  <si>
    <t>CHNR</t>
  </si>
  <si>
    <t>中国天然资源</t>
  </si>
  <si>
    <t>LIWA</t>
  </si>
  <si>
    <t>利华国际</t>
  </si>
  <si>
    <t>CIS</t>
  </si>
  <si>
    <t>柯莱特</t>
  </si>
  <si>
    <t>PWRD</t>
  </si>
  <si>
    <t>完美世界</t>
  </si>
  <si>
    <t>BWOW</t>
  </si>
  <si>
    <t>万桥兴业</t>
  </si>
  <si>
    <t>WX</t>
  </si>
  <si>
    <t>药明康德</t>
  </si>
  <si>
    <t>SYSW</t>
  </si>
  <si>
    <t>思源</t>
  </si>
  <si>
    <t>LPH</t>
  </si>
  <si>
    <t>龙威石油</t>
  </si>
  <si>
    <t>HPJ</t>
  </si>
  <si>
    <t>豪鹏国际</t>
  </si>
  <si>
    <t>CADC</t>
  </si>
  <si>
    <t>新奥混凝土</t>
  </si>
  <si>
    <t>CMFO</t>
  </si>
  <si>
    <t>海洋食品</t>
  </si>
  <si>
    <t>RDA</t>
  </si>
  <si>
    <t>锐迪科</t>
  </si>
  <si>
    <t>EDS</t>
  </si>
  <si>
    <t>喜得龙</t>
  </si>
  <si>
    <t>TBET</t>
  </si>
  <si>
    <t>香格里拉藏药</t>
  </si>
  <si>
    <t>ADCN</t>
  </si>
  <si>
    <t>易传媒</t>
  </si>
  <si>
    <t>THTI</t>
  </si>
  <si>
    <t>巨元瀚洋</t>
  </si>
  <si>
    <t>CNAM</t>
  </si>
  <si>
    <t>惠通集团</t>
  </si>
  <si>
    <t>YONG</t>
  </si>
  <si>
    <t>永业国际</t>
  </si>
  <si>
    <t>AMAP</t>
  </si>
  <si>
    <t>高德软件</t>
  </si>
  <si>
    <t>TRE.TO</t>
  </si>
  <si>
    <t>嘉汉林业</t>
  </si>
  <si>
    <t>COGO</t>
  </si>
  <si>
    <t>科通集团</t>
  </si>
  <si>
    <t>SHP</t>
  </si>
  <si>
    <t>尚华医药</t>
  </si>
  <si>
    <t>KEYP.PK</t>
  </si>
  <si>
    <t>科元塑胶</t>
  </si>
  <si>
    <t>ZHIC</t>
  </si>
  <si>
    <t>正汇工业</t>
  </si>
  <si>
    <t>CDCS</t>
  </si>
  <si>
    <t>CDC软件</t>
  </si>
  <si>
    <t>NINE</t>
  </si>
  <si>
    <t>九城关贸</t>
  </si>
  <si>
    <t>FSIN</t>
  </si>
  <si>
    <t>傅氏科普威</t>
  </si>
  <si>
    <t>CPSL</t>
  </si>
  <si>
    <t>中国精密带钢</t>
  </si>
  <si>
    <t>GAME</t>
  </si>
  <si>
    <t>盛大游戏</t>
  </si>
  <si>
    <t>GOMO</t>
  </si>
  <si>
    <t>久邦数码</t>
  </si>
  <si>
    <t>AQ</t>
  </si>
  <si>
    <t>Acquity Group</t>
  </si>
  <si>
    <t>CEU</t>
  </si>
  <si>
    <t>中国教育集团</t>
  </si>
  <si>
    <t>ZSTN</t>
  </si>
  <si>
    <t>神阳科技</t>
  </si>
  <si>
    <t>GRRF</t>
  </si>
  <si>
    <t>国人通信</t>
  </si>
  <si>
    <t>KUN</t>
  </si>
  <si>
    <t>圣火药业</t>
  </si>
  <si>
    <t>CHC</t>
  </si>
  <si>
    <t>中华水电</t>
  </si>
  <si>
    <t>CTC</t>
  </si>
  <si>
    <t>21世纪不动产</t>
  </si>
  <si>
    <t>GU</t>
  </si>
  <si>
    <t>古杉集团</t>
  </si>
  <si>
    <t>OMEI</t>
  </si>
  <si>
    <t>欧美房地产</t>
  </si>
  <si>
    <t>CVVT</t>
  </si>
  <si>
    <t>中国阀门</t>
  </si>
  <si>
    <t>LAS</t>
  </si>
  <si>
    <t>联拓集团</t>
  </si>
  <si>
    <t>HRBN</t>
  </si>
  <si>
    <t>泰富电气</t>
  </si>
  <si>
    <t>LTON</t>
  </si>
  <si>
    <t>掌上灵通</t>
  </si>
  <si>
    <t>QXM</t>
  </si>
  <si>
    <t>侨兴移动</t>
  </si>
  <si>
    <t>ISS</t>
  </si>
  <si>
    <t>软通动力</t>
  </si>
  <si>
    <t>MEMS</t>
  </si>
  <si>
    <t>美新半导体</t>
  </si>
  <si>
    <t>HMIN</t>
  </si>
  <si>
    <t>如家</t>
  </si>
  <si>
    <t>SVA</t>
  </si>
  <si>
    <t>科兴生物</t>
  </si>
  <si>
    <t>XIN</t>
  </si>
  <si>
    <t>鑫苑置业</t>
  </si>
  <si>
    <t>CBPO</t>
  </si>
  <si>
    <t>泰邦生物</t>
  </si>
  <si>
    <t>FENG</t>
  </si>
  <si>
    <t>凤凰新媒体</t>
  </si>
  <si>
    <t>GURE</t>
  </si>
  <si>
    <t>海湾资源</t>
  </si>
  <si>
    <t>CNTF</t>
  </si>
  <si>
    <t>泰克飞石</t>
  </si>
  <si>
    <t>CBAK</t>
  </si>
  <si>
    <t>比克电池</t>
  </si>
  <si>
    <t>GSOL</t>
  </si>
  <si>
    <t>环球资源</t>
  </si>
  <si>
    <t>OIIM</t>
  </si>
  <si>
    <t>凹凸科技</t>
  </si>
  <si>
    <t>AXN</t>
  </si>
  <si>
    <t>河北奥星</t>
  </si>
  <si>
    <t>ZPIN</t>
  </si>
  <si>
    <t>智联招聘</t>
  </si>
  <si>
    <t>WOWO</t>
  </si>
  <si>
    <t>窝窝团</t>
  </si>
  <si>
    <t>ONP</t>
  </si>
  <si>
    <t>东方纸业</t>
  </si>
  <si>
    <t>SCLN</t>
  </si>
  <si>
    <t>赛生药业</t>
  </si>
  <si>
    <t>JP</t>
  </si>
  <si>
    <t>钜派投资</t>
  </si>
  <si>
    <t>MOBI</t>
  </si>
  <si>
    <t>斯凯</t>
  </si>
  <si>
    <t>HLG</t>
  </si>
  <si>
    <t>海亮教育</t>
  </si>
  <si>
    <t>BORN</t>
  </si>
  <si>
    <t>博润</t>
  </si>
  <si>
    <t>NEP</t>
  </si>
  <si>
    <t>NextEra Energy Partners</t>
  </si>
  <si>
    <t>SKYS</t>
  </si>
  <si>
    <t>天华阳光</t>
  </si>
  <si>
    <t>CAAS</t>
  </si>
  <si>
    <t>中汽系统</t>
  </si>
  <si>
    <t>GRO</t>
  </si>
  <si>
    <t>中冠农业</t>
  </si>
  <si>
    <t>CNET</t>
  </si>
  <si>
    <t>中网在线</t>
  </si>
  <si>
    <t>QKLS</t>
  </si>
  <si>
    <t>庆客隆</t>
  </si>
  <si>
    <t>SOL</t>
  </si>
  <si>
    <t>昱辉阳光</t>
  </si>
  <si>
    <t>XNY</t>
  </si>
  <si>
    <t>希尼亚</t>
  </si>
  <si>
    <t>CCCR</t>
  </si>
  <si>
    <t>鲈乡农村小额贷款</t>
  </si>
  <si>
    <t>CCCL</t>
  </si>
  <si>
    <t>中国陶瓷</t>
  </si>
  <si>
    <t>TSTC</t>
  </si>
  <si>
    <t>东方信联</t>
  </si>
  <si>
    <t>1.21至今涨幅</t>
  </si>
  <si>
    <t>2016.02.28</t>
  </si>
  <si>
    <t>洪排married|黄觊甫married 2 years|hjl 孩子会跳舞|钊玲晒娃|珠宝不断|</t>
  </si>
  <si>
    <t>一切源于冲动情绪左右|一定要把自己练成泰然自若，清心寡欲，心如止水的状态，持续关注，适时把握机会</t>
  </si>
  <si>
    <t xml:space="preserve">小虎队欠款1000W至身价几个E,好几个公司，人家都过来了| mac在我还在睡觉的时候已经出门了| 
别人在奋斗你在做什么呢？| </t>
  </si>
  <si>
    <t>理财</t>
  </si>
  <si>
    <t>brow</t>
  </si>
  <si>
    <t>钢板</t>
  </si>
  <si>
    <t>borshi</t>
  </si>
  <si>
    <t>基金</t>
  </si>
  <si>
    <t>口袋</t>
  </si>
  <si>
    <t>工资</t>
  </si>
  <si>
    <t>gg</t>
  </si>
  <si>
    <t>mg</t>
  </si>
  <si>
    <t>lnd</t>
  </si>
  <si>
    <t>宝信汽车私有化要约通过 5.9元</t>
  </si>
  <si>
    <t>高开</t>
  </si>
  <si>
    <t>时空机|记录|专家之路|优化自身|执行力|100件事情|等待学习的事项</t>
  </si>
  <si>
    <t>家梦控股继续涨，量能很足</t>
  </si>
  <si>
    <t>汇彩控股涨，量能及回购点高</t>
  </si>
  <si>
    <t>2016.02.29</t>
  </si>
  <si>
    <t>耐心都麿没了|积极量能尽失,不想活|</t>
  </si>
  <si>
    <t>JCGROUP 太阳能大单|成本低下</t>
  </si>
  <si>
    <t>壹宝贷将获富誉控股投资 加快消费金融布局</t>
  </si>
  <si>
    <t>《盈利预喜》晨讯(02000.HK)料全年纯利倍增</t>
  </si>
  <si>
    <t>意马国际(00585.HK)发新股交换恒腾(00136.HK)4.5亿股</t>
  </si>
  <si>
    <t>中国9号健康(00419.HK)更名为「华谊腾讯娱乐」</t>
  </si>
  <si>
    <t>2016.03.02</t>
  </si>
  <si>
    <t>3.4t信贷4W</t>
  </si>
  <si>
    <t>3.31-1.6Wl盈进</t>
  </si>
  <si>
    <t>highest</t>
  </si>
  <si>
    <t>lowest</t>
  </si>
  <si>
    <t>dur</t>
  </si>
  <si>
    <t>GLD</t>
  </si>
  <si>
    <t>黄金ETF-SPDR</t>
  </si>
  <si>
    <t>GRPN</t>
  </si>
  <si>
    <t>Groupon</t>
  </si>
  <si>
    <t>KMI</t>
  </si>
  <si>
    <t>Kinder</t>
  </si>
  <si>
    <t>Morgan</t>
  </si>
  <si>
    <t>SYMC</t>
  </si>
  <si>
    <t>赛门铁克</t>
  </si>
  <si>
    <t>SYT</t>
  </si>
  <si>
    <t>先正达</t>
  </si>
  <si>
    <t>SZ002292</t>
  </si>
  <si>
    <t>奥飞动漫</t>
  </si>
  <si>
    <t>AAPL</t>
  </si>
  <si>
    <t>ABX</t>
  </si>
  <si>
    <t>巴里克黄金</t>
  </si>
  <si>
    <t>BCEI</t>
  </si>
  <si>
    <t>Bonanza Creek</t>
  </si>
  <si>
    <t>LC</t>
  </si>
  <si>
    <t>Lending Club</t>
  </si>
  <si>
    <t>SH600559</t>
  </si>
  <si>
    <t>老白干酒</t>
  </si>
  <si>
    <t>Lending</t>
  </si>
  <si>
    <t>Club</t>
  </si>
  <si>
    <t>Bonanza</t>
  </si>
  <si>
    <t>Creek</t>
  </si>
  <si>
    <t>银合控股</t>
  </si>
  <si>
    <t>中绿</t>
  </si>
  <si>
    <t>PERFECTECH</t>
  </si>
  <si>
    <t>INTL</t>
  </si>
  <si>
    <t>JUNEFIELD</t>
  </si>
  <si>
    <t>华瀚健康</t>
  </si>
  <si>
    <t>瀛晟科学</t>
  </si>
  <si>
    <t>SH510050</t>
  </si>
  <si>
    <t>50ETF</t>
  </si>
  <si>
    <t>SH600109</t>
  </si>
  <si>
    <t>国金证券</t>
  </si>
  <si>
    <t>SH600446</t>
  </si>
  <si>
    <t>金证股份</t>
  </si>
  <si>
    <t>SH600570</t>
  </si>
  <si>
    <t>恒生电子</t>
  </si>
  <si>
    <t>SH601166</t>
  </si>
  <si>
    <t>兴业银行</t>
  </si>
  <si>
    <t>SH601318</t>
  </si>
  <si>
    <t>SH601688</t>
  </si>
  <si>
    <t>华泰证券</t>
  </si>
  <si>
    <t>SZ000503</t>
  </si>
  <si>
    <t>海虹控股</t>
  </si>
  <si>
    <t>SZ000587</t>
  </si>
  <si>
    <t>金叶珠宝</t>
  </si>
  <si>
    <t>SZ000651</t>
  </si>
  <si>
    <t>格力电器</t>
  </si>
  <si>
    <t>SZ002024</t>
  </si>
  <si>
    <t>苏宁云商</t>
  </si>
  <si>
    <t>SZ002036</t>
  </si>
  <si>
    <t>联创电子</t>
  </si>
  <si>
    <t>SZ002074</t>
  </si>
  <si>
    <t>国轩高科</t>
  </si>
  <si>
    <t>SZ002230</t>
  </si>
  <si>
    <t>科大讯飞</t>
  </si>
  <si>
    <t>SZ002284</t>
  </si>
  <si>
    <t>亚太股份</t>
  </si>
  <si>
    <t>SZ002418</t>
  </si>
  <si>
    <t>康盛股份</t>
  </si>
  <si>
    <t>SZ002445</t>
  </si>
  <si>
    <t>中南重工</t>
  </si>
  <si>
    <t>SZ300023</t>
  </si>
  <si>
    <t>宝德股份</t>
  </si>
  <si>
    <t>SZ300085</t>
  </si>
  <si>
    <t>银之杰</t>
  </si>
  <si>
    <t>SZ300087</t>
  </si>
  <si>
    <t>荃银高科</t>
  </si>
  <si>
    <t>SZ300222</t>
  </si>
  <si>
    <t>科大智能</t>
  </si>
  <si>
    <t>SZ300253</t>
  </si>
  <si>
    <t>卫宁健康</t>
  </si>
  <si>
    <t>SZ300364</t>
  </si>
  <si>
    <t>中文在线</t>
  </si>
  <si>
    <t>SZ300369</t>
  </si>
  <si>
    <t>绿盟科技</t>
  </si>
  <si>
    <t>SZ300469</t>
  </si>
  <si>
    <t>信息发展</t>
  </si>
</sst>
</file>

<file path=xl/styles.xml><?xml version="1.0" encoding="utf-8"?>
<styleSheet xmlns="http://schemas.openxmlformats.org/spreadsheetml/2006/main">
  <numFmts count="5">
    <numFmt numFmtId="43" formatCode="_ * #,##0.00_ ;_ * \-#,##0.00_ ;_ * &quot;-&quot;??_ ;_ @_ "/>
    <numFmt numFmtId="176" formatCode="0.00_ 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</numFmts>
  <fonts count="34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800080"/>
      <name val="宋体"/>
      <charset val="134"/>
    </font>
    <font>
      <u/>
      <sz val="11"/>
      <color theme="10"/>
      <name val="宋体"/>
      <charset val="134"/>
    </font>
    <font>
      <b/>
      <sz val="11"/>
      <color theme="0"/>
      <name val="宋体"/>
      <charset val="134"/>
      <scheme val="minor"/>
    </font>
    <font>
      <sz val="11"/>
      <color theme="4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u/>
      <sz val="11"/>
      <color theme="10"/>
      <name val="宋体"/>
      <charset val="134"/>
    </font>
    <font>
      <sz val="11"/>
      <color rgb="FF9C0006"/>
      <name val="宋体"/>
      <charset val="134"/>
      <scheme val="minor"/>
    </font>
    <font>
      <sz val="11"/>
      <name val="宋体"/>
      <charset val="134"/>
      <scheme val="minor"/>
    </font>
    <font>
      <b/>
      <sz val="11"/>
      <name val="宋体"/>
      <charset val="134"/>
      <scheme val="minor"/>
    </font>
    <font>
      <b/>
      <i/>
      <u/>
      <sz val="11"/>
      <name val="宋体"/>
      <charset val="134"/>
      <scheme val="minor"/>
    </font>
    <font>
      <b/>
      <i/>
      <sz val="11"/>
      <color theme="0"/>
      <name val="宋体"/>
      <charset val="134"/>
      <scheme val="minor"/>
    </font>
    <font>
      <b/>
      <i/>
      <u/>
      <sz val="11"/>
      <color theme="0"/>
      <name val="宋体"/>
      <charset val="134"/>
      <scheme val="minor"/>
    </font>
    <font>
      <b/>
      <sz val="11"/>
      <color theme="4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134"/>
    </font>
    <font>
      <b/>
      <sz val="11"/>
      <color theme="1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20" fillId="15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0" borderId="3" applyNumberFormat="0" applyFont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5" fillId="0" borderId="4" applyNumberFormat="0" applyFill="0" applyAlignment="0" applyProtection="0">
      <alignment vertical="center"/>
    </xf>
    <xf numFmtId="0" fontId="26" fillId="0" borderId="4" applyNumberFormat="0" applyFill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7" fillId="24" borderId="6" applyNumberFormat="0" applyAlignment="0" applyProtection="0">
      <alignment vertical="center"/>
    </xf>
    <xf numFmtId="0" fontId="28" fillId="24" borderId="2" applyNumberFormat="0" applyAlignment="0" applyProtection="0">
      <alignment vertical="center"/>
    </xf>
    <xf numFmtId="0" fontId="4" fillId="3" borderId="1" applyNumberFormat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0" fillId="0" borderId="8" applyNumberFormat="0" applyFill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1" fillId="0" borderId="0" xfId="0" applyFont="1">
      <alignment vertical="center"/>
    </xf>
    <xf numFmtId="11" fontId="0" fillId="0" borderId="0" xfId="0" applyNumberFormat="1">
      <alignment vertical="center"/>
    </xf>
    <xf numFmtId="11" fontId="1" fillId="0" borderId="0" xfId="0" applyNumberFormat="1" applyFont="1">
      <alignment vertical="center"/>
    </xf>
    <xf numFmtId="0" fontId="0" fillId="0" borderId="0" xfId="0" applyFill="1">
      <alignment vertical="center"/>
    </xf>
    <xf numFmtId="0" fontId="2" fillId="0" borderId="0" xfId="10" applyFont="1" applyFill="1" applyAlignment="1" applyProtection="1">
      <alignment vertical="center"/>
    </xf>
    <xf numFmtId="0" fontId="1" fillId="0" borderId="0" xfId="0" applyFont="1" applyFill="1">
      <alignment vertical="center"/>
    </xf>
    <xf numFmtId="14" fontId="0" fillId="0" borderId="0" xfId="0" applyNumberFormat="1">
      <alignment vertical="center"/>
    </xf>
    <xf numFmtId="0" fontId="3" fillId="0" borderId="0" xfId="10" applyAlignment="1" applyProtection="1">
      <alignment horizontal="left" vertical="center" wrapText="1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1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  <xf numFmtId="11" fontId="1" fillId="0" borderId="0" xfId="0" applyNumberFormat="1" applyFont="1" applyFill="1">
      <alignment vertical="center"/>
    </xf>
    <xf numFmtId="176" fontId="1" fillId="0" borderId="0" xfId="0" applyNumberFormat="1" applyFont="1" applyFill="1">
      <alignment vertical="center"/>
    </xf>
    <xf numFmtId="176" fontId="0" fillId="0" borderId="0" xfId="0" applyNumberFormat="1" applyFont="1" applyFill="1">
      <alignment vertical="center"/>
    </xf>
    <xf numFmtId="10" fontId="0" fillId="0" borderId="0" xfId="0" applyNumberFormat="1" applyFill="1">
      <alignment vertical="center"/>
    </xf>
    <xf numFmtId="10" fontId="1" fillId="0" borderId="0" xfId="0" applyNumberFormat="1" applyFont="1" applyFill="1">
      <alignment vertical="center"/>
    </xf>
    <xf numFmtId="11" fontId="0" fillId="2" borderId="0" xfId="0" applyNumberFormat="1" applyFill="1">
      <alignment vertical="center"/>
    </xf>
    <xf numFmtId="176" fontId="4" fillId="3" borderId="1" xfId="26" applyNumberFormat="1">
      <alignment vertical="center"/>
    </xf>
    <xf numFmtId="0" fontId="1" fillId="0" borderId="1" xfId="0" applyFont="1" applyFill="1" applyBorder="1">
      <alignment vertical="center"/>
    </xf>
    <xf numFmtId="176" fontId="4" fillId="3" borderId="0" xfId="26" applyNumberFormat="1" applyFont="1" applyBorder="1">
      <alignment vertical="center"/>
    </xf>
    <xf numFmtId="0" fontId="5" fillId="0" borderId="0" xfId="0" applyFont="1">
      <alignment vertical="center"/>
    </xf>
    <xf numFmtId="176" fontId="0" fillId="0" borderId="0" xfId="0" applyNumberFormat="1" applyFill="1" applyBorder="1">
      <alignment vertical="center"/>
    </xf>
    <xf numFmtId="176" fontId="1" fillId="0" borderId="1" xfId="0" applyNumberFormat="1" applyFont="1" applyFill="1" applyBorder="1">
      <alignment vertical="center"/>
    </xf>
    <xf numFmtId="176" fontId="4" fillId="3" borderId="1" xfId="26" applyNumberFormat="1" applyFont="1" applyBorder="1">
      <alignment vertical="center"/>
    </xf>
    <xf numFmtId="176" fontId="0" fillId="0" borderId="1" xfId="0" applyNumberFormat="1" applyFill="1" applyBorder="1">
      <alignment vertical="center"/>
    </xf>
    <xf numFmtId="176" fontId="1" fillId="0" borderId="0" xfId="0" applyNumberFormat="1" applyFont="1" applyFill="1" applyBorder="1">
      <alignment vertical="center"/>
    </xf>
    <xf numFmtId="0" fontId="4" fillId="3" borderId="1" xfId="26">
      <alignment vertical="center"/>
    </xf>
    <xf numFmtId="0" fontId="3" fillId="0" borderId="0" xfId="10" applyFill="1" applyAlignment="1" applyProtection="1">
      <alignment vertical="center"/>
    </xf>
    <xf numFmtId="0" fontId="6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3" fillId="0" borderId="0" xfId="10" applyFont="1" applyFill="1" applyAlignment="1" applyProtection="1">
      <alignment vertical="center"/>
    </xf>
    <xf numFmtId="0" fontId="7" fillId="0" borderId="0" xfId="10" applyFont="1" applyFill="1" applyAlignment="1" applyProtection="1">
      <alignment vertical="center"/>
    </xf>
    <xf numFmtId="176" fontId="8" fillId="0" borderId="1" xfId="7" applyNumberFormat="1" applyFill="1" applyBorder="1">
      <alignment vertical="center"/>
    </xf>
    <xf numFmtId="0" fontId="1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>
      <alignment vertical="center"/>
    </xf>
    <xf numFmtId="176" fontId="4" fillId="3" borderId="1" xfId="26" applyNumberFormat="1" applyBorder="1">
      <alignment vertical="center"/>
    </xf>
    <xf numFmtId="0" fontId="4" fillId="3" borderId="0" xfId="26" applyBorder="1">
      <alignment vertical="center"/>
    </xf>
    <xf numFmtId="0" fontId="4" fillId="3" borderId="0" xfId="26" applyFont="1" applyBorder="1">
      <alignment vertical="center"/>
    </xf>
    <xf numFmtId="0" fontId="0" fillId="0" borderId="1" xfId="0" applyFill="1" applyBorder="1">
      <alignment vertical="center"/>
    </xf>
    <xf numFmtId="0" fontId="9" fillId="0" borderId="0" xfId="0" applyFont="1" applyFill="1">
      <alignment vertical="center"/>
    </xf>
    <xf numFmtId="0" fontId="9" fillId="0" borderId="1" xfId="0" applyFont="1" applyFill="1" applyBorder="1">
      <alignment vertical="center"/>
    </xf>
    <xf numFmtId="0" fontId="9" fillId="0" borderId="0" xfId="0" applyFont="1" applyFill="1" applyBorder="1">
      <alignment vertical="center"/>
    </xf>
    <xf numFmtId="0" fontId="10" fillId="3" borderId="0" xfId="26" applyFont="1" applyBorder="1">
      <alignment vertical="center"/>
    </xf>
    <xf numFmtId="0" fontId="4" fillId="3" borderId="1" xfId="26" applyBorder="1">
      <alignment vertical="center"/>
    </xf>
    <xf numFmtId="176" fontId="0" fillId="0" borderId="1" xfId="0" applyNumberFormat="1" applyFont="1" applyFill="1" applyBorder="1">
      <alignment vertical="center"/>
    </xf>
    <xf numFmtId="0" fontId="10" fillId="0" borderId="0" xfId="26" applyFont="1" applyFill="1" applyBorder="1">
      <alignment vertical="center"/>
    </xf>
    <xf numFmtId="176" fontId="4" fillId="3" borderId="0" xfId="26" applyNumberFormat="1" applyBorder="1">
      <alignment vertical="center"/>
    </xf>
    <xf numFmtId="0" fontId="10" fillId="0" borderId="1" xfId="0" applyFont="1" applyFill="1" applyBorder="1">
      <alignment vertical="center"/>
    </xf>
    <xf numFmtId="0" fontId="10" fillId="3" borderId="1" xfId="26" applyFont="1" applyBorder="1">
      <alignment vertical="center"/>
    </xf>
    <xf numFmtId="0" fontId="11" fillId="0" borderId="1" xfId="0" applyFont="1" applyFill="1" applyBorder="1">
      <alignment vertical="center"/>
    </xf>
    <xf numFmtId="176" fontId="4" fillId="0" borderId="1" xfId="26" applyNumberFormat="1" applyFont="1" applyFill="1" applyBorder="1">
      <alignment vertical="center"/>
    </xf>
    <xf numFmtId="176" fontId="0" fillId="0" borderId="0" xfId="0" applyNumberFormat="1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12" fillId="3" borderId="0" xfId="26" applyFont="1" applyBorder="1">
      <alignment vertical="center"/>
    </xf>
    <xf numFmtId="0" fontId="10" fillId="0" borderId="1" xfId="26" applyFont="1" applyFill="1" applyBorder="1">
      <alignment vertical="center"/>
    </xf>
    <xf numFmtId="10" fontId="0" fillId="0" borderId="0" xfId="0" applyNumberFormat="1" applyFill="1" applyBorder="1">
      <alignment vertical="center"/>
    </xf>
    <xf numFmtId="0" fontId="0" fillId="0" borderId="0" xfId="0" applyFont="1" applyFill="1">
      <alignment vertical="center"/>
    </xf>
    <xf numFmtId="0" fontId="3" fillId="0" borderId="0" xfId="10" applyFill="1" applyBorder="1" applyAlignment="1" applyProtection="1">
      <alignment vertical="center"/>
    </xf>
    <xf numFmtId="10" fontId="1" fillId="0" borderId="0" xfId="0" applyNumberFormat="1" applyFont="1" applyFill="1" applyBorder="1">
      <alignment vertical="center"/>
    </xf>
    <xf numFmtId="10" fontId="1" fillId="0" borderId="1" xfId="0" applyNumberFormat="1" applyFont="1" applyFill="1" applyBorder="1">
      <alignment vertical="center"/>
    </xf>
    <xf numFmtId="0" fontId="13" fillId="3" borderId="0" xfId="26" applyFont="1" applyBorder="1">
      <alignment vertical="center"/>
    </xf>
    <xf numFmtId="0" fontId="11" fillId="0" borderId="0" xfId="0" applyFont="1" applyFill="1" applyBorder="1">
      <alignment vertical="center"/>
    </xf>
    <xf numFmtId="11" fontId="1" fillId="0" borderId="0" xfId="0" applyNumberFormat="1" applyFont="1" applyFill="1" applyBorder="1">
      <alignment vertical="center"/>
    </xf>
    <xf numFmtId="10" fontId="4" fillId="3" borderId="0" xfId="26" applyNumberFormat="1" applyBorder="1">
      <alignment vertical="center"/>
    </xf>
    <xf numFmtId="11" fontId="1" fillId="0" borderId="1" xfId="0" applyNumberFormat="1" applyFont="1" applyFill="1" applyBorder="1">
      <alignment vertical="center"/>
    </xf>
    <xf numFmtId="10" fontId="0" fillId="0" borderId="1" xfId="0" applyNumberFormat="1" applyFill="1" applyBorder="1">
      <alignment vertical="center"/>
    </xf>
    <xf numFmtId="0" fontId="14" fillId="0" borderId="0" xfId="0" applyFont="1" applyFill="1">
      <alignment vertical="center"/>
    </xf>
    <xf numFmtId="0" fontId="2" fillId="0" borderId="0" xfId="10" applyFont="1" applyFill="1" applyBorder="1" applyAlignment="1" applyProtection="1">
      <alignment vertical="center"/>
    </xf>
    <xf numFmtId="11" fontId="4" fillId="3" borderId="0" xfId="26" applyNumberFormat="1" applyBorder="1">
      <alignment vertical="center"/>
    </xf>
    <xf numFmtId="0" fontId="12" fillId="3" borderId="1" xfId="26" applyFont="1" applyBorder="1">
      <alignment vertical="center"/>
    </xf>
    <xf numFmtId="0" fontId="13" fillId="3" borderId="1" xfId="26" applyFont="1" applyBorder="1">
      <alignment vertical="center"/>
    </xf>
    <xf numFmtId="0" fontId="15" fillId="0" borderId="0" xfId="0" applyFont="1" applyFill="1">
      <alignment vertical="center"/>
    </xf>
    <xf numFmtId="0" fontId="0" fillId="2" borderId="0" xfId="0" applyFill="1" applyBorder="1">
      <alignment vertical="center"/>
    </xf>
    <xf numFmtId="0" fontId="10" fillId="2" borderId="0" xfId="26" applyFont="1" applyFill="1" applyBorder="1">
      <alignment vertical="center"/>
    </xf>
    <xf numFmtId="176" fontId="0" fillId="2" borderId="1" xfId="0" applyNumberFormat="1" applyFill="1" applyBorder="1">
      <alignment vertical="center"/>
    </xf>
    <xf numFmtId="176" fontId="10" fillId="0" borderId="1" xfId="26" applyNumberFormat="1" applyFont="1" applyFill="1" applyBorder="1">
      <alignment vertical="center"/>
    </xf>
    <xf numFmtId="176" fontId="0" fillId="2" borderId="0" xfId="0" applyNumberFormat="1" applyFont="1" applyFill="1">
      <alignment vertical="center"/>
    </xf>
    <xf numFmtId="10" fontId="0" fillId="2" borderId="0" xfId="0" applyNumberFormat="1" applyFill="1">
      <alignment vertical="center"/>
    </xf>
    <xf numFmtId="176" fontId="1" fillId="2" borderId="0" xfId="0" applyNumberFormat="1" applyFont="1" applyFill="1">
      <alignment vertical="center"/>
    </xf>
    <xf numFmtId="0" fontId="3" fillId="2" borderId="0" xfId="10" applyFill="1" applyAlignment="1" applyProtection="1">
      <alignment vertical="center"/>
    </xf>
    <xf numFmtId="0" fontId="0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4" fillId="3" borderId="0" xfId="26" applyFont="1" applyBorder="1" applyAlignment="1" applyProtection="1">
      <alignment vertical="center"/>
    </xf>
    <xf numFmtId="0" fontId="7" fillId="0" borderId="0" xfId="10" applyFont="1" applyFill="1" applyBorder="1" applyAlignment="1" applyProtection="1">
      <alignment vertical="center"/>
    </xf>
    <xf numFmtId="0" fontId="6" fillId="0" borderId="0" xfId="0" applyFont="1" applyFill="1" applyBorder="1">
      <alignment vertical="center"/>
    </xf>
    <xf numFmtId="0" fontId="3" fillId="0" borderId="0" xfId="10" applyFont="1" applyFill="1" applyBorder="1" applyAlignment="1" applyProtection="1">
      <alignment vertical="center"/>
    </xf>
    <xf numFmtId="0" fontId="9" fillId="2" borderId="0" xfId="0" applyFont="1" applyFill="1" applyBorder="1">
      <alignment vertical="center"/>
    </xf>
    <xf numFmtId="0" fontId="0" fillId="0" borderId="0" xfId="0" applyBorder="1">
      <alignment vertical="center"/>
    </xf>
    <xf numFmtId="0" fontId="9" fillId="2" borderId="1" xfId="0" applyFont="1" applyFill="1" applyBorder="1">
      <alignment vertical="center"/>
    </xf>
    <xf numFmtId="176" fontId="0" fillId="2" borderId="0" xfId="0" applyNumberFormat="1" applyFill="1" applyBorder="1">
      <alignment vertical="center"/>
    </xf>
    <xf numFmtId="0" fontId="2" fillId="2" borderId="0" xfId="10" applyFont="1" applyFill="1" applyAlignment="1" applyProtection="1">
      <alignment vertical="center"/>
    </xf>
    <xf numFmtId="0" fontId="3" fillId="0" borderId="1" xfId="10" applyFill="1" applyBorder="1" applyAlignment="1" applyProtection="1">
      <alignment vertical="center"/>
    </xf>
    <xf numFmtId="0" fontId="0" fillId="2" borderId="1" xfId="0" applyFill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2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styles" Target="styles.xml"/><Relationship Id="rId18" Type="http://schemas.openxmlformats.org/officeDocument/2006/relationships/theme" Target="theme/theme1.xml"/><Relationship Id="rId17" Type="http://schemas.openxmlformats.org/officeDocument/2006/relationships/connections" Target="connections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299648"/>
        <c:axId val="156301184"/>
      </c:barChart>
      <c:catAx>
        <c:axId val="1562996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56301184"/>
        <c:crosses val="autoZero"/>
        <c:auto val="1"/>
        <c:lblAlgn val="ctr"/>
        <c:lblOffset val="100"/>
        <c:noMultiLvlLbl val="0"/>
      </c:catAx>
      <c:valAx>
        <c:axId val="1563011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56299648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7</xdr:row>
          <xdr:rowOff>186055</xdr:rowOff>
        </xdr:from>
        <xdr:to>
          <xdr:col>25</xdr:col>
          <xdr:colOff>140335</xdr:colOff>
          <xdr:row>17</xdr:row>
          <xdr:rowOff>0</xdr:rowOff>
        </xdr:to>
        <xdr:sp macro="[0]!freshPrice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11193780" y="381000"/>
              <a:ext cx="561340" cy="19494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历史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5</xdr:row>
          <xdr:rowOff>177165</xdr:rowOff>
        </xdr:from>
        <xdr:to>
          <xdr:col>25</xdr:col>
          <xdr:colOff>140335</xdr:colOff>
          <xdr:row>16</xdr:row>
          <xdr:rowOff>9525</xdr:rowOff>
        </xdr:to>
        <xdr:sp macro="[0]!freshPriceDay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11193780" y="367665"/>
              <a:ext cx="561340" cy="21336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实时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8</xdr:row>
          <xdr:rowOff>152400</xdr:rowOff>
        </xdr:from>
        <xdr:to>
          <xdr:col>24</xdr:col>
          <xdr:colOff>600075</xdr:colOff>
          <xdr:row>9</xdr:row>
          <xdr:rowOff>171450</xdr:rowOff>
        </xdr:to>
        <xdr:sp macro="[0]!freshPrice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17526000" y="1676400"/>
              <a:ext cx="561975" cy="20955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历史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6</xdr:row>
          <xdr:rowOff>142875</xdr:rowOff>
        </xdr:from>
        <xdr:to>
          <xdr:col>24</xdr:col>
          <xdr:colOff>600075</xdr:colOff>
          <xdr:row>7</xdr:row>
          <xdr:rowOff>171450</xdr:rowOff>
        </xdr:to>
        <xdr:sp macro="[0]!freshPriceDay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17526000" y="1285875"/>
              <a:ext cx="561975" cy="2190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实时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</xdr:col>
      <xdr:colOff>383749</xdr:colOff>
      <xdr:row>35</xdr:row>
      <xdr:rowOff>77575</xdr:rowOff>
    </xdr:to>
    <xdr:graphicFrame>
      <xdr:nvGraphicFramePr>
        <xdr:cNvPr id="2" name="图表 1"/>
        <xdr:cNvGraphicFramePr>
          <a:graphicFrameLocks noGrp="1"/>
        </xdr:cNvGraphicFramePr>
      </xdr:nvGraphicFramePr>
      <xdr:xfrm>
        <a:off x="0" y="0"/>
        <a:ext cx="9298940" cy="60782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180975</xdr:colOff>
          <xdr:row>2</xdr:row>
          <xdr:rowOff>85725</xdr:rowOff>
        </xdr:from>
        <xdr:to>
          <xdr:col>19</xdr:col>
          <xdr:colOff>666750</xdr:colOff>
          <xdr:row>3</xdr:row>
          <xdr:rowOff>133350</xdr:rowOff>
        </xdr:to>
        <xdr:sp macro="[0]!freshPrice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3211175" y="428625"/>
              <a:ext cx="485775" cy="2190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按钮 1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1</xdr:row>
          <xdr:rowOff>85725</xdr:rowOff>
        </xdr:from>
        <xdr:to>
          <xdr:col>19</xdr:col>
          <xdr:colOff>247650</xdr:colOff>
          <xdr:row>2</xdr:row>
          <xdr:rowOff>133350</xdr:rowOff>
        </xdr:to>
        <xdr:sp macro="[0]!freshPrice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5944850" y="257175"/>
              <a:ext cx="561975" cy="2190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按钮 16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abc" connectionId="1" autoFormatId="16" applyNumberFormats="0" applyBorderFormats="0" applyFontFormats="1" applyPatternFormats="1" applyAlignmentFormats="0" applyWidthHeightFormats="0">
  <queryTableRefresh preserveSortFilterLayout="1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.xml><?xml version="1.0" encoding="utf-8"?>
<queryTable xmlns="http://schemas.openxmlformats.org/spreadsheetml/2006/main" name="abc2" connectionId="4" autoFormatId="16" applyNumberFormats="0" applyBorderFormats="0" applyFontFormats="1" applyPatternFormats="1" applyAlignmentFormats="0" applyWidthHeightFormats="0">
  <queryTableRefresh preserveSortFilterLayout="1" nextId="16">
    <queryTableFields count="15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</queryTableFields>
  </queryTableRefresh>
</queryTable>
</file>

<file path=xl/queryTables/queryTable3.xml><?xml version="1.0" encoding="utf-8"?>
<queryTable xmlns="http://schemas.openxmlformats.org/spreadsheetml/2006/main" name="abc2" connectionId="3" autoFormatId="16" applyNumberFormats="0" applyBorderFormats="0" applyFontFormats="1" applyPatternFormats="1" applyAlignmentFormats="0" applyWidthHeightFormats="0">
  <queryTableRefresh preserveSortFilterLayout="1" nextId="16">
    <queryTableFields count="15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</queryTableFields>
  </queryTableRefresh>
</queryTable>
</file>

<file path=xl/queryTables/queryTable4.xml><?xml version="1.0" encoding="utf-8"?>
<queryTable xmlns="http://schemas.openxmlformats.org/spreadsheetml/2006/main" name="newadd68." connectionId="9" autoFormatId="16" applyNumberFormats="0" applyBorderFormats="0" applyFontFormats="1" applyPatternFormats="1" applyAlignmentFormats="0" applyWidthHeightFormats="0">
  <queryTableRefresh preserveSortFilterLayout="1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5.xml><?xml version="1.0" encoding="utf-8"?>
<queryTable xmlns="http://schemas.openxmlformats.org/spreadsheetml/2006/main" name="newadd25." connectionId="6" autoFormatId="16" applyNumberFormats="0" applyBorderFormats="0" applyFontFormats="1" applyPatternFormats="1" applyAlignmentFormats="0" applyWidthHeightFormats="0">
  <queryTableRefresh preserveSortFilterLayout="1" nextId="11">
    <queryTableFields count="10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</queryTableFields>
  </queryTableRefresh>
</queryTable>
</file>

<file path=xl/queryTables/queryTable6.xml><?xml version="1.0" encoding="utf-8"?>
<queryTable xmlns="http://schemas.openxmlformats.org/spreadsheetml/2006/main" name="newadd32." connectionId="7" autoFormatId="16" applyNumberFormats="0" applyBorderFormats="0" applyFontFormats="1" applyPatternFormats="1" applyAlignmentFormats="0" applyWidthHeightFormats="0">
  <queryTableRefresh preserveSortFilterLayout="1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7.xml><?xml version="1.0" encoding="utf-8"?>
<queryTable xmlns="http://schemas.openxmlformats.org/spreadsheetml/2006/main" name="allInfo." connectionId="5" autoFormatId="16" applyNumberFormats="0" applyBorderFormats="0" applyFontFormats="1" applyPatternFormats="1" applyAlignmentFormats="0" applyWidthHeightFormats="0">
  <queryTableRefresh preserveSortFilterLayout="1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8.xml><?xml version="1.0" encoding="utf-8"?>
<queryTable xmlns="http://schemas.openxmlformats.org/spreadsheetml/2006/main" name="newadd4" connectionId="8" autoFormatId="16" applyNumberFormats="0" applyBorderFormats="0" applyFontFormats="1" applyPatternFormats="1" applyAlignmentFormats="0" applyWidthHeightFormats="0">
  <queryTableRefresh preserveSortFilterLayout="1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99" Type="http://schemas.openxmlformats.org/officeDocument/2006/relationships/hyperlink" Target="http://xueqiu.com/S/01480" TargetMode="External"/><Relationship Id="rId98" Type="http://schemas.openxmlformats.org/officeDocument/2006/relationships/hyperlink" Target="http://xueqiu.com/S/00579" TargetMode="External"/><Relationship Id="rId97" Type="http://schemas.openxmlformats.org/officeDocument/2006/relationships/hyperlink" Target="http://xueqiu.com/S/02298" TargetMode="External"/><Relationship Id="rId96" Type="http://schemas.openxmlformats.org/officeDocument/2006/relationships/hyperlink" Target="http://xueqiu.com/S/00392" TargetMode="External"/><Relationship Id="rId95" Type="http://schemas.openxmlformats.org/officeDocument/2006/relationships/hyperlink" Target="http://xueqiu.com/S/08121" TargetMode="External"/><Relationship Id="rId94" Type="http://schemas.openxmlformats.org/officeDocument/2006/relationships/hyperlink" Target="http://xueqiu.com/S/03399" TargetMode="External"/><Relationship Id="rId93" Type="http://schemas.openxmlformats.org/officeDocument/2006/relationships/hyperlink" Target="http://xueqiu.com/S/01395" TargetMode="External"/><Relationship Id="rId92" Type="http://schemas.openxmlformats.org/officeDocument/2006/relationships/hyperlink" Target="http://xueqiu.com/S/00906" TargetMode="External"/><Relationship Id="rId91" Type="http://schemas.openxmlformats.org/officeDocument/2006/relationships/hyperlink" Target="http://xueqiu.com/S/03380" TargetMode="External"/><Relationship Id="rId90" Type="http://schemas.openxmlformats.org/officeDocument/2006/relationships/hyperlink" Target="http://xueqiu.com/S/00434" TargetMode="External"/><Relationship Id="rId9" Type="http://schemas.openxmlformats.org/officeDocument/2006/relationships/hyperlink" Target="http://xueqiu.com/S/08265" TargetMode="External"/><Relationship Id="rId89" Type="http://schemas.openxmlformats.org/officeDocument/2006/relationships/hyperlink" Target="http://xueqiu.com/S/03699" TargetMode="External"/><Relationship Id="rId88" Type="http://schemas.openxmlformats.org/officeDocument/2006/relationships/hyperlink" Target="http://xueqiu.com/S/02208" TargetMode="External"/><Relationship Id="rId87" Type="http://schemas.openxmlformats.org/officeDocument/2006/relationships/hyperlink" Target="http://xueqiu.com/S/00299" TargetMode="External"/><Relationship Id="rId86" Type="http://schemas.openxmlformats.org/officeDocument/2006/relationships/hyperlink" Target="http://xueqiu.com/S/01327" TargetMode="External"/><Relationship Id="rId85" Type="http://schemas.openxmlformats.org/officeDocument/2006/relationships/hyperlink" Target="http://xueqiu.com/S/01052" TargetMode="External"/><Relationship Id="rId84" Type="http://schemas.openxmlformats.org/officeDocument/2006/relationships/hyperlink" Target="http://xueqiu.com/S/01816" TargetMode="External"/><Relationship Id="rId83" Type="http://schemas.openxmlformats.org/officeDocument/2006/relationships/hyperlink" Target="http://xueqiu.com/S/00085" TargetMode="External"/><Relationship Id="rId82" Type="http://schemas.openxmlformats.org/officeDocument/2006/relationships/hyperlink" Target="http://xueqiu.com/S/00660" TargetMode="External"/><Relationship Id="rId81" Type="http://schemas.openxmlformats.org/officeDocument/2006/relationships/hyperlink" Target="http://xueqiu.com/S/00966" TargetMode="External"/><Relationship Id="rId80" Type="http://schemas.openxmlformats.org/officeDocument/2006/relationships/hyperlink" Target="http://xueqiu.com/S/02883" TargetMode="External"/><Relationship Id="rId8" Type="http://schemas.openxmlformats.org/officeDocument/2006/relationships/hyperlink" Target="http://xueqiu.com/S/00572" TargetMode="External"/><Relationship Id="rId79" Type="http://schemas.openxmlformats.org/officeDocument/2006/relationships/hyperlink" Target="http://xueqiu.com/S/02018" TargetMode="External"/><Relationship Id="rId78" Type="http://schemas.openxmlformats.org/officeDocument/2006/relationships/hyperlink" Target="http://xueqiu.com/S/01288" TargetMode="External"/><Relationship Id="rId77" Type="http://schemas.openxmlformats.org/officeDocument/2006/relationships/hyperlink" Target="http://xueqiu.com/S/01143" TargetMode="External"/><Relationship Id="rId76" Type="http://schemas.openxmlformats.org/officeDocument/2006/relationships/hyperlink" Target="http://xueqiu.com/S/02331" TargetMode="External"/><Relationship Id="rId75" Type="http://schemas.openxmlformats.org/officeDocument/2006/relationships/hyperlink" Target="http://xueqiu.com/S/01322" TargetMode="External"/><Relationship Id="rId74" Type="http://schemas.openxmlformats.org/officeDocument/2006/relationships/hyperlink" Target="http://xueqiu.com/S/01831" TargetMode="External"/><Relationship Id="rId73" Type="http://schemas.openxmlformats.org/officeDocument/2006/relationships/hyperlink" Target="http://xueqiu.com/S/01082" TargetMode="External"/><Relationship Id="rId72" Type="http://schemas.openxmlformats.org/officeDocument/2006/relationships/hyperlink" Target="http://xueqiu.com/S/00661" TargetMode="External"/><Relationship Id="rId71" Type="http://schemas.openxmlformats.org/officeDocument/2006/relationships/hyperlink" Target="http://xueqiu.com/S/01293" TargetMode="External"/><Relationship Id="rId70" Type="http://schemas.openxmlformats.org/officeDocument/2006/relationships/hyperlink" Target="http://xueqiu.com/S/00715" TargetMode="External"/><Relationship Id="rId7" Type="http://schemas.openxmlformats.org/officeDocument/2006/relationships/hyperlink" Target="http://xueqiu.com/S/00095" TargetMode="External"/><Relationship Id="rId69" Type="http://schemas.openxmlformats.org/officeDocument/2006/relationships/hyperlink" Target="http://xueqiu.com/S/02800" TargetMode="External"/><Relationship Id="rId68" Type="http://schemas.openxmlformats.org/officeDocument/2006/relationships/hyperlink" Target="http://xueqiu.com/S/01495" TargetMode="External"/><Relationship Id="rId67" Type="http://schemas.openxmlformats.org/officeDocument/2006/relationships/hyperlink" Target="http://xueqiu.com/S/01358" TargetMode="External"/><Relationship Id="rId66" Type="http://schemas.openxmlformats.org/officeDocument/2006/relationships/hyperlink" Target="http://xueqiu.com/S/00082" TargetMode="External"/><Relationship Id="rId65" Type="http://schemas.openxmlformats.org/officeDocument/2006/relationships/hyperlink" Target="http://xueqiu.com/S/08037" TargetMode="External"/><Relationship Id="rId64" Type="http://schemas.openxmlformats.org/officeDocument/2006/relationships/hyperlink" Target="http://xueqiu.com/S/01718" TargetMode="External"/><Relationship Id="rId63" Type="http://schemas.openxmlformats.org/officeDocument/2006/relationships/hyperlink" Target="http://xueqiu.com/S/01666" TargetMode="External"/><Relationship Id="rId62" Type="http://schemas.openxmlformats.org/officeDocument/2006/relationships/hyperlink" Target="http://xueqiu.com/S/02014" TargetMode="External"/><Relationship Id="rId61" Type="http://schemas.openxmlformats.org/officeDocument/2006/relationships/hyperlink" Target="http://xueqiu.com/S/01980" TargetMode="External"/><Relationship Id="rId604" Type="http://schemas.openxmlformats.org/officeDocument/2006/relationships/hyperlink" Target="http://xueqiu.com/S/00987" TargetMode="External"/><Relationship Id="rId603" Type="http://schemas.openxmlformats.org/officeDocument/2006/relationships/hyperlink" Target="http://xueqiu.com/S/00630" TargetMode="External"/><Relationship Id="rId602" Type="http://schemas.openxmlformats.org/officeDocument/2006/relationships/hyperlink" Target="http://xueqiu.com/S/08182" TargetMode="External"/><Relationship Id="rId601" Type="http://schemas.openxmlformats.org/officeDocument/2006/relationships/hyperlink" Target="http://xueqiu.com/S/00938" TargetMode="External"/><Relationship Id="rId600" Type="http://schemas.openxmlformats.org/officeDocument/2006/relationships/hyperlink" Target="http://xueqiu.com/S/00109" TargetMode="External"/><Relationship Id="rId60" Type="http://schemas.openxmlformats.org/officeDocument/2006/relationships/hyperlink" Target="http://xueqiu.com/S/00338" TargetMode="External"/><Relationship Id="rId6" Type="http://schemas.openxmlformats.org/officeDocument/2006/relationships/hyperlink" Target="http://xueqiu.com/S/03996" TargetMode="External"/><Relationship Id="rId599" Type="http://schemas.openxmlformats.org/officeDocument/2006/relationships/hyperlink" Target="http://xueqiu.com/S/00975" TargetMode="External"/><Relationship Id="rId598" Type="http://schemas.openxmlformats.org/officeDocument/2006/relationships/hyperlink" Target="http://xueqiu.com/S/08363" TargetMode="External"/><Relationship Id="rId597" Type="http://schemas.openxmlformats.org/officeDocument/2006/relationships/hyperlink" Target="http://xueqiu.com/S/00467" TargetMode="External"/><Relationship Id="rId596" Type="http://schemas.openxmlformats.org/officeDocument/2006/relationships/hyperlink" Target="http://xueqiu.com/S/02788" TargetMode="External"/><Relationship Id="rId595" Type="http://schemas.openxmlformats.org/officeDocument/2006/relationships/hyperlink" Target="http://xueqiu.com/S/01488" TargetMode="External"/><Relationship Id="rId594" Type="http://schemas.openxmlformats.org/officeDocument/2006/relationships/hyperlink" Target="http://xueqiu.com/S/01662" TargetMode="External"/><Relationship Id="rId593" Type="http://schemas.openxmlformats.org/officeDocument/2006/relationships/hyperlink" Target="http://xueqiu.com/S/00632" TargetMode="External"/><Relationship Id="rId592" Type="http://schemas.openxmlformats.org/officeDocument/2006/relationships/hyperlink" Target="http://xueqiu.com/S/08167" TargetMode="External"/><Relationship Id="rId591" Type="http://schemas.openxmlformats.org/officeDocument/2006/relationships/hyperlink" Target="http://xueqiu.com/S/08290" TargetMode="External"/><Relationship Id="rId590" Type="http://schemas.openxmlformats.org/officeDocument/2006/relationships/hyperlink" Target="http://xueqiu.com/S/08279" TargetMode="External"/><Relationship Id="rId59" Type="http://schemas.openxmlformats.org/officeDocument/2006/relationships/hyperlink" Target="http://xueqiu.com/S/06108" TargetMode="External"/><Relationship Id="rId589" Type="http://schemas.openxmlformats.org/officeDocument/2006/relationships/hyperlink" Target="http://xueqiu.com/S/01380" TargetMode="External"/><Relationship Id="rId588" Type="http://schemas.openxmlformats.org/officeDocument/2006/relationships/hyperlink" Target="http://xueqiu.com/S/01205" TargetMode="External"/><Relationship Id="rId587" Type="http://schemas.openxmlformats.org/officeDocument/2006/relationships/hyperlink" Target="http://xueqiu.com/S/03344" TargetMode="External"/><Relationship Id="rId586" Type="http://schemas.openxmlformats.org/officeDocument/2006/relationships/hyperlink" Target="http://xueqiu.com/S/00276" TargetMode="External"/><Relationship Id="rId585" Type="http://schemas.openxmlformats.org/officeDocument/2006/relationships/hyperlink" Target="http://xueqiu.com/S/08311" TargetMode="External"/><Relationship Id="rId584" Type="http://schemas.openxmlformats.org/officeDocument/2006/relationships/hyperlink" Target="http://xueqiu.com/S/00197" TargetMode="External"/><Relationship Id="rId583" Type="http://schemas.openxmlformats.org/officeDocument/2006/relationships/hyperlink" Target="http://xueqiu.com/S/02698" TargetMode="External"/><Relationship Id="rId582" Type="http://schemas.openxmlformats.org/officeDocument/2006/relationships/hyperlink" Target="http://xueqiu.com/S/00328" TargetMode="External"/><Relationship Id="rId581" Type="http://schemas.openxmlformats.org/officeDocument/2006/relationships/hyperlink" Target="http://xueqiu.com/S/02282" TargetMode="External"/><Relationship Id="rId580" Type="http://schemas.openxmlformats.org/officeDocument/2006/relationships/hyperlink" Target="http://xueqiu.com/S/00378" TargetMode="External"/><Relationship Id="rId58" Type="http://schemas.openxmlformats.org/officeDocument/2006/relationships/hyperlink" Target="http://xueqiu.com/S/01970" TargetMode="External"/><Relationship Id="rId579" Type="http://schemas.openxmlformats.org/officeDocument/2006/relationships/hyperlink" Target="http://xueqiu.com/S/01448" TargetMode="External"/><Relationship Id="rId578" Type="http://schemas.openxmlformats.org/officeDocument/2006/relationships/hyperlink" Target="http://xueqiu.com/S/01132" TargetMode="External"/><Relationship Id="rId577" Type="http://schemas.openxmlformats.org/officeDocument/2006/relationships/hyperlink" Target="http://xueqiu.com/S/01087" TargetMode="External"/><Relationship Id="rId576" Type="http://schemas.openxmlformats.org/officeDocument/2006/relationships/hyperlink" Target="http://xueqiu.com/S/00880" TargetMode="External"/><Relationship Id="rId575" Type="http://schemas.openxmlformats.org/officeDocument/2006/relationships/hyperlink" Target="http://xueqiu.com/S/00688" TargetMode="External"/><Relationship Id="rId574" Type="http://schemas.openxmlformats.org/officeDocument/2006/relationships/hyperlink" Target="http://xueqiu.com/S/01088" TargetMode="External"/><Relationship Id="rId573" Type="http://schemas.openxmlformats.org/officeDocument/2006/relationships/hyperlink" Target="http://xueqiu.com/S/06030" TargetMode="External"/><Relationship Id="rId572" Type="http://schemas.openxmlformats.org/officeDocument/2006/relationships/hyperlink" Target="http://xueqiu.com/S/01150" TargetMode="External"/><Relationship Id="rId571" Type="http://schemas.openxmlformats.org/officeDocument/2006/relationships/hyperlink" Target="http://xueqiu.com/S/08150" TargetMode="External"/><Relationship Id="rId570" Type="http://schemas.openxmlformats.org/officeDocument/2006/relationships/hyperlink" Target="http://xueqiu.com/S/01588" TargetMode="External"/><Relationship Id="rId57" Type="http://schemas.openxmlformats.org/officeDocument/2006/relationships/hyperlink" Target="http://xueqiu.com/S/01362" TargetMode="External"/><Relationship Id="rId569" Type="http://schemas.openxmlformats.org/officeDocument/2006/relationships/hyperlink" Target="http://xueqiu.com/S/01822" TargetMode="External"/><Relationship Id="rId568" Type="http://schemas.openxmlformats.org/officeDocument/2006/relationships/hyperlink" Target="http://xueqiu.com/S/00020" TargetMode="External"/><Relationship Id="rId567" Type="http://schemas.openxmlformats.org/officeDocument/2006/relationships/hyperlink" Target="http://xueqiu.com/S/00381" TargetMode="External"/><Relationship Id="rId566" Type="http://schemas.openxmlformats.org/officeDocument/2006/relationships/hyperlink" Target="http://xueqiu.com/S/00787" TargetMode="External"/><Relationship Id="rId565" Type="http://schemas.openxmlformats.org/officeDocument/2006/relationships/hyperlink" Target="http://xueqiu.com/S/03839" TargetMode="External"/><Relationship Id="rId564" Type="http://schemas.openxmlformats.org/officeDocument/2006/relationships/hyperlink" Target="http://xueqiu.com/S/00707" TargetMode="External"/><Relationship Id="rId563" Type="http://schemas.openxmlformats.org/officeDocument/2006/relationships/hyperlink" Target="http://xueqiu.com/S/00273" TargetMode="External"/><Relationship Id="rId562" Type="http://schemas.openxmlformats.org/officeDocument/2006/relationships/hyperlink" Target="http://xueqiu.com/S/02777" TargetMode="External"/><Relationship Id="rId561" Type="http://schemas.openxmlformats.org/officeDocument/2006/relationships/hyperlink" Target="http://xueqiu.com/S/00916" TargetMode="External"/><Relationship Id="rId560" Type="http://schemas.openxmlformats.org/officeDocument/2006/relationships/hyperlink" Target="http://xueqiu.com/S/00175" TargetMode="External"/><Relationship Id="rId56" Type="http://schemas.openxmlformats.org/officeDocument/2006/relationships/hyperlink" Target="http://xueqiu.com/S/00835" TargetMode="External"/><Relationship Id="rId559" Type="http://schemas.openxmlformats.org/officeDocument/2006/relationships/hyperlink" Target="http://xueqiu.com/S/00061" TargetMode="External"/><Relationship Id="rId558" Type="http://schemas.openxmlformats.org/officeDocument/2006/relationships/hyperlink" Target="http://xueqiu.com/S/02607" TargetMode="External"/><Relationship Id="rId557" Type="http://schemas.openxmlformats.org/officeDocument/2006/relationships/hyperlink" Target="http://xueqiu.com/S/00010" TargetMode="External"/><Relationship Id="rId556" Type="http://schemas.openxmlformats.org/officeDocument/2006/relationships/hyperlink" Target="http://xueqiu.com/S/00217" TargetMode="External"/><Relationship Id="rId555" Type="http://schemas.openxmlformats.org/officeDocument/2006/relationships/hyperlink" Target="http://xueqiu.com/S/01282" TargetMode="External"/><Relationship Id="rId554" Type="http://schemas.openxmlformats.org/officeDocument/2006/relationships/hyperlink" Target="http://xueqiu.com/S/00881" TargetMode="External"/><Relationship Id="rId553" Type="http://schemas.openxmlformats.org/officeDocument/2006/relationships/hyperlink" Target="http://xueqiu.com/S/00982" TargetMode="External"/><Relationship Id="rId552" Type="http://schemas.openxmlformats.org/officeDocument/2006/relationships/hyperlink" Target="http://xueqiu.com/S/00810" TargetMode="External"/><Relationship Id="rId551" Type="http://schemas.openxmlformats.org/officeDocument/2006/relationships/hyperlink" Target="http://xueqiu.com/S/00727" TargetMode="External"/><Relationship Id="rId550" Type="http://schemas.openxmlformats.org/officeDocument/2006/relationships/hyperlink" Target="http://xueqiu.com/S/03336" TargetMode="External"/><Relationship Id="rId55" Type="http://schemas.openxmlformats.org/officeDocument/2006/relationships/hyperlink" Target="http://xueqiu.com/S/01180" TargetMode="External"/><Relationship Id="rId549" Type="http://schemas.openxmlformats.org/officeDocument/2006/relationships/hyperlink" Target="http://xueqiu.com/S/01317" TargetMode="External"/><Relationship Id="rId548" Type="http://schemas.openxmlformats.org/officeDocument/2006/relationships/hyperlink" Target="http://xueqiu.com/S/01098" TargetMode="External"/><Relationship Id="rId547" Type="http://schemas.openxmlformats.org/officeDocument/2006/relationships/hyperlink" Target="http://xueqiu.com/S/01882" TargetMode="External"/><Relationship Id="rId546" Type="http://schemas.openxmlformats.org/officeDocument/2006/relationships/hyperlink" Target="http://xueqiu.com/S/01557" TargetMode="External"/><Relationship Id="rId545" Type="http://schemas.openxmlformats.org/officeDocument/2006/relationships/hyperlink" Target="http://xueqiu.com/S/06230" TargetMode="External"/><Relationship Id="rId544" Type="http://schemas.openxmlformats.org/officeDocument/2006/relationships/hyperlink" Target="http://xueqiu.com/S/03110" TargetMode="External"/><Relationship Id="rId543" Type="http://schemas.openxmlformats.org/officeDocument/2006/relationships/hyperlink" Target="http://xueqiu.com/S/01613" TargetMode="External"/><Relationship Id="rId542" Type="http://schemas.openxmlformats.org/officeDocument/2006/relationships/hyperlink" Target="http://xueqiu.com/S/00969" TargetMode="External"/><Relationship Id="rId541" Type="http://schemas.openxmlformats.org/officeDocument/2006/relationships/hyperlink" Target="http://xueqiu.com/S/02193" TargetMode="External"/><Relationship Id="rId540" Type="http://schemas.openxmlformats.org/officeDocument/2006/relationships/hyperlink" Target="http://xueqiu.com/S/00399" TargetMode="External"/><Relationship Id="rId54" Type="http://schemas.openxmlformats.org/officeDocument/2006/relationships/hyperlink" Target="http://xueqiu.com/S/01108" TargetMode="External"/><Relationship Id="rId539" Type="http://schemas.openxmlformats.org/officeDocument/2006/relationships/hyperlink" Target="http://xueqiu.com/S/02358" TargetMode="External"/><Relationship Id="rId538" Type="http://schemas.openxmlformats.org/officeDocument/2006/relationships/hyperlink" Target="http://xueqiu.com/S/01483" TargetMode="External"/><Relationship Id="rId537" Type="http://schemas.openxmlformats.org/officeDocument/2006/relationships/hyperlink" Target="http://xueqiu.com/S/03966" TargetMode="External"/><Relationship Id="rId536" Type="http://schemas.openxmlformats.org/officeDocument/2006/relationships/hyperlink" Target="http://xueqiu.com/S/00305" TargetMode="External"/><Relationship Id="rId535" Type="http://schemas.openxmlformats.org/officeDocument/2006/relationships/hyperlink" Target="http://xueqiu.com/S/00166" TargetMode="External"/><Relationship Id="rId534" Type="http://schemas.openxmlformats.org/officeDocument/2006/relationships/hyperlink" Target="http://xueqiu.com/S/08307" TargetMode="External"/><Relationship Id="rId533" Type="http://schemas.openxmlformats.org/officeDocument/2006/relationships/hyperlink" Target="http://xueqiu.com/S/03933" TargetMode="External"/><Relationship Id="rId532" Type="http://schemas.openxmlformats.org/officeDocument/2006/relationships/hyperlink" Target="http://xueqiu.com/S/08129" TargetMode="External"/><Relationship Id="rId531" Type="http://schemas.openxmlformats.org/officeDocument/2006/relationships/hyperlink" Target="http://xueqiu.com/S/00893" TargetMode="External"/><Relationship Id="rId530" Type="http://schemas.openxmlformats.org/officeDocument/2006/relationships/hyperlink" Target="http://xueqiu.com/S/01102" TargetMode="External"/><Relationship Id="rId53" Type="http://schemas.openxmlformats.org/officeDocument/2006/relationships/hyperlink" Target="http://xueqiu.com/S/01533" TargetMode="External"/><Relationship Id="rId529" Type="http://schemas.openxmlformats.org/officeDocument/2006/relationships/hyperlink" Target="http://xueqiu.com/S/08301" TargetMode="External"/><Relationship Id="rId528" Type="http://schemas.openxmlformats.org/officeDocument/2006/relationships/hyperlink" Target="http://xueqiu.com/S/00986" TargetMode="External"/><Relationship Id="rId527" Type="http://schemas.openxmlformats.org/officeDocument/2006/relationships/hyperlink" Target="http://xueqiu.com/S/00558" TargetMode="External"/><Relationship Id="rId526" Type="http://schemas.openxmlformats.org/officeDocument/2006/relationships/hyperlink" Target="http://xueqiu.com/S/00663" TargetMode="External"/><Relationship Id="rId525" Type="http://schemas.openxmlformats.org/officeDocument/2006/relationships/hyperlink" Target="http://xueqiu.com/S/08295" TargetMode="External"/><Relationship Id="rId524" Type="http://schemas.openxmlformats.org/officeDocument/2006/relationships/hyperlink" Target="http://xueqiu.com/S/08070" TargetMode="External"/><Relationship Id="rId523" Type="http://schemas.openxmlformats.org/officeDocument/2006/relationships/hyperlink" Target="http://xueqiu.com/S/08022" TargetMode="External"/><Relationship Id="rId522" Type="http://schemas.openxmlformats.org/officeDocument/2006/relationships/hyperlink" Target="http://xueqiu.com/S/03816" TargetMode="External"/><Relationship Id="rId521" Type="http://schemas.openxmlformats.org/officeDocument/2006/relationships/hyperlink" Target="http://xueqiu.com/S/03377" TargetMode="External"/><Relationship Id="rId520" Type="http://schemas.openxmlformats.org/officeDocument/2006/relationships/hyperlink" Target="http://xueqiu.com/S/02600" TargetMode="External"/><Relationship Id="rId52" Type="http://schemas.openxmlformats.org/officeDocument/2006/relationships/hyperlink" Target="http://xueqiu.com/S/00722" TargetMode="External"/><Relationship Id="rId519" Type="http://schemas.openxmlformats.org/officeDocument/2006/relationships/hyperlink" Target="http://xueqiu.com/S/02343" TargetMode="External"/><Relationship Id="rId518" Type="http://schemas.openxmlformats.org/officeDocument/2006/relationships/hyperlink" Target="http://xueqiu.com/S/02086" TargetMode="External"/><Relationship Id="rId517" Type="http://schemas.openxmlformats.org/officeDocument/2006/relationships/hyperlink" Target="http://xueqiu.com/S/01991" TargetMode="External"/><Relationship Id="rId516" Type="http://schemas.openxmlformats.org/officeDocument/2006/relationships/hyperlink" Target="http://xueqiu.com/S/01979" TargetMode="External"/><Relationship Id="rId515" Type="http://schemas.openxmlformats.org/officeDocument/2006/relationships/hyperlink" Target="http://xueqiu.com/S/01466" TargetMode="External"/><Relationship Id="rId514" Type="http://schemas.openxmlformats.org/officeDocument/2006/relationships/hyperlink" Target="http://xueqiu.com/S/01236" TargetMode="External"/><Relationship Id="rId513" Type="http://schemas.openxmlformats.org/officeDocument/2006/relationships/hyperlink" Target="http://xueqiu.com/S/01217" TargetMode="External"/><Relationship Id="rId512" Type="http://schemas.openxmlformats.org/officeDocument/2006/relationships/hyperlink" Target="http://xueqiu.com/S/01076" TargetMode="External"/><Relationship Id="rId511" Type="http://schemas.openxmlformats.org/officeDocument/2006/relationships/hyperlink" Target="http://xueqiu.com/S/01031" TargetMode="External"/><Relationship Id="rId510" Type="http://schemas.openxmlformats.org/officeDocument/2006/relationships/hyperlink" Target="http://xueqiu.com/S/01029" TargetMode="External"/><Relationship Id="rId51" Type="http://schemas.openxmlformats.org/officeDocument/2006/relationships/hyperlink" Target="http://xueqiu.com/S/03813" TargetMode="External"/><Relationship Id="rId509" Type="http://schemas.openxmlformats.org/officeDocument/2006/relationships/hyperlink" Target="http://xueqiu.com/S/00943" TargetMode="External"/><Relationship Id="rId508" Type="http://schemas.openxmlformats.org/officeDocument/2006/relationships/hyperlink" Target="http://xueqiu.com/S/00921" TargetMode="External"/><Relationship Id="rId507" Type="http://schemas.openxmlformats.org/officeDocument/2006/relationships/hyperlink" Target="http://xueqiu.com/S/00802" TargetMode="External"/><Relationship Id="rId506" Type="http://schemas.openxmlformats.org/officeDocument/2006/relationships/hyperlink" Target="http://xueqiu.com/S/00765" TargetMode="External"/><Relationship Id="rId505" Type="http://schemas.openxmlformats.org/officeDocument/2006/relationships/hyperlink" Target="http://xueqiu.com/S/00746" TargetMode="External"/><Relationship Id="rId504" Type="http://schemas.openxmlformats.org/officeDocument/2006/relationships/hyperlink" Target="http://xueqiu.com/S/00716" TargetMode="External"/><Relationship Id="rId503" Type="http://schemas.openxmlformats.org/officeDocument/2006/relationships/hyperlink" Target="http://xueqiu.com/S/00710" TargetMode="External"/><Relationship Id="rId502" Type="http://schemas.openxmlformats.org/officeDocument/2006/relationships/hyperlink" Target="http://xueqiu.com/S/00612" TargetMode="External"/><Relationship Id="rId501" Type="http://schemas.openxmlformats.org/officeDocument/2006/relationships/hyperlink" Target="http://xueqiu.com/S/00556" TargetMode="External"/><Relationship Id="rId500" Type="http://schemas.openxmlformats.org/officeDocument/2006/relationships/hyperlink" Target="http://xueqiu.com/S/00460" TargetMode="External"/><Relationship Id="rId50" Type="http://schemas.openxmlformats.org/officeDocument/2006/relationships/hyperlink" Target="http://xueqiu.com/S/00035" TargetMode="External"/><Relationship Id="rId5" Type="http://schemas.openxmlformats.org/officeDocument/2006/relationships/hyperlink" Target="http://xueqiu.com/S/03326" TargetMode="External"/><Relationship Id="rId499" Type="http://schemas.openxmlformats.org/officeDocument/2006/relationships/hyperlink" Target="http://xueqiu.com/S/00403" TargetMode="External"/><Relationship Id="rId498" Type="http://schemas.openxmlformats.org/officeDocument/2006/relationships/hyperlink" Target="http://xueqiu.com/S/00291" TargetMode="External"/><Relationship Id="rId497" Type="http://schemas.openxmlformats.org/officeDocument/2006/relationships/hyperlink" Target="http://xueqiu.com/S/00237" TargetMode="External"/><Relationship Id="rId496" Type="http://schemas.openxmlformats.org/officeDocument/2006/relationships/hyperlink" Target="http://xueqiu.com/S/00039" TargetMode="External"/><Relationship Id="rId495" Type="http://schemas.openxmlformats.org/officeDocument/2006/relationships/hyperlink" Target="http://xueqiu.com/S/00027" TargetMode="External"/><Relationship Id="rId494" Type="http://schemas.openxmlformats.org/officeDocument/2006/relationships/hyperlink" Target="http://xueqiu.com/S/00704" TargetMode="External"/><Relationship Id="rId493" Type="http://schemas.openxmlformats.org/officeDocument/2006/relationships/hyperlink" Target="http://xueqiu.com/S/01182" TargetMode="External"/><Relationship Id="rId492" Type="http://schemas.openxmlformats.org/officeDocument/2006/relationships/hyperlink" Target="http://xueqiu.com/S/01063" TargetMode="External"/><Relationship Id="rId491" Type="http://schemas.openxmlformats.org/officeDocument/2006/relationships/hyperlink" Target="http://xueqiu.com/S/08181" TargetMode="External"/><Relationship Id="rId490" Type="http://schemas.openxmlformats.org/officeDocument/2006/relationships/hyperlink" Target="http://xueqiu.com/S/00622" TargetMode="External"/><Relationship Id="rId49" Type="http://schemas.openxmlformats.org/officeDocument/2006/relationships/hyperlink" Target="http://xueqiu.com/S/01207" TargetMode="External"/><Relationship Id="rId489" Type="http://schemas.openxmlformats.org/officeDocument/2006/relationships/hyperlink" Target="http://xueqiu.com/S/00604" TargetMode="External"/><Relationship Id="rId488" Type="http://schemas.openxmlformats.org/officeDocument/2006/relationships/hyperlink" Target="http://xueqiu.com/S/01341" TargetMode="External"/><Relationship Id="rId487" Type="http://schemas.openxmlformats.org/officeDocument/2006/relationships/hyperlink" Target="http://xueqiu.com/S/00272" TargetMode="External"/><Relationship Id="rId486" Type="http://schemas.openxmlformats.org/officeDocument/2006/relationships/hyperlink" Target="http://xueqiu.com/S/00308" TargetMode="External"/><Relationship Id="rId485" Type="http://schemas.openxmlformats.org/officeDocument/2006/relationships/hyperlink" Target="http://xueqiu.com/S/01038" TargetMode="External"/><Relationship Id="rId484" Type="http://schemas.openxmlformats.org/officeDocument/2006/relationships/hyperlink" Target="http://xueqiu.com/S/00054" TargetMode="External"/><Relationship Id="rId483" Type="http://schemas.openxmlformats.org/officeDocument/2006/relationships/hyperlink" Target="http://xueqiu.com/S/02382" TargetMode="External"/><Relationship Id="rId482" Type="http://schemas.openxmlformats.org/officeDocument/2006/relationships/hyperlink" Target="http://xueqiu.com/S/00874" TargetMode="External"/><Relationship Id="rId481" Type="http://schemas.openxmlformats.org/officeDocument/2006/relationships/hyperlink" Target="http://xueqiu.com/S/00904" TargetMode="External"/><Relationship Id="rId480" Type="http://schemas.openxmlformats.org/officeDocument/2006/relationships/hyperlink" Target="http://xueqiu.com/S/08230" TargetMode="External"/><Relationship Id="rId48" Type="http://schemas.openxmlformats.org/officeDocument/2006/relationships/hyperlink" Target="http://xueqiu.com/S/01314" TargetMode="External"/><Relationship Id="rId479" Type="http://schemas.openxmlformats.org/officeDocument/2006/relationships/hyperlink" Target="http://xueqiu.com/S/00862" TargetMode="External"/><Relationship Id="rId478" Type="http://schemas.openxmlformats.org/officeDocument/2006/relationships/hyperlink" Target="http://xueqiu.com/S/00745" TargetMode="External"/><Relationship Id="rId477" Type="http://schemas.openxmlformats.org/officeDocument/2006/relationships/hyperlink" Target="http://xueqiu.com/S/08063" TargetMode="External"/><Relationship Id="rId476" Type="http://schemas.openxmlformats.org/officeDocument/2006/relationships/hyperlink" Target="http://xueqiu.com/S/00769" TargetMode="External"/><Relationship Id="rId475" Type="http://schemas.openxmlformats.org/officeDocument/2006/relationships/hyperlink" Target="http://xueqiu.com/S/02868" TargetMode="External"/><Relationship Id="rId474" Type="http://schemas.openxmlformats.org/officeDocument/2006/relationships/hyperlink" Target="http://xueqiu.com/S/01281" TargetMode="External"/><Relationship Id="rId473" Type="http://schemas.openxmlformats.org/officeDocument/2006/relationships/hyperlink" Target="http://xueqiu.com/S/00895" TargetMode="External"/><Relationship Id="rId472" Type="http://schemas.openxmlformats.org/officeDocument/2006/relationships/hyperlink" Target="http://xueqiu.com/S/08247" TargetMode="External"/><Relationship Id="rId471" Type="http://schemas.openxmlformats.org/officeDocument/2006/relationships/hyperlink" Target="http://xueqiu.com/S/08001" TargetMode="External"/><Relationship Id="rId470" Type="http://schemas.openxmlformats.org/officeDocument/2006/relationships/hyperlink" Target="http://xueqiu.com/S/01476" TargetMode="External"/><Relationship Id="rId47" Type="http://schemas.openxmlformats.org/officeDocument/2006/relationships/hyperlink" Target="http://xueqiu.com/S/02039" TargetMode="External"/><Relationship Id="rId469" Type="http://schemas.openxmlformats.org/officeDocument/2006/relationships/hyperlink" Target="http://xueqiu.com/S/01105" TargetMode="External"/><Relationship Id="rId468" Type="http://schemas.openxmlformats.org/officeDocument/2006/relationships/hyperlink" Target="http://xueqiu.com/S/01538" TargetMode="External"/><Relationship Id="rId467" Type="http://schemas.openxmlformats.org/officeDocument/2006/relationships/hyperlink" Target="http://xueqiu.com/S/08271" TargetMode="External"/><Relationship Id="rId466" Type="http://schemas.openxmlformats.org/officeDocument/2006/relationships/hyperlink" Target="http://xueqiu.com/S/01532" TargetMode="External"/><Relationship Id="rId465" Type="http://schemas.openxmlformats.org/officeDocument/2006/relationships/hyperlink" Target="http://xueqiu.com/S/01246" TargetMode="External"/><Relationship Id="rId464" Type="http://schemas.openxmlformats.org/officeDocument/2006/relationships/hyperlink" Target="http://xueqiu.com/S/00138" TargetMode="External"/><Relationship Id="rId463" Type="http://schemas.openxmlformats.org/officeDocument/2006/relationships/hyperlink" Target="http://xueqiu.com/S/02000" TargetMode="External"/><Relationship Id="rId462" Type="http://schemas.openxmlformats.org/officeDocument/2006/relationships/hyperlink" Target="http://xueqiu.com/S/06869" TargetMode="External"/><Relationship Id="rId461" Type="http://schemas.openxmlformats.org/officeDocument/2006/relationships/hyperlink" Target="http://xueqiu.com/S/00206" TargetMode="External"/><Relationship Id="rId460" Type="http://schemas.openxmlformats.org/officeDocument/2006/relationships/hyperlink" Target="http://xueqiu.com/S/01866" TargetMode="External"/><Relationship Id="rId46" Type="http://schemas.openxmlformats.org/officeDocument/2006/relationships/hyperlink" Target="http://xueqiu.com/S/00815" TargetMode="External"/><Relationship Id="rId459" Type="http://schemas.openxmlformats.org/officeDocument/2006/relationships/hyperlink" Target="http://xueqiu.com/S/01415" TargetMode="External"/><Relationship Id="rId458" Type="http://schemas.openxmlformats.org/officeDocument/2006/relationships/hyperlink" Target="http://xueqiu.com/S/08095" TargetMode="External"/><Relationship Id="rId457" Type="http://schemas.openxmlformats.org/officeDocument/2006/relationships/hyperlink" Target="http://xueqiu.com/S/00596" TargetMode="External"/><Relationship Id="rId456" Type="http://schemas.openxmlformats.org/officeDocument/2006/relationships/hyperlink" Target="http://xueqiu.com/S/00848" TargetMode="External"/><Relationship Id="rId455" Type="http://schemas.openxmlformats.org/officeDocument/2006/relationships/hyperlink" Target="http://xueqiu.com/S/00621" TargetMode="External"/><Relationship Id="rId454" Type="http://schemas.openxmlformats.org/officeDocument/2006/relationships/hyperlink" Target="http://xueqiu.com/S/08122" TargetMode="External"/><Relationship Id="rId453" Type="http://schemas.openxmlformats.org/officeDocument/2006/relationships/hyperlink" Target="http://xueqiu.com/S/01385" TargetMode="External"/><Relationship Id="rId452" Type="http://schemas.openxmlformats.org/officeDocument/2006/relationships/hyperlink" Target="http://xueqiu.com/S/00264" TargetMode="External"/><Relationship Id="rId451" Type="http://schemas.openxmlformats.org/officeDocument/2006/relationships/hyperlink" Target="http://xueqiu.com/S/00139" TargetMode="External"/><Relationship Id="rId450" Type="http://schemas.openxmlformats.org/officeDocument/2006/relationships/hyperlink" Target="http://xueqiu.com/S/00169" TargetMode="External"/><Relationship Id="rId45" Type="http://schemas.openxmlformats.org/officeDocument/2006/relationships/hyperlink" Target="http://xueqiu.com/S/02120" TargetMode="External"/><Relationship Id="rId449" Type="http://schemas.openxmlformats.org/officeDocument/2006/relationships/hyperlink" Target="http://xueqiu.com/S/02366" TargetMode="External"/><Relationship Id="rId448" Type="http://schemas.openxmlformats.org/officeDocument/2006/relationships/hyperlink" Target="http://xueqiu.com/S/01003" TargetMode="External"/><Relationship Id="rId447" Type="http://schemas.openxmlformats.org/officeDocument/2006/relationships/hyperlink" Target="http://xueqiu.com/S/06839" TargetMode="External"/><Relationship Id="rId446" Type="http://schemas.openxmlformats.org/officeDocument/2006/relationships/hyperlink" Target="http://xueqiu.com/S/08100" TargetMode="External"/><Relationship Id="rId445" Type="http://schemas.openxmlformats.org/officeDocument/2006/relationships/hyperlink" Target="http://xueqiu.com/S/06136" TargetMode="External"/><Relationship Id="rId444" Type="http://schemas.openxmlformats.org/officeDocument/2006/relationships/hyperlink" Target="http://xueqiu.com/S/00075" TargetMode="External"/><Relationship Id="rId443" Type="http://schemas.openxmlformats.org/officeDocument/2006/relationships/hyperlink" Target="http://xueqiu.com/S/08090" TargetMode="External"/><Relationship Id="rId442" Type="http://schemas.openxmlformats.org/officeDocument/2006/relationships/hyperlink" Target="http://xueqiu.com/S/00090" TargetMode="External"/><Relationship Id="rId441" Type="http://schemas.openxmlformats.org/officeDocument/2006/relationships/hyperlink" Target="http://xueqiu.com/S/01669" TargetMode="External"/><Relationship Id="rId440" Type="http://schemas.openxmlformats.org/officeDocument/2006/relationships/hyperlink" Target="http://xueqiu.com/S/08018" TargetMode="External"/><Relationship Id="rId44" Type="http://schemas.openxmlformats.org/officeDocument/2006/relationships/hyperlink" Target="http://xueqiu.com/S/01302" TargetMode="External"/><Relationship Id="rId439" Type="http://schemas.openxmlformats.org/officeDocument/2006/relationships/hyperlink" Target="http://xueqiu.com/S/01053" TargetMode="External"/><Relationship Id="rId438" Type="http://schemas.openxmlformats.org/officeDocument/2006/relationships/hyperlink" Target="http://xueqiu.com/S/00758" TargetMode="External"/><Relationship Id="rId437" Type="http://schemas.openxmlformats.org/officeDocument/2006/relationships/hyperlink" Target="http://xueqiu.com/S/00550" TargetMode="External"/><Relationship Id="rId436" Type="http://schemas.openxmlformats.org/officeDocument/2006/relationships/hyperlink" Target="http://xueqiu.com/S/00127" TargetMode="External"/><Relationship Id="rId435" Type="http://schemas.openxmlformats.org/officeDocument/2006/relationships/hyperlink" Target="http://xueqiu.com/S/01027" TargetMode="External"/><Relationship Id="rId434" Type="http://schemas.openxmlformats.org/officeDocument/2006/relationships/hyperlink" Target="http://xueqiu.com/S/03882" TargetMode="External"/><Relationship Id="rId433" Type="http://schemas.openxmlformats.org/officeDocument/2006/relationships/hyperlink" Target="http://xueqiu.com/S/01239" TargetMode="External"/><Relationship Id="rId432" Type="http://schemas.openxmlformats.org/officeDocument/2006/relationships/hyperlink" Target="http://xueqiu.com/S/00382" TargetMode="External"/><Relationship Id="rId431" Type="http://schemas.openxmlformats.org/officeDocument/2006/relationships/hyperlink" Target="http://xueqiu.com/S/02389" TargetMode="External"/><Relationship Id="rId430" Type="http://schemas.openxmlformats.org/officeDocument/2006/relationships/hyperlink" Target="http://xueqiu.com/S/01363" TargetMode="External"/><Relationship Id="rId43" Type="http://schemas.openxmlformats.org/officeDocument/2006/relationships/hyperlink" Target="http://xueqiu.com/S/00574" TargetMode="External"/><Relationship Id="rId429" Type="http://schemas.openxmlformats.org/officeDocument/2006/relationships/hyperlink" Target="http://xueqiu.com/S/02255" TargetMode="External"/><Relationship Id="rId428" Type="http://schemas.openxmlformats.org/officeDocument/2006/relationships/hyperlink" Target="http://xueqiu.com/S/08269" TargetMode="External"/><Relationship Id="rId427" Type="http://schemas.openxmlformats.org/officeDocument/2006/relationships/hyperlink" Target="http://xueqiu.com/S/01566" TargetMode="External"/><Relationship Id="rId426" Type="http://schemas.openxmlformats.org/officeDocument/2006/relationships/hyperlink" Target="http://xueqiu.com/S/00560" TargetMode="External"/><Relationship Id="rId425" Type="http://schemas.openxmlformats.org/officeDocument/2006/relationships/hyperlink" Target="http://xueqiu.com/S/00801" TargetMode="External"/><Relationship Id="rId424" Type="http://schemas.openxmlformats.org/officeDocument/2006/relationships/hyperlink" Target="http://xueqiu.com/S/01639" TargetMode="External"/><Relationship Id="rId423" Type="http://schemas.openxmlformats.org/officeDocument/2006/relationships/hyperlink" Target="http://xueqiu.com/S/00587" TargetMode="External"/><Relationship Id="rId422" Type="http://schemas.openxmlformats.org/officeDocument/2006/relationships/hyperlink" Target="http://xueqiu.com/S/01371" TargetMode="External"/><Relationship Id="rId421" Type="http://schemas.openxmlformats.org/officeDocument/2006/relationships/hyperlink" Target="http://xueqiu.com/S/08220" TargetMode="External"/><Relationship Id="rId420" Type="http://schemas.openxmlformats.org/officeDocument/2006/relationships/hyperlink" Target="http://xueqiu.com/S/02878" TargetMode="External"/><Relationship Id="rId42" Type="http://schemas.openxmlformats.org/officeDocument/2006/relationships/hyperlink" Target="http://xueqiu.com/S/00952" TargetMode="External"/><Relationship Id="rId419" Type="http://schemas.openxmlformats.org/officeDocument/2006/relationships/hyperlink" Target="http://xueqiu.com/S/00182" TargetMode="External"/><Relationship Id="rId418" Type="http://schemas.openxmlformats.org/officeDocument/2006/relationships/hyperlink" Target="http://xueqiu.com/S/00967" TargetMode="External"/><Relationship Id="rId417" Type="http://schemas.openxmlformats.org/officeDocument/2006/relationships/hyperlink" Target="http://xueqiu.com/S/08007" TargetMode="External"/><Relationship Id="rId416" Type="http://schemas.openxmlformats.org/officeDocument/2006/relationships/hyperlink" Target="http://xueqiu.com/S/00111" TargetMode="External"/><Relationship Id="rId415" Type="http://schemas.openxmlformats.org/officeDocument/2006/relationships/hyperlink" Target="http://xueqiu.com/S/08071" TargetMode="External"/><Relationship Id="rId414" Type="http://schemas.openxmlformats.org/officeDocument/2006/relationships/hyperlink" Target="http://xueqiu.com/S/03799" TargetMode="External"/><Relationship Id="rId413" Type="http://schemas.openxmlformats.org/officeDocument/2006/relationships/hyperlink" Target="http://xueqiu.com/S/01459" TargetMode="External"/><Relationship Id="rId412" Type="http://schemas.openxmlformats.org/officeDocument/2006/relationships/hyperlink" Target="http://xueqiu.com/S/00698" TargetMode="External"/><Relationship Id="rId411" Type="http://schemas.openxmlformats.org/officeDocument/2006/relationships/hyperlink" Target="http://xueqiu.com/S/08248" TargetMode="External"/><Relationship Id="rId410" Type="http://schemas.openxmlformats.org/officeDocument/2006/relationships/hyperlink" Target="http://xueqiu.com/S/00818" TargetMode="External"/><Relationship Id="rId41" Type="http://schemas.openxmlformats.org/officeDocument/2006/relationships/hyperlink" Target="http://xueqiu.com/S/00365" TargetMode="External"/><Relationship Id="rId409" Type="http://schemas.openxmlformats.org/officeDocument/2006/relationships/hyperlink" Target="http://xueqiu.com/S/00855" TargetMode="External"/><Relationship Id="rId408" Type="http://schemas.openxmlformats.org/officeDocument/2006/relationships/hyperlink" Target="http://xueqiu.com/S/00073" TargetMode="External"/><Relationship Id="rId407" Type="http://schemas.openxmlformats.org/officeDocument/2006/relationships/hyperlink" Target="http://xueqiu.com/S/00476" TargetMode="External"/><Relationship Id="rId406" Type="http://schemas.openxmlformats.org/officeDocument/2006/relationships/hyperlink" Target="http://xueqiu.com/S/00220" TargetMode="External"/><Relationship Id="rId405" Type="http://schemas.openxmlformats.org/officeDocument/2006/relationships/hyperlink" Target="http://xueqiu.com/S/01035" TargetMode="External"/><Relationship Id="rId404" Type="http://schemas.openxmlformats.org/officeDocument/2006/relationships/hyperlink" Target="http://xueqiu.com/S/08237" TargetMode="External"/><Relationship Id="rId403" Type="http://schemas.openxmlformats.org/officeDocument/2006/relationships/hyperlink" Target="http://xueqiu.com/S/03899" TargetMode="External"/><Relationship Id="rId402" Type="http://schemas.openxmlformats.org/officeDocument/2006/relationships/hyperlink" Target="http://xueqiu.com/S/02345" TargetMode="External"/><Relationship Id="rId401" Type="http://schemas.openxmlformats.org/officeDocument/2006/relationships/hyperlink" Target="http://xueqiu.com/S/02188" TargetMode="External"/><Relationship Id="rId400" Type="http://schemas.openxmlformats.org/officeDocument/2006/relationships/hyperlink" Target="http://xueqiu.com/S/08267" TargetMode="External"/><Relationship Id="rId40" Type="http://schemas.openxmlformats.org/officeDocument/2006/relationships/hyperlink" Target="http://xueqiu.com/S/01065" TargetMode="External"/><Relationship Id="rId4" Type="http://schemas.openxmlformats.org/officeDocument/2006/relationships/ctrlProp" Target="../ctrlProps/ctrlProp2.xml"/><Relationship Id="rId399" Type="http://schemas.openxmlformats.org/officeDocument/2006/relationships/hyperlink" Target="http://xueqiu.com/S/00172" TargetMode="External"/><Relationship Id="rId398" Type="http://schemas.openxmlformats.org/officeDocument/2006/relationships/hyperlink" Target="http://xueqiu.com/S/00241" TargetMode="External"/><Relationship Id="rId397" Type="http://schemas.openxmlformats.org/officeDocument/2006/relationships/hyperlink" Target="http://xueqiu.com/S/00812" TargetMode="External"/><Relationship Id="rId396" Type="http://schemas.openxmlformats.org/officeDocument/2006/relationships/hyperlink" Target="http://xueqiu.com/S/00261" TargetMode="External"/><Relationship Id="rId395" Type="http://schemas.openxmlformats.org/officeDocument/2006/relationships/hyperlink" Target="http://xueqiu.com/S/01022" TargetMode="External"/><Relationship Id="rId394" Type="http://schemas.openxmlformats.org/officeDocument/2006/relationships/hyperlink" Target="http://xueqiu.com/S/01818" TargetMode="External"/><Relationship Id="rId393" Type="http://schemas.openxmlformats.org/officeDocument/2006/relationships/hyperlink" Target="http://xueqiu.com/S/02380" TargetMode="External"/><Relationship Id="rId392" Type="http://schemas.openxmlformats.org/officeDocument/2006/relationships/hyperlink" Target="http://xueqiu.com/S/00547" TargetMode="External"/><Relationship Id="rId391" Type="http://schemas.openxmlformats.org/officeDocument/2006/relationships/hyperlink" Target="http://xueqiu.com/S/00360" TargetMode="External"/><Relationship Id="rId390" Type="http://schemas.openxmlformats.org/officeDocument/2006/relationships/hyperlink" Target="http://xueqiu.com/S/03337" TargetMode="External"/><Relationship Id="rId39" Type="http://schemas.openxmlformats.org/officeDocument/2006/relationships/hyperlink" Target="http://xueqiu.com/S/01543" TargetMode="External"/><Relationship Id="rId389" Type="http://schemas.openxmlformats.org/officeDocument/2006/relationships/hyperlink" Target="http://xueqiu.com/S/00777" TargetMode="External"/><Relationship Id="rId388" Type="http://schemas.openxmlformats.org/officeDocument/2006/relationships/hyperlink" Target="http://xueqiu.com/S/00500" TargetMode="External"/><Relationship Id="rId387" Type="http://schemas.openxmlformats.org/officeDocument/2006/relationships/hyperlink" Target="http://xueqiu.com/S/00015" TargetMode="External"/><Relationship Id="rId386" Type="http://schemas.openxmlformats.org/officeDocument/2006/relationships/hyperlink" Target="http://xueqiu.com/S/00322" TargetMode="External"/><Relationship Id="rId385" Type="http://schemas.openxmlformats.org/officeDocument/2006/relationships/hyperlink" Target="http://xueqiu.com/S/00279" TargetMode="External"/><Relationship Id="rId384" Type="http://schemas.openxmlformats.org/officeDocument/2006/relationships/hyperlink" Target="http://xueqiu.com/S/01777" TargetMode="External"/><Relationship Id="rId383" Type="http://schemas.openxmlformats.org/officeDocument/2006/relationships/hyperlink" Target="http://xueqiu.com/S/00283" TargetMode="External"/><Relationship Id="rId382" Type="http://schemas.openxmlformats.org/officeDocument/2006/relationships/hyperlink" Target="http://xueqiu.com/S/00031" TargetMode="External"/><Relationship Id="rId381" Type="http://schemas.openxmlformats.org/officeDocument/2006/relationships/hyperlink" Target="http://xueqiu.com/S/02799" TargetMode="External"/><Relationship Id="rId380" Type="http://schemas.openxmlformats.org/officeDocument/2006/relationships/hyperlink" Target="http://xueqiu.com/S/02308" TargetMode="External"/><Relationship Id="rId38" Type="http://schemas.openxmlformats.org/officeDocument/2006/relationships/hyperlink" Target="http://xueqiu.com/S/00209" TargetMode="External"/><Relationship Id="rId379" Type="http://schemas.openxmlformats.org/officeDocument/2006/relationships/hyperlink" Target="http://xueqiu.com/S/08101" TargetMode="External"/><Relationship Id="rId378" Type="http://schemas.openxmlformats.org/officeDocument/2006/relationships/hyperlink" Target="http://xueqiu.com/S/08192" TargetMode="External"/><Relationship Id="rId377" Type="http://schemas.openxmlformats.org/officeDocument/2006/relationships/hyperlink" Target="http://xueqiu.com/S/08078" TargetMode="External"/><Relationship Id="rId376" Type="http://schemas.openxmlformats.org/officeDocument/2006/relationships/hyperlink" Target="http://xueqiu.com/S/01918" TargetMode="External"/><Relationship Id="rId375" Type="http://schemas.openxmlformats.org/officeDocument/2006/relationships/hyperlink" Target="http://xueqiu.com/S/01020" TargetMode="External"/><Relationship Id="rId374" Type="http://schemas.openxmlformats.org/officeDocument/2006/relationships/hyperlink" Target="http://xueqiu.com/S/00376" TargetMode="External"/><Relationship Id="rId373" Type="http://schemas.openxmlformats.org/officeDocument/2006/relationships/hyperlink" Target="http://xueqiu.com/S/03969" TargetMode="External"/><Relationship Id="rId372" Type="http://schemas.openxmlformats.org/officeDocument/2006/relationships/hyperlink" Target="http://xueqiu.com/S/08158" TargetMode="External"/><Relationship Id="rId371" Type="http://schemas.openxmlformats.org/officeDocument/2006/relationships/hyperlink" Target="http://xueqiu.com/S/02238" TargetMode="External"/><Relationship Id="rId370" Type="http://schemas.openxmlformats.org/officeDocument/2006/relationships/hyperlink" Target="http://xueqiu.com/S/00692" TargetMode="External"/><Relationship Id="rId37" Type="http://schemas.openxmlformats.org/officeDocument/2006/relationships/hyperlink" Target="http://xueqiu.com/S/00343" TargetMode="External"/><Relationship Id="rId369" Type="http://schemas.openxmlformats.org/officeDocument/2006/relationships/hyperlink" Target="http://xueqiu.com/S/01661" TargetMode="External"/><Relationship Id="rId368" Type="http://schemas.openxmlformats.org/officeDocument/2006/relationships/hyperlink" Target="http://xueqiu.com/S/08175" TargetMode="External"/><Relationship Id="rId367" Type="http://schemas.openxmlformats.org/officeDocument/2006/relationships/hyperlink" Target="http://xueqiu.com/S/01375" TargetMode="External"/><Relationship Id="rId366" Type="http://schemas.openxmlformats.org/officeDocument/2006/relationships/hyperlink" Target="http://xueqiu.com/S/00525" TargetMode="External"/><Relationship Id="rId365" Type="http://schemas.openxmlformats.org/officeDocument/2006/relationships/hyperlink" Target="http://xueqiu.com/S/06865" TargetMode="External"/><Relationship Id="rId364" Type="http://schemas.openxmlformats.org/officeDocument/2006/relationships/hyperlink" Target="http://xueqiu.com/S/00737" TargetMode="External"/><Relationship Id="rId363" Type="http://schemas.openxmlformats.org/officeDocument/2006/relationships/hyperlink" Target="http://xueqiu.com/S/00882" TargetMode="External"/><Relationship Id="rId362" Type="http://schemas.openxmlformats.org/officeDocument/2006/relationships/hyperlink" Target="http://xueqiu.com/S/01112" TargetMode="External"/><Relationship Id="rId361" Type="http://schemas.openxmlformats.org/officeDocument/2006/relationships/hyperlink" Target="http://xueqiu.com/S/00368" TargetMode="External"/><Relationship Id="rId360" Type="http://schemas.openxmlformats.org/officeDocument/2006/relationships/hyperlink" Target="http://xueqiu.com/S/00143" TargetMode="External"/><Relationship Id="rId36" Type="http://schemas.openxmlformats.org/officeDocument/2006/relationships/hyperlink" Target="http://xueqiu.com/S/01058" TargetMode="External"/><Relationship Id="rId359" Type="http://schemas.openxmlformats.org/officeDocument/2006/relationships/hyperlink" Target="http://xueqiu.com/S/00337" TargetMode="External"/><Relationship Id="rId358" Type="http://schemas.openxmlformats.org/officeDocument/2006/relationships/hyperlink" Target="http://xueqiu.com/S/01070" TargetMode="External"/><Relationship Id="rId357" Type="http://schemas.openxmlformats.org/officeDocument/2006/relationships/hyperlink" Target="http://xueqiu.com/S/00546" TargetMode="External"/><Relationship Id="rId356" Type="http://schemas.openxmlformats.org/officeDocument/2006/relationships/hyperlink" Target="http://xueqiu.com/S/01929" TargetMode="External"/><Relationship Id="rId355" Type="http://schemas.openxmlformats.org/officeDocument/2006/relationships/hyperlink" Target="http://xueqiu.com/S/01345" TargetMode="External"/><Relationship Id="rId354" Type="http://schemas.openxmlformats.org/officeDocument/2006/relationships/hyperlink" Target="http://xueqiu.com/S/00439" TargetMode="External"/><Relationship Id="rId353" Type="http://schemas.openxmlformats.org/officeDocument/2006/relationships/hyperlink" Target="http://xueqiu.com/S/08156" TargetMode="External"/><Relationship Id="rId352" Type="http://schemas.openxmlformats.org/officeDocument/2006/relationships/hyperlink" Target="http://xueqiu.com/S/00694" TargetMode="External"/><Relationship Id="rId351" Type="http://schemas.openxmlformats.org/officeDocument/2006/relationships/hyperlink" Target="http://xueqiu.com/S/01011" TargetMode="External"/><Relationship Id="rId350" Type="http://schemas.openxmlformats.org/officeDocument/2006/relationships/hyperlink" Target="http://xueqiu.com/S/00445" TargetMode="External"/><Relationship Id="rId35" Type="http://schemas.openxmlformats.org/officeDocument/2006/relationships/hyperlink" Target="http://xueqiu.com/S/03382" TargetMode="External"/><Relationship Id="rId349" Type="http://schemas.openxmlformats.org/officeDocument/2006/relationships/hyperlink" Target="http://xueqiu.com/S/01813" TargetMode="External"/><Relationship Id="rId348" Type="http://schemas.openxmlformats.org/officeDocument/2006/relationships/hyperlink" Target="http://xueqiu.com/S/00699" TargetMode="External"/><Relationship Id="rId347" Type="http://schemas.openxmlformats.org/officeDocument/2006/relationships/hyperlink" Target="http://xueqiu.com/S/00696" TargetMode="External"/><Relationship Id="rId346" Type="http://schemas.openxmlformats.org/officeDocument/2006/relationships/hyperlink" Target="http://xueqiu.com/S/00144" TargetMode="External"/><Relationship Id="rId345" Type="http://schemas.openxmlformats.org/officeDocument/2006/relationships/hyperlink" Target="http://xueqiu.com/S/00736" TargetMode="External"/><Relationship Id="rId344" Type="http://schemas.openxmlformats.org/officeDocument/2006/relationships/hyperlink" Target="http://xueqiu.com/S/00799" TargetMode="External"/><Relationship Id="rId343" Type="http://schemas.openxmlformats.org/officeDocument/2006/relationships/hyperlink" Target="http://xueqiu.com/S/01101" TargetMode="External"/><Relationship Id="rId342" Type="http://schemas.openxmlformats.org/officeDocument/2006/relationships/hyperlink" Target="http://xueqiu.com/S/01273" TargetMode="External"/><Relationship Id="rId341" Type="http://schemas.openxmlformats.org/officeDocument/2006/relationships/hyperlink" Target="http://xueqiu.com/S/00988" TargetMode="External"/><Relationship Id="rId340" Type="http://schemas.openxmlformats.org/officeDocument/2006/relationships/hyperlink" Target="http://xueqiu.com/S/03393" TargetMode="External"/><Relationship Id="rId34" Type="http://schemas.openxmlformats.org/officeDocument/2006/relationships/hyperlink" Target="http://xueqiu.com/S/00613" TargetMode="External"/><Relationship Id="rId339" Type="http://schemas.openxmlformats.org/officeDocument/2006/relationships/hyperlink" Target="http://xueqiu.com/S/01233" TargetMode="External"/><Relationship Id="rId338" Type="http://schemas.openxmlformats.org/officeDocument/2006/relationships/hyperlink" Target="http://xueqiu.com/S/00029" TargetMode="External"/><Relationship Id="rId337" Type="http://schemas.openxmlformats.org/officeDocument/2006/relationships/hyperlink" Target="http://xueqiu.com/S/00354" TargetMode="External"/><Relationship Id="rId336" Type="http://schemas.openxmlformats.org/officeDocument/2006/relationships/hyperlink" Target="http://xueqiu.com/S/00953" TargetMode="External"/><Relationship Id="rId335" Type="http://schemas.openxmlformats.org/officeDocument/2006/relationships/hyperlink" Target="http://xueqiu.com/S/00285" TargetMode="External"/><Relationship Id="rId334" Type="http://schemas.openxmlformats.org/officeDocument/2006/relationships/hyperlink" Target="http://xueqiu.com/S/03396" TargetMode="External"/><Relationship Id="rId333" Type="http://schemas.openxmlformats.org/officeDocument/2006/relationships/hyperlink" Target="http://xueqiu.com/S/02488" TargetMode="External"/><Relationship Id="rId332" Type="http://schemas.openxmlformats.org/officeDocument/2006/relationships/hyperlink" Target="http://xueqiu.com/S/00817" TargetMode="External"/><Relationship Id="rId331" Type="http://schemas.openxmlformats.org/officeDocument/2006/relationships/hyperlink" Target="http://xueqiu.com/S/00260" TargetMode="External"/><Relationship Id="rId330" Type="http://schemas.openxmlformats.org/officeDocument/2006/relationships/hyperlink" Target="http://xueqiu.com/S/01766" TargetMode="External"/><Relationship Id="rId33" Type="http://schemas.openxmlformats.org/officeDocument/2006/relationships/hyperlink" Target="http://xueqiu.com/S/08331" TargetMode="External"/><Relationship Id="rId329" Type="http://schemas.openxmlformats.org/officeDocument/2006/relationships/hyperlink" Target="http://xueqiu.com/S/01211" TargetMode="External"/><Relationship Id="rId328" Type="http://schemas.openxmlformats.org/officeDocument/2006/relationships/hyperlink" Target="http://xueqiu.com/S/00683" TargetMode="External"/><Relationship Id="rId327" Type="http://schemas.openxmlformats.org/officeDocument/2006/relationships/hyperlink" Target="http://xueqiu.com/S/00471" TargetMode="External"/><Relationship Id="rId326" Type="http://schemas.openxmlformats.org/officeDocument/2006/relationships/hyperlink" Target="http://xueqiu.com/S/00129" TargetMode="External"/><Relationship Id="rId325" Type="http://schemas.openxmlformats.org/officeDocument/2006/relationships/hyperlink" Target="http://xueqiu.com/S/06198" TargetMode="External"/><Relationship Id="rId324" Type="http://schemas.openxmlformats.org/officeDocument/2006/relationships/hyperlink" Target="http://xueqiu.com/S/02789" TargetMode="External"/><Relationship Id="rId323" Type="http://schemas.openxmlformats.org/officeDocument/2006/relationships/hyperlink" Target="http://xueqiu.com/S/08355" TargetMode="External"/><Relationship Id="rId322" Type="http://schemas.openxmlformats.org/officeDocument/2006/relationships/hyperlink" Target="http://xueqiu.com/S/02379" TargetMode="External"/><Relationship Id="rId321" Type="http://schemas.openxmlformats.org/officeDocument/2006/relationships/hyperlink" Target="http://xueqiu.com/S/02866" TargetMode="External"/><Relationship Id="rId320" Type="http://schemas.openxmlformats.org/officeDocument/2006/relationships/hyperlink" Target="http://xueqiu.com/S/08138" TargetMode="External"/><Relationship Id="rId32" Type="http://schemas.openxmlformats.org/officeDocument/2006/relationships/hyperlink" Target="http://xueqiu.com/S/00963" TargetMode="External"/><Relationship Id="rId319" Type="http://schemas.openxmlformats.org/officeDocument/2006/relationships/hyperlink" Target="http://xueqiu.com/S/01300" TargetMode="External"/><Relationship Id="rId318" Type="http://schemas.openxmlformats.org/officeDocument/2006/relationships/hyperlink" Target="http://xueqiu.com/S/01360" TargetMode="External"/><Relationship Id="rId317" Type="http://schemas.openxmlformats.org/officeDocument/2006/relationships/hyperlink" Target="http://xueqiu.com/S/01330" TargetMode="External"/><Relationship Id="rId316" Type="http://schemas.openxmlformats.org/officeDocument/2006/relationships/hyperlink" Target="http://xueqiu.com/S/00686" TargetMode="External"/><Relationship Id="rId315" Type="http://schemas.openxmlformats.org/officeDocument/2006/relationships/hyperlink" Target="http://xueqiu.com/S/01030" TargetMode="External"/><Relationship Id="rId314" Type="http://schemas.openxmlformats.org/officeDocument/2006/relationships/hyperlink" Target="http://xueqiu.com/S/06196" TargetMode="External"/><Relationship Id="rId313" Type="http://schemas.openxmlformats.org/officeDocument/2006/relationships/hyperlink" Target="http://xueqiu.com/S/08130" TargetMode="External"/><Relationship Id="rId312" Type="http://schemas.openxmlformats.org/officeDocument/2006/relationships/hyperlink" Target="http://xueqiu.com/S/06837" TargetMode="External"/><Relationship Id="rId311" Type="http://schemas.openxmlformats.org/officeDocument/2006/relationships/hyperlink" Target="http://xueqiu.com/S/03800" TargetMode="External"/><Relationship Id="rId310" Type="http://schemas.openxmlformats.org/officeDocument/2006/relationships/hyperlink" Target="http://xueqiu.com/S/00536" TargetMode="External"/><Relationship Id="rId31" Type="http://schemas.openxmlformats.org/officeDocument/2006/relationships/hyperlink" Target="http://xueqiu.com/S/00689" TargetMode="External"/><Relationship Id="rId309" Type="http://schemas.openxmlformats.org/officeDocument/2006/relationships/hyperlink" Target="http://xueqiu.com/S/01800" TargetMode="External"/><Relationship Id="rId308" Type="http://schemas.openxmlformats.org/officeDocument/2006/relationships/hyperlink" Target="http://xueqiu.com/S/00493" TargetMode="External"/><Relationship Id="rId307" Type="http://schemas.openxmlformats.org/officeDocument/2006/relationships/hyperlink" Target="http://xueqiu.com/S/01883" TargetMode="External"/><Relationship Id="rId306" Type="http://schemas.openxmlformats.org/officeDocument/2006/relationships/hyperlink" Target="http://xueqiu.com/S/08057" TargetMode="External"/><Relationship Id="rId305" Type="http://schemas.openxmlformats.org/officeDocument/2006/relationships/hyperlink" Target="http://xueqiu.com/S/00419" TargetMode="External"/><Relationship Id="rId304" Type="http://schemas.openxmlformats.org/officeDocument/2006/relationships/hyperlink" Target="http://xueqiu.com/S/01044" TargetMode="External"/><Relationship Id="rId303" Type="http://schemas.openxmlformats.org/officeDocument/2006/relationships/hyperlink" Target="http://xueqiu.com/S/00543" TargetMode="External"/><Relationship Id="rId302" Type="http://schemas.openxmlformats.org/officeDocument/2006/relationships/hyperlink" Target="http://xueqiu.com/S/00974" TargetMode="External"/><Relationship Id="rId301" Type="http://schemas.openxmlformats.org/officeDocument/2006/relationships/hyperlink" Target="http://xueqiu.com/S/08260" TargetMode="External"/><Relationship Id="rId300" Type="http://schemas.openxmlformats.org/officeDocument/2006/relationships/hyperlink" Target="http://xueqiu.com/S/00530" TargetMode="External"/><Relationship Id="rId30" Type="http://schemas.openxmlformats.org/officeDocument/2006/relationships/hyperlink" Target="http://xueqiu.com/S/00498" TargetMode="External"/><Relationship Id="rId3" Type="http://schemas.openxmlformats.org/officeDocument/2006/relationships/ctrlProp" Target="../ctrlProps/ctrlProp1.xml"/><Relationship Id="rId299" Type="http://schemas.openxmlformats.org/officeDocument/2006/relationships/hyperlink" Target="http://xueqiu.com/S/01811" TargetMode="External"/><Relationship Id="rId298" Type="http://schemas.openxmlformats.org/officeDocument/2006/relationships/hyperlink" Target="http://xueqiu.com/S/01270" TargetMode="External"/><Relationship Id="rId297" Type="http://schemas.openxmlformats.org/officeDocument/2006/relationships/hyperlink" Target="http://xueqiu.com/S/02618" TargetMode="External"/><Relationship Id="rId296" Type="http://schemas.openxmlformats.org/officeDocument/2006/relationships/hyperlink" Target="http://xueqiu.com/S/03330" TargetMode="External"/><Relationship Id="rId295" Type="http://schemas.openxmlformats.org/officeDocument/2006/relationships/hyperlink" Target="http://xueqiu.com/S/03993" TargetMode="External"/><Relationship Id="rId294" Type="http://schemas.openxmlformats.org/officeDocument/2006/relationships/hyperlink" Target="http://xueqiu.com/S/01157" TargetMode="External"/><Relationship Id="rId293" Type="http://schemas.openxmlformats.org/officeDocument/2006/relationships/hyperlink" Target="http://xueqiu.com/S/01548" TargetMode="External"/><Relationship Id="rId292" Type="http://schemas.openxmlformats.org/officeDocument/2006/relationships/hyperlink" Target="http://xueqiu.com/S/00296" TargetMode="External"/><Relationship Id="rId291" Type="http://schemas.openxmlformats.org/officeDocument/2006/relationships/hyperlink" Target="http://xueqiu.com/S/00998" TargetMode="External"/><Relationship Id="rId290" Type="http://schemas.openxmlformats.org/officeDocument/2006/relationships/hyperlink" Target="http://xueqiu.com/S/02020" TargetMode="External"/><Relationship Id="rId29" Type="http://schemas.openxmlformats.org/officeDocument/2006/relationships/hyperlink" Target="http://xueqiu.com/S/00205" TargetMode="External"/><Relationship Id="rId289" Type="http://schemas.openxmlformats.org/officeDocument/2006/relationships/hyperlink" Target="http://xueqiu.com/S/03773" TargetMode="External"/><Relationship Id="rId288" Type="http://schemas.openxmlformats.org/officeDocument/2006/relationships/hyperlink" Target="http://xueqiu.com/S/01508" TargetMode="External"/><Relationship Id="rId287" Type="http://schemas.openxmlformats.org/officeDocument/2006/relationships/hyperlink" Target="http://xueqiu.com/S/01297" TargetMode="External"/><Relationship Id="rId286" Type="http://schemas.openxmlformats.org/officeDocument/2006/relationships/hyperlink" Target="http://xueqiu.com/S/02100" TargetMode="External"/><Relationship Id="rId285" Type="http://schemas.openxmlformats.org/officeDocument/2006/relationships/hyperlink" Target="http://xueqiu.com/S/01055" TargetMode="External"/><Relationship Id="rId284" Type="http://schemas.openxmlformats.org/officeDocument/2006/relationships/hyperlink" Target="http://xueqiu.com/S/00726" TargetMode="External"/><Relationship Id="rId283" Type="http://schemas.openxmlformats.org/officeDocument/2006/relationships/hyperlink" Target="http://xueqiu.com/S/01528" TargetMode="External"/><Relationship Id="rId282" Type="http://schemas.openxmlformats.org/officeDocument/2006/relationships/hyperlink" Target="http://xueqiu.com/S/01019" TargetMode="External"/><Relationship Id="rId281" Type="http://schemas.openxmlformats.org/officeDocument/2006/relationships/hyperlink" Target="http://xueqiu.com/S/00307" TargetMode="External"/><Relationship Id="rId280" Type="http://schemas.openxmlformats.org/officeDocument/2006/relationships/hyperlink" Target="http://xueqiu.com/S/03606" TargetMode="External"/><Relationship Id="rId28" Type="http://schemas.openxmlformats.org/officeDocument/2006/relationships/hyperlink" Target="http://xueqiu.com/S/03389" TargetMode="External"/><Relationship Id="rId279" Type="http://schemas.openxmlformats.org/officeDocument/2006/relationships/hyperlink" Target="http://xueqiu.com/S/00245" TargetMode="External"/><Relationship Id="rId278" Type="http://schemas.openxmlformats.org/officeDocument/2006/relationships/hyperlink" Target="http://xueqiu.com/S/02333" TargetMode="External"/><Relationship Id="rId277" Type="http://schemas.openxmlformats.org/officeDocument/2006/relationships/hyperlink" Target="http://xueqiu.com/S/01339" TargetMode="External"/><Relationship Id="rId276" Type="http://schemas.openxmlformats.org/officeDocument/2006/relationships/hyperlink" Target="http://xueqiu.com/S/02009" TargetMode="External"/><Relationship Id="rId275" Type="http://schemas.openxmlformats.org/officeDocument/2006/relationships/hyperlink" Target="http://xueqiu.com/S/00327" TargetMode="External"/><Relationship Id="rId274" Type="http://schemas.openxmlformats.org/officeDocument/2006/relationships/hyperlink" Target="http://xueqiu.com/S/01599" TargetMode="External"/><Relationship Id="rId273" Type="http://schemas.openxmlformats.org/officeDocument/2006/relationships/hyperlink" Target="http://xueqiu.com/S/01060" TargetMode="External"/><Relationship Id="rId272" Type="http://schemas.openxmlformats.org/officeDocument/2006/relationships/hyperlink" Target="http://xueqiu.com/S/03889" TargetMode="External"/><Relationship Id="rId271" Type="http://schemas.openxmlformats.org/officeDocument/2006/relationships/hyperlink" Target="http://xueqiu.com/S/02328" TargetMode="External"/><Relationship Id="rId270" Type="http://schemas.openxmlformats.org/officeDocument/2006/relationships/hyperlink" Target="http://xueqiu.com/S/00218" TargetMode="External"/><Relationship Id="rId27" Type="http://schemas.openxmlformats.org/officeDocument/2006/relationships/hyperlink" Target="http://xueqiu.com/S/01355" TargetMode="External"/><Relationship Id="rId269" Type="http://schemas.openxmlformats.org/officeDocument/2006/relationships/hyperlink" Target="http://xueqiu.com/S/01886" TargetMode="External"/><Relationship Id="rId268" Type="http://schemas.openxmlformats.org/officeDocument/2006/relationships/hyperlink" Target="http://xueqiu.com/S/08083" TargetMode="External"/><Relationship Id="rId267" Type="http://schemas.openxmlformats.org/officeDocument/2006/relationships/hyperlink" Target="http://xueqiu.com/S/01515" TargetMode="External"/><Relationship Id="rId266" Type="http://schemas.openxmlformats.org/officeDocument/2006/relationships/hyperlink" Target="http://xueqiu.com/S/01177" TargetMode="External"/><Relationship Id="rId265" Type="http://schemas.openxmlformats.org/officeDocument/2006/relationships/hyperlink" Target="http://xueqiu.com/S/01333" TargetMode="External"/><Relationship Id="rId264" Type="http://schemas.openxmlformats.org/officeDocument/2006/relationships/hyperlink" Target="http://xueqiu.com/S/00735" TargetMode="External"/><Relationship Id="rId263" Type="http://schemas.openxmlformats.org/officeDocument/2006/relationships/hyperlink" Target="http://xueqiu.com/S/02006" TargetMode="External"/><Relationship Id="rId262" Type="http://schemas.openxmlformats.org/officeDocument/2006/relationships/hyperlink" Target="http://xueqiu.com/S/00827" TargetMode="External"/><Relationship Id="rId261" Type="http://schemas.openxmlformats.org/officeDocument/2006/relationships/hyperlink" Target="http://xueqiu.com/S/02722" TargetMode="External"/><Relationship Id="rId260" Type="http://schemas.openxmlformats.org/officeDocument/2006/relationships/hyperlink" Target="http://xueqiu.com/S/08197" TargetMode="External"/><Relationship Id="rId26" Type="http://schemas.openxmlformats.org/officeDocument/2006/relationships/hyperlink" Target="http://xueqiu.com/S/01260" TargetMode="External"/><Relationship Id="rId259" Type="http://schemas.openxmlformats.org/officeDocument/2006/relationships/hyperlink" Target="http://xueqiu.com/S/02196" TargetMode="External"/><Relationship Id="rId258" Type="http://schemas.openxmlformats.org/officeDocument/2006/relationships/hyperlink" Target="http://xueqiu.com/S/00806" TargetMode="External"/><Relationship Id="rId257" Type="http://schemas.openxmlformats.org/officeDocument/2006/relationships/hyperlink" Target="http://xueqiu.com/S/01680" TargetMode="External"/><Relationship Id="rId256" Type="http://schemas.openxmlformats.org/officeDocument/2006/relationships/hyperlink" Target="http://xueqiu.com/S/01117" TargetMode="External"/><Relationship Id="rId255" Type="http://schemas.openxmlformats.org/officeDocument/2006/relationships/hyperlink" Target="http://xueqiu.com/S/00390" TargetMode="External"/><Relationship Id="rId254" Type="http://schemas.openxmlformats.org/officeDocument/2006/relationships/hyperlink" Target="http://xueqiu.com/S/00336" TargetMode="External"/><Relationship Id="rId253" Type="http://schemas.openxmlformats.org/officeDocument/2006/relationships/hyperlink" Target="http://xueqiu.com/S/00651" TargetMode="External"/><Relationship Id="rId252" Type="http://schemas.openxmlformats.org/officeDocument/2006/relationships/hyperlink" Target="http://xueqiu.com/S/01336" TargetMode="External"/><Relationship Id="rId251" Type="http://schemas.openxmlformats.org/officeDocument/2006/relationships/hyperlink" Target="http://xueqiu.com/S/00005" TargetMode="External"/><Relationship Id="rId250" Type="http://schemas.openxmlformats.org/officeDocument/2006/relationships/hyperlink" Target="http://xueqiu.com/S/03818" TargetMode="External"/><Relationship Id="rId25" Type="http://schemas.openxmlformats.org/officeDocument/2006/relationships/hyperlink" Target="http://xueqiu.com/S/01332" TargetMode="External"/><Relationship Id="rId249" Type="http://schemas.openxmlformats.org/officeDocument/2006/relationships/hyperlink" Target="http://xueqiu.com/S/08207" TargetMode="External"/><Relationship Id="rId248" Type="http://schemas.openxmlformats.org/officeDocument/2006/relationships/hyperlink" Target="http://xueqiu.com/S/00861" TargetMode="External"/><Relationship Id="rId247" Type="http://schemas.openxmlformats.org/officeDocument/2006/relationships/hyperlink" Target="http://xueqiu.com/S/00605" TargetMode="External"/><Relationship Id="rId246" Type="http://schemas.openxmlformats.org/officeDocument/2006/relationships/hyperlink" Target="http://xueqiu.com/S/01428" TargetMode="External"/><Relationship Id="rId245" Type="http://schemas.openxmlformats.org/officeDocument/2006/relationships/hyperlink" Target="http://xueqiu.com/S/00717" TargetMode="External"/><Relationship Id="rId244" Type="http://schemas.openxmlformats.org/officeDocument/2006/relationships/hyperlink" Target="http://xueqiu.com/S/01229" TargetMode="External"/><Relationship Id="rId243" Type="http://schemas.openxmlformats.org/officeDocument/2006/relationships/hyperlink" Target="http://xueqiu.com/S/01359" TargetMode="External"/><Relationship Id="rId242" Type="http://schemas.openxmlformats.org/officeDocument/2006/relationships/hyperlink" Target="http://xueqiu.com/S/08361" TargetMode="External"/><Relationship Id="rId241" Type="http://schemas.openxmlformats.org/officeDocument/2006/relationships/hyperlink" Target="http://xueqiu.com/S/08051" TargetMode="External"/><Relationship Id="rId240" Type="http://schemas.openxmlformats.org/officeDocument/2006/relationships/hyperlink" Target="http://xueqiu.com/S/00951" TargetMode="External"/><Relationship Id="rId24" Type="http://schemas.openxmlformats.org/officeDocument/2006/relationships/hyperlink" Target="http://xueqiu.com/S/01668" TargetMode="External"/><Relationship Id="rId239" Type="http://schemas.openxmlformats.org/officeDocument/2006/relationships/hyperlink" Target="http://xueqiu.com/S/00362" TargetMode="External"/><Relationship Id="rId238" Type="http://schemas.openxmlformats.org/officeDocument/2006/relationships/hyperlink" Target="http://xueqiu.com/S/00317" TargetMode="External"/><Relationship Id="rId237" Type="http://schemas.openxmlformats.org/officeDocument/2006/relationships/hyperlink" Target="http://xueqiu.com/S/02038" TargetMode="External"/><Relationship Id="rId236" Type="http://schemas.openxmlformats.org/officeDocument/2006/relationships/hyperlink" Target="http://xueqiu.com/S/03968" TargetMode="External"/><Relationship Id="rId235" Type="http://schemas.openxmlformats.org/officeDocument/2006/relationships/hyperlink" Target="http://xueqiu.com/S/01280" TargetMode="External"/><Relationship Id="rId234" Type="http://schemas.openxmlformats.org/officeDocument/2006/relationships/hyperlink" Target="http://xueqiu.com/S/02280" TargetMode="External"/><Relationship Id="rId233" Type="http://schemas.openxmlformats.org/officeDocument/2006/relationships/hyperlink" Target="http://xueqiu.com/S/02689" TargetMode="External"/><Relationship Id="rId232" Type="http://schemas.openxmlformats.org/officeDocument/2006/relationships/hyperlink" Target="http://xueqiu.com/S/00996" TargetMode="External"/><Relationship Id="rId231" Type="http://schemas.openxmlformats.org/officeDocument/2006/relationships/hyperlink" Target="http://xueqiu.com/S/01171" TargetMode="External"/><Relationship Id="rId230" Type="http://schemas.openxmlformats.org/officeDocument/2006/relationships/hyperlink" Target="http://xueqiu.com/S/00902" TargetMode="External"/><Relationship Id="rId23" Type="http://schemas.openxmlformats.org/officeDocument/2006/relationships/hyperlink" Target="http://xueqiu.com/S/00222" TargetMode="External"/><Relationship Id="rId229" Type="http://schemas.openxmlformats.org/officeDocument/2006/relationships/hyperlink" Target="http://xueqiu.com/S/02186" TargetMode="External"/><Relationship Id="rId228" Type="http://schemas.openxmlformats.org/officeDocument/2006/relationships/hyperlink" Target="http://xueqiu.com/S/02313" TargetMode="External"/><Relationship Id="rId227" Type="http://schemas.openxmlformats.org/officeDocument/2006/relationships/hyperlink" Target="http://xueqiu.com/S/00606" TargetMode="External"/><Relationship Id="rId226" Type="http://schemas.openxmlformats.org/officeDocument/2006/relationships/hyperlink" Target="http://xueqiu.com/S/03315" TargetMode="External"/><Relationship Id="rId225" Type="http://schemas.openxmlformats.org/officeDocument/2006/relationships/hyperlink" Target="http://xueqiu.com/S/00803" TargetMode="External"/><Relationship Id="rId224" Type="http://schemas.openxmlformats.org/officeDocument/2006/relationships/hyperlink" Target="http://xueqiu.com/S/00268" TargetMode="External"/><Relationship Id="rId223" Type="http://schemas.openxmlformats.org/officeDocument/2006/relationships/hyperlink" Target="http://xueqiu.com/S/02339" TargetMode="External"/><Relationship Id="rId222" Type="http://schemas.openxmlformats.org/officeDocument/2006/relationships/hyperlink" Target="http://xueqiu.com/S/00269" TargetMode="External"/><Relationship Id="rId221" Type="http://schemas.openxmlformats.org/officeDocument/2006/relationships/hyperlink" Target="http://xueqiu.com/S/01568" TargetMode="External"/><Relationship Id="rId220" Type="http://schemas.openxmlformats.org/officeDocument/2006/relationships/hyperlink" Target="http://xueqiu.com/S/00451" TargetMode="External"/><Relationship Id="rId22" Type="http://schemas.openxmlformats.org/officeDocument/2006/relationships/hyperlink" Target="http://xueqiu.com/S/08041" TargetMode="External"/><Relationship Id="rId219" Type="http://schemas.openxmlformats.org/officeDocument/2006/relationships/hyperlink" Target="http://xueqiu.com/S/02322" TargetMode="External"/><Relationship Id="rId218" Type="http://schemas.openxmlformats.org/officeDocument/2006/relationships/hyperlink" Target="http://xueqiu.com/S/01068" TargetMode="External"/><Relationship Id="rId217" Type="http://schemas.openxmlformats.org/officeDocument/2006/relationships/hyperlink" Target="http://xueqiu.com/S/06881" TargetMode="External"/><Relationship Id="rId216" Type="http://schemas.openxmlformats.org/officeDocument/2006/relationships/hyperlink" Target="http://xueqiu.com/S/00798" TargetMode="External"/><Relationship Id="rId215" Type="http://schemas.openxmlformats.org/officeDocument/2006/relationships/hyperlink" Target="http://xueqiu.com/S/00410" TargetMode="External"/><Relationship Id="rId214" Type="http://schemas.openxmlformats.org/officeDocument/2006/relationships/hyperlink" Target="http://xueqiu.com/S/03333" TargetMode="External"/><Relationship Id="rId213" Type="http://schemas.openxmlformats.org/officeDocument/2006/relationships/hyperlink" Target="http://xueqiu.com/S/08369" TargetMode="External"/><Relationship Id="rId212" Type="http://schemas.openxmlformats.org/officeDocument/2006/relationships/hyperlink" Target="http://xueqiu.com/S/01398" TargetMode="External"/><Relationship Id="rId211" Type="http://schemas.openxmlformats.org/officeDocument/2006/relationships/hyperlink" Target="http://xueqiu.com/S/01499" TargetMode="External"/><Relationship Id="rId210" Type="http://schemas.openxmlformats.org/officeDocument/2006/relationships/hyperlink" Target="http://xueqiu.com/S/08161" TargetMode="External"/><Relationship Id="rId21" Type="http://schemas.openxmlformats.org/officeDocument/2006/relationships/hyperlink" Target="http://xueqiu.com/S/01527" TargetMode="External"/><Relationship Id="rId209" Type="http://schemas.openxmlformats.org/officeDocument/2006/relationships/hyperlink" Target="http://xueqiu.com/S/01326" TargetMode="External"/><Relationship Id="rId208" Type="http://schemas.openxmlformats.org/officeDocument/2006/relationships/hyperlink" Target="http://xueqiu.com/S/00465" TargetMode="External"/><Relationship Id="rId207" Type="http://schemas.openxmlformats.org/officeDocument/2006/relationships/hyperlink" Target="http://xueqiu.com/S/00583" TargetMode="External"/><Relationship Id="rId206" Type="http://schemas.openxmlformats.org/officeDocument/2006/relationships/hyperlink" Target="http://xueqiu.com/S/00170" TargetMode="External"/><Relationship Id="rId205" Type="http://schemas.openxmlformats.org/officeDocument/2006/relationships/hyperlink" Target="http://xueqiu.com/S/08327" TargetMode="External"/><Relationship Id="rId204" Type="http://schemas.openxmlformats.org/officeDocument/2006/relationships/hyperlink" Target="http://xueqiu.com/S/00794" TargetMode="External"/><Relationship Id="rId203" Type="http://schemas.openxmlformats.org/officeDocument/2006/relationships/hyperlink" Target="http://xueqiu.com/S/02666" TargetMode="External"/><Relationship Id="rId202" Type="http://schemas.openxmlformats.org/officeDocument/2006/relationships/hyperlink" Target="http://xueqiu.com/S/00080" TargetMode="External"/><Relationship Id="rId201" Type="http://schemas.openxmlformats.org/officeDocument/2006/relationships/hyperlink" Target="http://xueqiu.com/S/02917" TargetMode="External"/><Relationship Id="rId200" Type="http://schemas.openxmlformats.org/officeDocument/2006/relationships/hyperlink" Target="http://xueqiu.com/S/02999" TargetMode="External"/><Relationship Id="rId20" Type="http://schemas.openxmlformats.org/officeDocument/2006/relationships/hyperlink" Target="http://xueqiu.com/S/00635" TargetMode="External"/><Relationship Id="rId2" Type="http://schemas.openxmlformats.org/officeDocument/2006/relationships/vmlDrawing" Target="../drawings/vmlDrawing1.vml"/><Relationship Id="rId199" Type="http://schemas.openxmlformats.org/officeDocument/2006/relationships/hyperlink" Target="http://xueqiu.com/S/00940" TargetMode="External"/><Relationship Id="rId198" Type="http://schemas.openxmlformats.org/officeDocument/2006/relationships/hyperlink" Target="http://xueqiu.com/S/01638" TargetMode="External"/><Relationship Id="rId197" Type="http://schemas.openxmlformats.org/officeDocument/2006/relationships/hyperlink" Target="http://xueqiu.com/S/00837" TargetMode="External"/><Relationship Id="rId196" Type="http://schemas.openxmlformats.org/officeDocument/2006/relationships/hyperlink" Target="http://xueqiu.com/S/01203" TargetMode="External"/><Relationship Id="rId195" Type="http://schemas.openxmlformats.org/officeDocument/2006/relationships/hyperlink" Target="http://xueqiu.com/S/00863" TargetMode="External"/><Relationship Id="rId194" Type="http://schemas.openxmlformats.org/officeDocument/2006/relationships/hyperlink" Target="http://xueqiu.com/S/01036" TargetMode="External"/><Relationship Id="rId193" Type="http://schemas.openxmlformats.org/officeDocument/2006/relationships/hyperlink" Target="http://xueqiu.com/S/00718" TargetMode="External"/><Relationship Id="rId192" Type="http://schemas.openxmlformats.org/officeDocument/2006/relationships/hyperlink" Target="http://xueqiu.com/S/00442" TargetMode="External"/><Relationship Id="rId191" Type="http://schemas.openxmlformats.org/officeDocument/2006/relationships/hyperlink" Target="http://xueqiu.com/S/00136" TargetMode="External"/><Relationship Id="rId190" Type="http://schemas.openxmlformats.org/officeDocument/2006/relationships/hyperlink" Target="http://xueqiu.com/S/08141" TargetMode="External"/><Relationship Id="rId19" Type="http://schemas.openxmlformats.org/officeDocument/2006/relationships/hyperlink" Target="http://xueqiu.com/S/01470" TargetMode="External"/><Relationship Id="rId189" Type="http://schemas.openxmlformats.org/officeDocument/2006/relationships/hyperlink" Target="http://xueqiu.com/S/01683" TargetMode="External"/><Relationship Id="rId188" Type="http://schemas.openxmlformats.org/officeDocument/2006/relationships/hyperlink" Target="http://xueqiu.com/S/01561" TargetMode="External"/><Relationship Id="rId187" Type="http://schemas.openxmlformats.org/officeDocument/2006/relationships/hyperlink" Target="http://xueqiu.com/S/00911" TargetMode="External"/><Relationship Id="rId186" Type="http://schemas.openxmlformats.org/officeDocument/2006/relationships/hyperlink" Target="http://xueqiu.com/S/02964" TargetMode="External"/><Relationship Id="rId185" Type="http://schemas.openxmlformats.org/officeDocument/2006/relationships/hyperlink" Target="http://xueqiu.com/S/01046" TargetMode="External"/><Relationship Id="rId184" Type="http://schemas.openxmlformats.org/officeDocument/2006/relationships/hyperlink" Target="http://xueqiu.com/S/00958" TargetMode="External"/><Relationship Id="rId183" Type="http://schemas.openxmlformats.org/officeDocument/2006/relationships/hyperlink" Target="http://xueqiu.com/S/00648" TargetMode="External"/><Relationship Id="rId182" Type="http://schemas.openxmlformats.org/officeDocument/2006/relationships/hyperlink" Target="http://xueqiu.com/S/02369" TargetMode="External"/><Relationship Id="rId181" Type="http://schemas.openxmlformats.org/officeDocument/2006/relationships/hyperlink" Target="http://xueqiu.com/S/02318" TargetMode="External"/><Relationship Id="rId180" Type="http://schemas.openxmlformats.org/officeDocument/2006/relationships/hyperlink" Target="http://xueqiu.com/S/02669" TargetMode="External"/><Relationship Id="rId18" Type="http://schemas.openxmlformats.org/officeDocument/2006/relationships/hyperlink" Target="http://xueqiu.com/S/08105" TargetMode="External"/><Relationship Id="rId179" Type="http://schemas.openxmlformats.org/officeDocument/2006/relationships/hyperlink" Target="http://xueqiu.com/S/08282" TargetMode="External"/><Relationship Id="rId178" Type="http://schemas.openxmlformats.org/officeDocument/2006/relationships/hyperlink" Target="http://xueqiu.com/S/00821" TargetMode="External"/><Relationship Id="rId177" Type="http://schemas.openxmlformats.org/officeDocument/2006/relationships/hyperlink" Target="http://xueqiu.com/S/01899" TargetMode="External"/><Relationship Id="rId176" Type="http://schemas.openxmlformats.org/officeDocument/2006/relationships/hyperlink" Target="http://xueqiu.com/S/01321" TargetMode="External"/><Relationship Id="rId175" Type="http://schemas.openxmlformats.org/officeDocument/2006/relationships/hyperlink" Target="http://xueqiu.com/S/00198" TargetMode="External"/><Relationship Id="rId174" Type="http://schemas.openxmlformats.org/officeDocument/2006/relationships/hyperlink" Target="http://xueqiu.com/S/01262" TargetMode="External"/><Relationship Id="rId173" Type="http://schemas.openxmlformats.org/officeDocument/2006/relationships/hyperlink" Target="http://xueqiu.com/S/03988" TargetMode="External"/><Relationship Id="rId172" Type="http://schemas.openxmlformats.org/officeDocument/2006/relationships/hyperlink" Target="http://xueqiu.com/S/02202" TargetMode="External"/><Relationship Id="rId171" Type="http://schemas.openxmlformats.org/officeDocument/2006/relationships/hyperlink" Target="http://xueqiu.com/S/02699" TargetMode="External"/><Relationship Id="rId170" Type="http://schemas.openxmlformats.org/officeDocument/2006/relationships/hyperlink" Target="http://xueqiu.com/S/03378" TargetMode="External"/><Relationship Id="rId17" Type="http://schemas.openxmlformats.org/officeDocument/2006/relationships/hyperlink" Target="http://xueqiu.com/S/02348" TargetMode="External"/><Relationship Id="rId169" Type="http://schemas.openxmlformats.org/officeDocument/2006/relationships/hyperlink" Target="http://xueqiu.com/S/01778" TargetMode="External"/><Relationship Id="rId168" Type="http://schemas.openxmlformats.org/officeDocument/2006/relationships/hyperlink" Target="http://xueqiu.com/S/02686" TargetMode="External"/><Relationship Id="rId167" Type="http://schemas.openxmlformats.org/officeDocument/2006/relationships/hyperlink" Target="http://xueqiu.com/S/00400" TargetMode="External"/><Relationship Id="rId166" Type="http://schemas.openxmlformats.org/officeDocument/2006/relationships/hyperlink" Target="http://xueqiu.com/S/00926" TargetMode="External"/><Relationship Id="rId165" Type="http://schemas.openxmlformats.org/officeDocument/2006/relationships/hyperlink" Target="http://xueqiu.com/S/01530" TargetMode="External"/><Relationship Id="rId164" Type="http://schemas.openxmlformats.org/officeDocument/2006/relationships/hyperlink" Target="http://xueqiu.com/S/01165" TargetMode="External"/><Relationship Id="rId163" Type="http://schemas.openxmlformats.org/officeDocument/2006/relationships/hyperlink" Target="http://xueqiu.com/S/01381" TargetMode="External"/><Relationship Id="rId162" Type="http://schemas.openxmlformats.org/officeDocument/2006/relationships/hyperlink" Target="http://xueqiu.com/S/08345" TargetMode="External"/><Relationship Id="rId161" Type="http://schemas.openxmlformats.org/officeDocument/2006/relationships/hyperlink" Target="http://xueqiu.com/S/01057" TargetMode="External"/><Relationship Id="rId160" Type="http://schemas.openxmlformats.org/officeDocument/2006/relationships/hyperlink" Target="http://xueqiu.com/S/02388" TargetMode="External"/><Relationship Id="rId16" Type="http://schemas.openxmlformats.org/officeDocument/2006/relationships/hyperlink" Target="http://xueqiu.com/S/02371" TargetMode="External"/><Relationship Id="rId159" Type="http://schemas.openxmlformats.org/officeDocument/2006/relationships/hyperlink" Target="http://xueqiu.com/S/00816" TargetMode="External"/><Relationship Id="rId158" Type="http://schemas.openxmlformats.org/officeDocument/2006/relationships/hyperlink" Target="http://xueqiu.com/S/02223" TargetMode="External"/><Relationship Id="rId157" Type="http://schemas.openxmlformats.org/officeDocument/2006/relationships/hyperlink" Target="http://xueqiu.com/S/02357" TargetMode="External"/><Relationship Id="rId156" Type="http://schemas.openxmlformats.org/officeDocument/2006/relationships/hyperlink" Target="http://xueqiu.com/S/01349" TargetMode="External"/><Relationship Id="rId155" Type="http://schemas.openxmlformats.org/officeDocument/2006/relationships/hyperlink" Target="http://xueqiu.com/S/00510" TargetMode="External"/><Relationship Id="rId154" Type="http://schemas.openxmlformats.org/officeDocument/2006/relationships/hyperlink" Target="http://xueqiu.com/S/00164" TargetMode="External"/><Relationship Id="rId153" Type="http://schemas.openxmlformats.org/officeDocument/2006/relationships/hyperlink" Target="http://xueqiu.com/S/01478" TargetMode="External"/><Relationship Id="rId152" Type="http://schemas.openxmlformats.org/officeDocument/2006/relationships/hyperlink" Target="http://xueqiu.com/S/00708" TargetMode="External"/><Relationship Id="rId151" Type="http://schemas.openxmlformats.org/officeDocument/2006/relationships/hyperlink" Target="http://xueqiu.com/S/01622" TargetMode="External"/><Relationship Id="rId150" Type="http://schemas.openxmlformats.org/officeDocument/2006/relationships/hyperlink" Target="http://xueqiu.com/S/00371" TargetMode="External"/><Relationship Id="rId15" Type="http://schemas.openxmlformats.org/officeDocument/2006/relationships/hyperlink" Target="http://xueqiu.com/S/01139" TargetMode="External"/><Relationship Id="rId149" Type="http://schemas.openxmlformats.org/officeDocument/2006/relationships/hyperlink" Target="http://xueqiu.com/S/00570" TargetMode="External"/><Relationship Id="rId148" Type="http://schemas.openxmlformats.org/officeDocument/2006/relationships/hyperlink" Target="http://xueqiu.com/S/08325" TargetMode="External"/><Relationship Id="rId147" Type="http://schemas.openxmlformats.org/officeDocument/2006/relationships/hyperlink" Target="http://xueqiu.com/S/08006" TargetMode="External"/><Relationship Id="rId146" Type="http://schemas.openxmlformats.org/officeDocument/2006/relationships/hyperlink" Target="http://xueqiu.com/S/08143" TargetMode="External"/><Relationship Id="rId145" Type="http://schemas.openxmlformats.org/officeDocument/2006/relationships/hyperlink" Target="http://xueqiu.com/S/01049" TargetMode="External"/><Relationship Id="rId144" Type="http://schemas.openxmlformats.org/officeDocument/2006/relationships/hyperlink" Target="http://xueqiu.com/S/02323" TargetMode="External"/><Relationship Id="rId143" Type="http://schemas.openxmlformats.org/officeDocument/2006/relationships/hyperlink" Target="http://xueqiu.com/S/02899" TargetMode="External"/><Relationship Id="rId142" Type="http://schemas.openxmlformats.org/officeDocument/2006/relationships/hyperlink" Target="http://xueqiu.com/S/08340" TargetMode="External"/><Relationship Id="rId141" Type="http://schemas.openxmlformats.org/officeDocument/2006/relationships/hyperlink" Target="http://xueqiu.com/S/08046" TargetMode="External"/><Relationship Id="rId140" Type="http://schemas.openxmlformats.org/officeDocument/2006/relationships/hyperlink" Target="http://xueqiu.com/S/00590" TargetMode="External"/><Relationship Id="rId14" Type="http://schemas.openxmlformats.org/officeDocument/2006/relationships/hyperlink" Target="http://xueqiu.com/S/00183" TargetMode="External"/><Relationship Id="rId139" Type="http://schemas.openxmlformats.org/officeDocument/2006/relationships/hyperlink" Target="http://xueqiu.com/S/00992" TargetMode="External"/><Relationship Id="rId138" Type="http://schemas.openxmlformats.org/officeDocument/2006/relationships/hyperlink" Target="http://xueqiu.com/S/00426" TargetMode="External"/><Relationship Id="rId137" Type="http://schemas.openxmlformats.org/officeDocument/2006/relationships/hyperlink" Target="http://xueqiu.com/S/03908" TargetMode="External"/><Relationship Id="rId136" Type="http://schemas.openxmlformats.org/officeDocument/2006/relationships/hyperlink" Target="http://xueqiu.com/S/01328" TargetMode="External"/><Relationship Id="rId135" Type="http://schemas.openxmlformats.org/officeDocument/2006/relationships/hyperlink" Target="http://xueqiu.com/S/02211" TargetMode="External"/><Relationship Id="rId134" Type="http://schemas.openxmlformats.org/officeDocument/2006/relationships/hyperlink" Target="http://xueqiu.com/S/00552" TargetMode="External"/><Relationship Id="rId133" Type="http://schemas.openxmlformats.org/officeDocument/2006/relationships/hyperlink" Target="http://xueqiu.com/S/01788" TargetMode="External"/><Relationship Id="rId132" Type="http://schemas.openxmlformats.org/officeDocument/2006/relationships/hyperlink" Target="http://xueqiu.com/S/01776" TargetMode="External"/><Relationship Id="rId131" Type="http://schemas.openxmlformats.org/officeDocument/2006/relationships/hyperlink" Target="http://xueqiu.com/S/01137" TargetMode="External"/><Relationship Id="rId130" Type="http://schemas.openxmlformats.org/officeDocument/2006/relationships/hyperlink" Target="http://xueqiu.com/S/00402" TargetMode="External"/><Relationship Id="rId13" Type="http://schemas.openxmlformats.org/officeDocument/2006/relationships/hyperlink" Target="http://xueqiu.com/S/08239" TargetMode="External"/><Relationship Id="rId129" Type="http://schemas.openxmlformats.org/officeDocument/2006/relationships/hyperlink" Target="http://xueqiu.com/S/00101" TargetMode="External"/><Relationship Id="rId128" Type="http://schemas.openxmlformats.org/officeDocument/2006/relationships/hyperlink" Target="http://xueqiu.com/S/03963" TargetMode="External"/><Relationship Id="rId127" Type="http://schemas.openxmlformats.org/officeDocument/2006/relationships/hyperlink" Target="http://xueqiu.com/S/00665" TargetMode="External"/><Relationship Id="rId126" Type="http://schemas.openxmlformats.org/officeDocument/2006/relationships/hyperlink" Target="http://xueqiu.com/S/03836" TargetMode="External"/><Relationship Id="rId125" Type="http://schemas.openxmlformats.org/officeDocument/2006/relationships/hyperlink" Target="http://xueqiu.com/S/00388" TargetMode="External"/><Relationship Id="rId124" Type="http://schemas.openxmlformats.org/officeDocument/2006/relationships/hyperlink" Target="http://xueqiu.com/S/08127" TargetMode="External"/><Relationship Id="rId123" Type="http://schemas.openxmlformats.org/officeDocument/2006/relationships/hyperlink" Target="http://xueqiu.com/S/02356" TargetMode="External"/><Relationship Id="rId122" Type="http://schemas.openxmlformats.org/officeDocument/2006/relationships/hyperlink" Target="http://xueqiu.com/S/02727" TargetMode="External"/><Relationship Id="rId121" Type="http://schemas.openxmlformats.org/officeDocument/2006/relationships/hyperlink" Target="http://xueqiu.com/S/00968" TargetMode="External"/><Relationship Id="rId120" Type="http://schemas.openxmlformats.org/officeDocument/2006/relationships/hyperlink" Target="http://xueqiu.com/S/00729" TargetMode="External"/><Relationship Id="rId12" Type="http://schemas.openxmlformats.org/officeDocument/2006/relationships/hyperlink" Target="http://xueqiu.com/S/08172" TargetMode="External"/><Relationship Id="rId119" Type="http://schemas.openxmlformats.org/officeDocument/2006/relationships/hyperlink" Target="http://xueqiu.com/S/00656" TargetMode="External"/><Relationship Id="rId118" Type="http://schemas.openxmlformats.org/officeDocument/2006/relationships/hyperlink" Target="http://xueqiu.com/S/01919" TargetMode="External"/><Relationship Id="rId117" Type="http://schemas.openxmlformats.org/officeDocument/2006/relationships/hyperlink" Target="http://xueqiu.com/S/00700" TargetMode="External"/><Relationship Id="rId116" Type="http://schemas.openxmlformats.org/officeDocument/2006/relationships/hyperlink" Target="http://xueqiu.com/S/00978" TargetMode="External"/><Relationship Id="rId115" Type="http://schemas.openxmlformats.org/officeDocument/2006/relationships/hyperlink" Target="http://xueqiu.com/S/00257" TargetMode="External"/><Relationship Id="rId114" Type="http://schemas.openxmlformats.org/officeDocument/2006/relationships/hyperlink" Target="http://xueqiu.com/S/00750" TargetMode="External"/><Relationship Id="rId113" Type="http://schemas.openxmlformats.org/officeDocument/2006/relationships/hyperlink" Target="http://xueqiu.com/S/01833" TargetMode="External"/><Relationship Id="rId112" Type="http://schemas.openxmlformats.org/officeDocument/2006/relationships/hyperlink" Target="http://xueqiu.com/S/01033" TargetMode="External"/><Relationship Id="rId111" Type="http://schemas.openxmlformats.org/officeDocument/2006/relationships/hyperlink" Target="http://xueqiu.com/S/01378" TargetMode="External"/><Relationship Id="rId110" Type="http://schemas.openxmlformats.org/officeDocument/2006/relationships/hyperlink" Target="http://xueqiu.com/S/01468" TargetMode="External"/><Relationship Id="rId11" Type="http://schemas.openxmlformats.org/officeDocument/2006/relationships/hyperlink" Target="http://xueqiu.com/S/01039" TargetMode="External"/><Relationship Id="rId109" Type="http://schemas.openxmlformats.org/officeDocument/2006/relationships/hyperlink" Target="http://xueqiu.com/S/01386" TargetMode="External"/><Relationship Id="rId108" Type="http://schemas.openxmlformats.org/officeDocument/2006/relationships/hyperlink" Target="http://xueqiu.com/S/01447" TargetMode="External"/><Relationship Id="rId107" Type="http://schemas.openxmlformats.org/officeDocument/2006/relationships/hyperlink" Target="http://xueqiu.com/S/02828" TargetMode="External"/><Relationship Id="rId106" Type="http://schemas.openxmlformats.org/officeDocument/2006/relationships/hyperlink" Target="http://xueqiu.com/S/01250" TargetMode="External"/><Relationship Id="rId105" Type="http://schemas.openxmlformats.org/officeDocument/2006/relationships/hyperlink" Target="http://xueqiu.com/S/00585" TargetMode="External"/><Relationship Id="rId104" Type="http://schemas.openxmlformats.org/officeDocument/2006/relationships/hyperlink" Target="http://xueqiu.com/S/03888" TargetMode="External"/><Relationship Id="rId103" Type="http://schemas.openxmlformats.org/officeDocument/2006/relationships/hyperlink" Target="http://xueqiu.com/S/01898" TargetMode="External"/><Relationship Id="rId102" Type="http://schemas.openxmlformats.org/officeDocument/2006/relationships/hyperlink" Target="http://xueqiu.com/S/03322" TargetMode="External"/><Relationship Id="rId101" Type="http://schemas.openxmlformats.org/officeDocument/2006/relationships/hyperlink" Target="http://xueqiu.com/S/08326" TargetMode="External"/><Relationship Id="rId100" Type="http://schemas.openxmlformats.org/officeDocument/2006/relationships/hyperlink" Target="http://xueqiu.com/S/00819" TargetMode="External"/><Relationship Id="rId10" Type="http://schemas.openxmlformats.org/officeDocument/2006/relationships/hyperlink" Target="http://xueqiu.com/S/00538" TargetMode="Externa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queryTable" Target="../queryTables/queryTable2.xml"/><Relationship Id="rId5" Type="http://schemas.openxmlformats.org/officeDocument/2006/relationships/hyperlink" Target="http://xueqiu.com/S/01831" TargetMode="External"/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queryTable" Target="../queryTables/queryTable3.xm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://xueqiu.com/S/00419/65395335" TargetMode="External"/><Relationship Id="rId2" Type="http://schemas.openxmlformats.org/officeDocument/2006/relationships/hyperlink" Target="http://xueqiu.com/S/00136/65413446" TargetMode="External"/><Relationship Id="rId1" Type="http://schemas.openxmlformats.org/officeDocument/2006/relationships/hyperlink" Target="http://xueqiu.com/S/02000/65397182" TargetMode="External"/></Relationships>
</file>

<file path=xl/worksheets/_rels/sheet11.xml.rels><?xml version="1.0" encoding="UTF-8" standalone="yes"?>
<Relationships xmlns="http://schemas.openxmlformats.org/package/2006/relationships"><Relationship Id="rId9" Type="http://schemas.openxmlformats.org/officeDocument/2006/relationships/hyperlink" Target="http://xueqiu.com/S/08095" TargetMode="External"/><Relationship Id="rId8" Type="http://schemas.openxmlformats.org/officeDocument/2006/relationships/hyperlink" Target="http://xueqiu.com/S/00547" TargetMode="External"/><Relationship Id="rId7" Type="http://schemas.openxmlformats.org/officeDocument/2006/relationships/hyperlink" Target="http://xueqiu.com/S/00777" TargetMode="External"/><Relationship Id="rId6" Type="http://schemas.openxmlformats.org/officeDocument/2006/relationships/hyperlink" Target="http://xueqiu.com/S/00354" TargetMode="External"/><Relationship Id="rId5" Type="http://schemas.openxmlformats.org/officeDocument/2006/relationships/hyperlink" Target="http://xueqiu.com/S/02488" TargetMode="External"/><Relationship Id="rId4" Type="http://schemas.openxmlformats.org/officeDocument/2006/relationships/hyperlink" Target="http://xueqiu.com/S/00419" TargetMode="External"/><Relationship Id="rId3" Type="http://schemas.openxmlformats.org/officeDocument/2006/relationships/hyperlink" Target="http://xueqiu.com/S/01326" TargetMode="External"/><Relationship Id="rId2" Type="http://schemas.openxmlformats.org/officeDocument/2006/relationships/hyperlink" Target="http://xueqiu.com/S/00400" TargetMode="External"/><Relationship Id="rId1" Type="http://schemas.openxmlformats.org/officeDocument/2006/relationships/hyperlink" Target="http://xueqiu.com/S/01980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C1:N607"/>
  <sheetViews>
    <sheetView topLeftCell="A255" workbookViewId="0">
      <selection activeCell="E23" sqref="E23"/>
    </sheetView>
  </sheetViews>
  <sheetFormatPr defaultColWidth="9" defaultRowHeight="13.5"/>
  <cols>
    <col min="3" max="3" width="13.875" customWidth="1"/>
    <col min="4" max="6" width="9.5" customWidth="1"/>
    <col min="7" max="7" width="11.625" customWidth="1"/>
    <col min="8" max="8" width="32.625" customWidth="1"/>
    <col min="9" max="9" width="33" customWidth="1"/>
    <col min="10" max="10" width="26" customWidth="1"/>
    <col min="11" max="11" width="13" customWidth="1"/>
    <col min="12" max="14" width="12.75" customWidth="1"/>
  </cols>
  <sheetData>
    <row r="1" spans="3:7">
      <c r="C1" t="s">
        <v>0</v>
      </c>
      <c r="D1" t="s">
        <v>1</v>
      </c>
      <c r="E1" t="s">
        <v>2</v>
      </c>
      <c r="F1" t="s">
        <v>3</v>
      </c>
      <c r="G1" t="s">
        <v>4</v>
      </c>
    </row>
    <row r="2" spans="3:9">
      <c r="C2" t="s">
        <v>5</v>
      </c>
      <c r="D2">
        <v>8.56</v>
      </c>
      <c r="E2">
        <v>7.92</v>
      </c>
      <c r="F2">
        <v>21.5</v>
      </c>
      <c r="G2" s="2">
        <v>2770000000</v>
      </c>
      <c r="H2" t="s">
        <v>6</v>
      </c>
      <c r="I2">
        <v>0</v>
      </c>
    </row>
    <row r="3" spans="3:12">
      <c r="C3">
        <v>2333</v>
      </c>
      <c r="D3">
        <v>6.46</v>
      </c>
      <c r="E3">
        <v>6.4</v>
      </c>
      <c r="F3">
        <v>60.7</v>
      </c>
      <c r="G3" s="2">
        <v>21386826000</v>
      </c>
      <c r="H3">
        <v>5.8639</v>
      </c>
      <c r="I3">
        <v>5.864</v>
      </c>
      <c r="J3" t="s">
        <v>7</v>
      </c>
      <c r="K3">
        <v>1.54</v>
      </c>
      <c r="L3">
        <v>0.734948650272182</v>
      </c>
    </row>
    <row r="4" spans="3:12">
      <c r="C4" t="s">
        <v>8</v>
      </c>
      <c r="D4">
        <v>119.52</v>
      </c>
      <c r="E4">
        <v>35.24</v>
      </c>
      <c r="F4">
        <v>176</v>
      </c>
      <c r="G4" s="2">
        <v>31376280000</v>
      </c>
      <c r="H4">
        <v>240.4286</v>
      </c>
      <c r="I4">
        <v>187.5369</v>
      </c>
      <c r="J4" t="s">
        <v>9</v>
      </c>
      <c r="K4">
        <v>10.82</v>
      </c>
      <c r="L4">
        <v>17.1545</v>
      </c>
    </row>
    <row r="5" spans="3:12">
      <c r="C5">
        <v>1260</v>
      </c>
      <c r="D5">
        <v>1.7</v>
      </c>
      <c r="E5">
        <v>1.17</v>
      </c>
      <c r="F5">
        <v>3.33</v>
      </c>
      <c r="G5" s="2">
        <v>2132808270</v>
      </c>
      <c r="H5">
        <v>10.7199</v>
      </c>
      <c r="I5">
        <v>8.543</v>
      </c>
      <c r="J5" t="s">
        <v>10</v>
      </c>
      <c r="K5">
        <v>1.86</v>
      </c>
      <c r="L5">
        <v>3.38566294685076</v>
      </c>
    </row>
    <row r="6" spans="3:12">
      <c r="C6" t="s">
        <v>11</v>
      </c>
      <c r="D6">
        <v>26.01</v>
      </c>
      <c r="E6">
        <v>25.35</v>
      </c>
      <c r="F6">
        <v>56.48</v>
      </c>
      <c r="G6" s="2">
        <v>105666015410.41</v>
      </c>
      <c r="H6">
        <v>22.649</v>
      </c>
      <c r="I6">
        <v>18.4549</v>
      </c>
      <c r="J6" t="s">
        <v>12</v>
      </c>
      <c r="K6">
        <v>6.18</v>
      </c>
      <c r="L6">
        <v>4.5465</v>
      </c>
    </row>
    <row r="7" spans="3:10">
      <c r="C7">
        <v>827</v>
      </c>
      <c r="D7">
        <v>0.35</v>
      </c>
      <c r="E7">
        <v>0.35</v>
      </c>
      <c r="F7">
        <v>2.85</v>
      </c>
      <c r="G7" s="2">
        <v>1618777039.6</v>
      </c>
      <c r="H7" t="s">
        <v>13</v>
      </c>
      <c r="I7">
        <v>0.79</v>
      </c>
      <c r="J7">
        <v>0.750173055546751</v>
      </c>
    </row>
    <row r="8" spans="3:12">
      <c r="C8">
        <v>1246</v>
      </c>
      <c r="D8">
        <v>0.014</v>
      </c>
      <c r="E8">
        <v>0.014</v>
      </c>
      <c r="F8">
        <v>1.26</v>
      </c>
      <c r="G8" s="2">
        <v>398400000</v>
      </c>
      <c r="H8">
        <v>4.3992</v>
      </c>
      <c r="I8">
        <v>3.182</v>
      </c>
      <c r="J8" t="s">
        <v>14</v>
      </c>
      <c r="K8">
        <v>1.32</v>
      </c>
      <c r="L8">
        <v>0.869565217391304</v>
      </c>
    </row>
    <row r="9" spans="3:12">
      <c r="C9">
        <v>2689</v>
      </c>
      <c r="D9">
        <v>3.89</v>
      </c>
      <c r="E9">
        <v>3.76</v>
      </c>
      <c r="F9">
        <v>8.35</v>
      </c>
      <c r="G9" s="2">
        <v>20997993649.5</v>
      </c>
      <c r="H9">
        <v>10.286</v>
      </c>
      <c r="I9">
        <v>10.286</v>
      </c>
      <c r="J9" t="s">
        <v>15</v>
      </c>
      <c r="K9">
        <v>0.7</v>
      </c>
      <c r="L9">
        <v>0.553034353867289</v>
      </c>
    </row>
    <row r="10" spans="3:12">
      <c r="C10">
        <v>365</v>
      </c>
      <c r="D10">
        <v>1.06</v>
      </c>
      <c r="E10">
        <v>0.35</v>
      </c>
      <c r="F10">
        <v>1.54</v>
      </c>
      <c r="G10" s="2">
        <v>666750000</v>
      </c>
      <c r="H10">
        <v>219.5266</v>
      </c>
      <c r="I10">
        <v>220.833</v>
      </c>
      <c r="J10" t="s">
        <v>16</v>
      </c>
      <c r="K10">
        <v>1.98</v>
      </c>
      <c r="L10">
        <v>0.727251904025654</v>
      </c>
    </row>
    <row r="11" spans="3:10">
      <c r="C11">
        <v>621</v>
      </c>
      <c r="D11">
        <v>0.073</v>
      </c>
      <c r="E11">
        <v>0.049</v>
      </c>
      <c r="F11">
        <v>0.28</v>
      </c>
      <c r="G11" s="2">
        <v>1360787655.55</v>
      </c>
      <c r="H11" t="s">
        <v>17</v>
      </c>
      <c r="I11">
        <v>0.43</v>
      </c>
      <c r="J11">
        <v>34.074074074074</v>
      </c>
    </row>
    <row r="12" spans="3:10">
      <c r="C12">
        <v>2323</v>
      </c>
      <c r="D12">
        <v>1.34</v>
      </c>
      <c r="E12">
        <v>0.21</v>
      </c>
      <c r="F12">
        <v>1.78</v>
      </c>
      <c r="G12" s="2">
        <v>1690000000</v>
      </c>
      <c r="H12" t="s">
        <v>18</v>
      </c>
      <c r="I12">
        <v>3.96</v>
      </c>
      <c r="J12">
        <v>2.82845188284518</v>
      </c>
    </row>
    <row r="13" spans="3:12">
      <c r="C13">
        <v>2339</v>
      </c>
      <c r="D13">
        <v>0.17</v>
      </c>
      <c r="E13">
        <v>0.167</v>
      </c>
      <c r="F13">
        <v>0.69</v>
      </c>
      <c r="G13" s="2">
        <v>1026260902.46</v>
      </c>
      <c r="H13">
        <v>2.9793</v>
      </c>
      <c r="I13">
        <v>1.123</v>
      </c>
      <c r="J13" t="s">
        <v>19</v>
      </c>
      <c r="K13">
        <v>1.28</v>
      </c>
      <c r="L13">
        <v>0.321183688199206</v>
      </c>
    </row>
    <row r="14" spans="3:10">
      <c r="C14">
        <v>1362</v>
      </c>
      <c r="D14">
        <v>1.77</v>
      </c>
      <c r="E14">
        <v>0.85</v>
      </c>
      <c r="F14">
        <v>2.65</v>
      </c>
      <c r="G14" s="2">
        <v>506800000</v>
      </c>
      <c r="H14" t="s">
        <v>20</v>
      </c>
      <c r="I14">
        <v>5.02</v>
      </c>
      <c r="J14">
        <v>0.598169139760071</v>
      </c>
    </row>
    <row r="15" spans="3:12">
      <c r="C15">
        <v>590</v>
      </c>
      <c r="D15">
        <v>12.86</v>
      </c>
      <c r="E15">
        <v>12.78</v>
      </c>
      <c r="F15">
        <v>30.8</v>
      </c>
      <c r="G15" s="2">
        <v>7704212835</v>
      </c>
      <c r="H15">
        <v>4.771</v>
      </c>
      <c r="I15">
        <v>4.692</v>
      </c>
      <c r="J15" t="s">
        <v>21</v>
      </c>
      <c r="K15">
        <v>0.9</v>
      </c>
      <c r="L15">
        <v>0.547233338624648</v>
      </c>
    </row>
    <row r="16" spans="3:10">
      <c r="C16">
        <v>8260</v>
      </c>
      <c r="D16">
        <v>1.01</v>
      </c>
      <c r="E16">
        <v>0.29</v>
      </c>
      <c r="F16">
        <v>2.6</v>
      </c>
      <c r="G16" s="2">
        <v>1154600000</v>
      </c>
      <c r="H16" t="s">
        <v>22</v>
      </c>
      <c r="I16">
        <v>5.93</v>
      </c>
      <c r="J16">
        <v>3.33429979704262</v>
      </c>
    </row>
    <row r="17" spans="3:10">
      <c r="C17">
        <v>6865</v>
      </c>
      <c r="D17">
        <v>1.49</v>
      </c>
      <c r="E17">
        <v>1.34</v>
      </c>
      <c r="F17">
        <v>2.18</v>
      </c>
      <c r="G17" s="2">
        <v>666000000</v>
      </c>
      <c r="H17">
        <v>5.4258</v>
      </c>
      <c r="I17" t="s">
        <v>23</v>
      </c>
      <c r="J17">
        <v>0.92</v>
      </c>
    </row>
    <row r="18" spans="3:10">
      <c r="C18">
        <v>1447</v>
      </c>
      <c r="D18">
        <v>1.31</v>
      </c>
      <c r="E18">
        <v>0.98</v>
      </c>
      <c r="F18">
        <v>1.75</v>
      </c>
      <c r="G18" s="2">
        <v>484000000</v>
      </c>
      <c r="H18">
        <v>6.6777</v>
      </c>
      <c r="I18" t="s">
        <v>24</v>
      </c>
      <c r="J18">
        <v>1.23</v>
      </c>
    </row>
    <row r="19" spans="3:10">
      <c r="C19">
        <v>1561</v>
      </c>
      <c r="D19">
        <v>0.99</v>
      </c>
      <c r="E19">
        <v>0.85</v>
      </c>
      <c r="F19">
        <v>1.27</v>
      </c>
      <c r="G19" s="2">
        <v>552000000</v>
      </c>
      <c r="H19">
        <v>14.3371</v>
      </c>
      <c r="I19" t="s">
        <v>25</v>
      </c>
      <c r="J19">
        <v>0.92</v>
      </c>
    </row>
    <row r="20" spans="3:10">
      <c r="C20">
        <v>3996</v>
      </c>
      <c r="D20">
        <v>1.2</v>
      </c>
      <c r="E20">
        <v>1.2</v>
      </c>
      <c r="F20">
        <v>1.71</v>
      </c>
      <c r="G20" s="2">
        <v>11948542440</v>
      </c>
      <c r="H20">
        <v>14.3861</v>
      </c>
      <c r="I20" t="s">
        <v>26</v>
      </c>
      <c r="J20">
        <v>0.85</v>
      </c>
    </row>
    <row r="21" spans="3:10">
      <c r="C21">
        <v>6196</v>
      </c>
      <c r="D21">
        <v>4.08</v>
      </c>
      <c r="E21">
        <v>3.88</v>
      </c>
      <c r="F21">
        <v>4.3</v>
      </c>
      <c r="G21" s="2">
        <v>6314880000</v>
      </c>
      <c r="H21">
        <v>7.1884</v>
      </c>
      <c r="I21" t="s">
        <v>27</v>
      </c>
      <c r="J21">
        <v>1.15</v>
      </c>
    </row>
    <row r="22" spans="3:10">
      <c r="C22">
        <v>1543</v>
      </c>
      <c r="D22">
        <v>1.42</v>
      </c>
      <c r="E22">
        <v>1.2</v>
      </c>
      <c r="F22">
        <v>1.64</v>
      </c>
      <c r="G22" s="2">
        <v>437066667.66</v>
      </c>
      <c r="H22">
        <v>8.3393</v>
      </c>
      <c r="I22" t="s">
        <v>28</v>
      </c>
      <c r="J22">
        <v>1.01</v>
      </c>
    </row>
    <row r="23" spans="3:10">
      <c r="C23">
        <v>1568</v>
      </c>
      <c r="D23">
        <v>2.49</v>
      </c>
      <c r="E23">
        <v>1.47</v>
      </c>
      <c r="F23">
        <v>2.66</v>
      </c>
      <c r="G23" s="2">
        <v>5260000000</v>
      </c>
      <c r="H23">
        <v>22.39</v>
      </c>
      <c r="I23" t="s">
        <v>29</v>
      </c>
      <c r="J23">
        <v>3.27</v>
      </c>
    </row>
    <row r="24" spans="3:10">
      <c r="C24">
        <v>1548</v>
      </c>
      <c r="D24">
        <v>1.6</v>
      </c>
      <c r="E24">
        <v>1.23</v>
      </c>
      <c r="F24">
        <v>1.79</v>
      </c>
      <c r="G24" s="2">
        <v>2464000000</v>
      </c>
      <c r="H24">
        <v>53.4528</v>
      </c>
      <c r="I24" t="s">
        <v>30</v>
      </c>
      <c r="J24">
        <v>2.58</v>
      </c>
    </row>
    <row r="25" spans="3:10">
      <c r="C25">
        <v>8282</v>
      </c>
      <c r="D25">
        <v>3.9</v>
      </c>
      <c r="E25">
        <v>2.5</v>
      </c>
      <c r="F25">
        <v>6.6</v>
      </c>
      <c r="G25" s="2">
        <v>1019200000</v>
      </c>
      <c r="H25">
        <v>144.67</v>
      </c>
      <c r="I25" t="s">
        <v>31</v>
      </c>
      <c r="J25">
        <v>13.29</v>
      </c>
    </row>
    <row r="26" spans="3:10">
      <c r="C26" t="s">
        <v>32</v>
      </c>
      <c r="D26">
        <v>231.13</v>
      </c>
      <c r="E26">
        <v>56.36</v>
      </c>
      <c r="F26">
        <v>249.52</v>
      </c>
      <c r="G26" s="2">
        <v>61810000</v>
      </c>
      <c r="H26" t="s">
        <v>33</v>
      </c>
      <c r="I26" t="s">
        <v>34</v>
      </c>
      <c r="J26">
        <v>0</v>
      </c>
    </row>
    <row r="27" spans="3:11">
      <c r="C27" t="s">
        <v>35</v>
      </c>
      <c r="D27">
        <v>7.51</v>
      </c>
      <c r="E27">
        <v>6.44</v>
      </c>
      <c r="F27">
        <v>53.6</v>
      </c>
      <c r="G27" s="2">
        <v>1030000000</v>
      </c>
      <c r="H27">
        <v>3.6</v>
      </c>
      <c r="I27" t="s">
        <v>36</v>
      </c>
      <c r="J27" t="s">
        <v>37</v>
      </c>
      <c r="K27">
        <v>0</v>
      </c>
    </row>
    <row r="28" spans="3:10">
      <c r="C28" t="s">
        <v>38</v>
      </c>
      <c r="D28">
        <v>16.37</v>
      </c>
      <c r="E28">
        <v>12</v>
      </c>
      <c r="F28">
        <v>18.9</v>
      </c>
      <c r="G28" s="2">
        <v>9881886800</v>
      </c>
      <c r="H28" t="s">
        <v>39</v>
      </c>
      <c r="I28">
        <v>3.38</v>
      </c>
      <c r="J28">
        <v>6.18</v>
      </c>
    </row>
    <row r="29" spans="3:10">
      <c r="C29">
        <v>3773</v>
      </c>
      <c r="D29">
        <v>2.2</v>
      </c>
      <c r="E29">
        <v>1.04</v>
      </c>
      <c r="F29">
        <v>2.49</v>
      </c>
      <c r="G29" s="2">
        <v>700000000</v>
      </c>
      <c r="H29">
        <v>24.7329</v>
      </c>
      <c r="I29" t="s">
        <v>40</v>
      </c>
      <c r="J29">
        <v>4.42</v>
      </c>
    </row>
    <row r="30" spans="3:10">
      <c r="C30">
        <v>1459</v>
      </c>
      <c r="D30">
        <v>6.35</v>
      </c>
      <c r="E30">
        <v>1.42</v>
      </c>
      <c r="F30">
        <v>7.99</v>
      </c>
      <c r="G30" s="2">
        <v>749483200</v>
      </c>
      <c r="H30">
        <v>29.0748</v>
      </c>
      <c r="I30" t="s">
        <v>41</v>
      </c>
      <c r="J30">
        <v>3.08</v>
      </c>
    </row>
    <row r="31" spans="3:12">
      <c r="C31">
        <v>388</v>
      </c>
      <c r="D31">
        <v>162.5</v>
      </c>
      <c r="E31">
        <v>151.3</v>
      </c>
      <c r="F31">
        <v>311.4</v>
      </c>
      <c r="G31" s="2">
        <v>200737883582.5</v>
      </c>
      <c r="H31">
        <v>38.865</v>
      </c>
      <c r="I31">
        <v>36.612</v>
      </c>
      <c r="J31" t="s">
        <v>42</v>
      </c>
      <c r="K31">
        <v>7.06</v>
      </c>
      <c r="L31">
        <v>14.2031364903459</v>
      </c>
    </row>
    <row r="32" spans="3:10">
      <c r="C32" t="s">
        <v>43</v>
      </c>
      <c r="D32">
        <v>9150</v>
      </c>
      <c r="E32">
        <v>8310</v>
      </c>
      <c r="F32">
        <v>14952.5</v>
      </c>
      <c r="G32">
        <v>0</v>
      </c>
      <c r="H32" t="s">
        <v>44</v>
      </c>
      <c r="I32">
        <v>0</v>
      </c>
      <c r="J32" t="s">
        <v>45</v>
      </c>
    </row>
    <row r="33" spans="3:10">
      <c r="C33">
        <v>8269</v>
      </c>
      <c r="D33">
        <v>0.04</v>
      </c>
      <c r="E33">
        <v>0.037</v>
      </c>
      <c r="F33">
        <v>0.395</v>
      </c>
      <c r="G33" s="2">
        <v>197218368</v>
      </c>
      <c r="H33" t="s">
        <v>46</v>
      </c>
      <c r="I33">
        <v>0.77</v>
      </c>
      <c r="J33">
        <v>1.89723320158102</v>
      </c>
    </row>
    <row r="34" spans="3:10">
      <c r="C34">
        <v>3326</v>
      </c>
      <c r="D34">
        <v>2.78</v>
      </c>
      <c r="E34">
        <v>1.12</v>
      </c>
      <c r="F34">
        <v>3.2</v>
      </c>
      <c r="G34" s="2">
        <v>1080000000</v>
      </c>
      <c r="H34">
        <v>13.8325</v>
      </c>
      <c r="I34" t="s">
        <v>47</v>
      </c>
      <c r="J34">
        <v>2.44</v>
      </c>
    </row>
    <row r="35" spans="3:12">
      <c r="C35">
        <v>1899</v>
      </c>
      <c r="D35">
        <v>1.37</v>
      </c>
      <c r="E35">
        <v>1.32</v>
      </c>
      <c r="F35">
        <v>3.35</v>
      </c>
      <c r="G35" s="2">
        <v>2037867729.41</v>
      </c>
      <c r="H35">
        <v>4.972</v>
      </c>
      <c r="I35">
        <v>5.093</v>
      </c>
      <c r="J35" t="s">
        <v>48</v>
      </c>
      <c r="K35">
        <v>0.33</v>
      </c>
      <c r="L35">
        <v>0.334072516326172</v>
      </c>
    </row>
    <row r="36" spans="3:12">
      <c r="C36">
        <v>3813</v>
      </c>
      <c r="D36">
        <v>1.43</v>
      </c>
      <c r="E36">
        <v>0.47</v>
      </c>
      <c r="F36">
        <v>1.88</v>
      </c>
      <c r="G36" s="2">
        <v>8284181467.1</v>
      </c>
      <c r="H36">
        <v>229.7512</v>
      </c>
      <c r="I36">
        <v>213.433</v>
      </c>
      <c r="J36" t="s">
        <v>49</v>
      </c>
      <c r="K36">
        <v>1.2</v>
      </c>
      <c r="L36">
        <v>0.446713032423992</v>
      </c>
    </row>
    <row r="37" spans="3:10">
      <c r="C37">
        <v>8158</v>
      </c>
      <c r="D37">
        <v>0.335</v>
      </c>
      <c r="E37">
        <v>0.22</v>
      </c>
      <c r="F37">
        <v>1</v>
      </c>
      <c r="G37" s="2">
        <v>6333184800</v>
      </c>
      <c r="H37" t="s">
        <v>50</v>
      </c>
      <c r="I37">
        <v>2.89</v>
      </c>
      <c r="J37">
        <v>46.1538461538461</v>
      </c>
    </row>
    <row r="38" spans="3:9">
      <c r="C38" t="s">
        <v>51</v>
      </c>
      <c r="D38">
        <v>6609.5</v>
      </c>
      <c r="E38">
        <v>6360.08</v>
      </c>
      <c r="F38">
        <v>11815.51</v>
      </c>
      <c r="G38" s="2">
        <v>5622375339860</v>
      </c>
      <c r="H38" t="s">
        <v>52</v>
      </c>
      <c r="I38">
        <v>0</v>
      </c>
    </row>
    <row r="39" spans="3:9">
      <c r="C39" t="s">
        <v>53</v>
      </c>
      <c r="D39">
        <v>3081.35</v>
      </c>
      <c r="E39">
        <v>2952.01</v>
      </c>
      <c r="F39">
        <v>5380.43</v>
      </c>
      <c r="G39">
        <v>0</v>
      </c>
      <c r="H39" t="s">
        <v>54</v>
      </c>
      <c r="I39">
        <v>0</v>
      </c>
    </row>
    <row r="40" spans="3:11">
      <c r="C40" t="s">
        <v>55</v>
      </c>
      <c r="D40">
        <v>5.07</v>
      </c>
      <c r="E40">
        <v>3.62</v>
      </c>
      <c r="F40">
        <v>8.15</v>
      </c>
      <c r="G40" s="2">
        <v>283638529.35</v>
      </c>
      <c r="H40">
        <v>4.0909</v>
      </c>
      <c r="I40" t="s">
        <v>56</v>
      </c>
      <c r="J40">
        <v>2.35</v>
      </c>
      <c r="K40">
        <v>0.73</v>
      </c>
    </row>
    <row r="41" spans="3:12">
      <c r="C41">
        <v>1157</v>
      </c>
      <c r="D41">
        <v>2.21</v>
      </c>
      <c r="E41">
        <v>2.2</v>
      </c>
      <c r="F41">
        <v>6.88</v>
      </c>
      <c r="G41" s="2">
        <v>3165112156.08</v>
      </c>
      <c r="H41">
        <v>23.5268</v>
      </c>
      <c r="I41">
        <v>22.925</v>
      </c>
      <c r="J41" t="s">
        <v>57</v>
      </c>
      <c r="K41">
        <v>0.36</v>
      </c>
      <c r="L41">
        <v>0.660213664948387</v>
      </c>
    </row>
    <row r="42" spans="3:12">
      <c r="C42">
        <v>1177</v>
      </c>
      <c r="D42">
        <v>4.87</v>
      </c>
      <c r="E42">
        <v>4.86</v>
      </c>
      <c r="F42">
        <v>10.76</v>
      </c>
      <c r="G42" s="2">
        <v>38024546032.17</v>
      </c>
      <c r="H42">
        <v>25.1285</v>
      </c>
      <c r="I42">
        <v>23.861</v>
      </c>
      <c r="J42" t="s">
        <v>58</v>
      </c>
      <c r="K42">
        <v>5</v>
      </c>
      <c r="L42">
        <v>1.62676391311241</v>
      </c>
    </row>
    <row r="43" spans="3:9">
      <c r="C43">
        <v>2828</v>
      </c>
      <c r="D43">
        <v>79.1</v>
      </c>
      <c r="E43">
        <v>78.85</v>
      </c>
      <c r="F43">
        <v>151.2</v>
      </c>
      <c r="G43" s="2">
        <v>13675672274.25</v>
      </c>
      <c r="H43" t="s">
        <v>59</v>
      </c>
      <c r="I43">
        <v>0</v>
      </c>
    </row>
    <row r="44" spans="3:9">
      <c r="C44">
        <v>8331</v>
      </c>
      <c r="D44">
        <v>0.375</v>
      </c>
      <c r="E44">
        <v>0</v>
      </c>
      <c r="F44">
        <v>99</v>
      </c>
      <c r="G44">
        <v>0</v>
      </c>
      <c r="H44" t="s">
        <v>60</v>
      </c>
      <c r="I44">
        <v>0</v>
      </c>
    </row>
    <row r="45" spans="3:11">
      <c r="C45" t="s">
        <v>61</v>
      </c>
      <c r="D45">
        <v>2.337</v>
      </c>
      <c r="E45">
        <v>1.77</v>
      </c>
      <c r="F45">
        <v>8.05</v>
      </c>
      <c r="G45" s="2">
        <v>533862885.6</v>
      </c>
      <c r="H45">
        <v>2.345</v>
      </c>
      <c r="I45">
        <v>1.768</v>
      </c>
      <c r="J45" t="s">
        <v>62</v>
      </c>
      <c r="K45">
        <v>175.37</v>
      </c>
    </row>
    <row r="46" spans="3:10">
      <c r="C46">
        <v>718</v>
      </c>
      <c r="D46">
        <v>0.8</v>
      </c>
      <c r="E46">
        <v>0.64</v>
      </c>
      <c r="F46">
        <v>1.89</v>
      </c>
      <c r="G46" s="2">
        <v>1200873948.8</v>
      </c>
      <c r="H46" t="s">
        <v>63</v>
      </c>
      <c r="I46">
        <v>1.25</v>
      </c>
      <c r="J46">
        <v>50.9554140127388</v>
      </c>
    </row>
    <row r="47" spans="3:10">
      <c r="C47" t="s">
        <v>64</v>
      </c>
      <c r="D47">
        <v>1.54</v>
      </c>
      <c r="E47">
        <v>0.53</v>
      </c>
      <c r="F47">
        <v>5.2</v>
      </c>
      <c r="G47" s="2">
        <v>91854834.54</v>
      </c>
      <c r="H47" t="s">
        <v>65</v>
      </c>
      <c r="I47">
        <v>-0.02</v>
      </c>
      <c r="J47">
        <v>0.0112</v>
      </c>
    </row>
    <row r="48" spans="3:9">
      <c r="C48" t="s">
        <v>66</v>
      </c>
      <c r="D48">
        <v>2040.98</v>
      </c>
      <c r="E48">
        <v>1874.22</v>
      </c>
      <c r="F48">
        <v>3494.82</v>
      </c>
      <c r="G48" s="2">
        <v>4124641686000</v>
      </c>
      <c r="H48" t="s">
        <v>67</v>
      </c>
      <c r="I48">
        <v>0</v>
      </c>
    </row>
    <row r="49" spans="3:12">
      <c r="C49">
        <v>1428</v>
      </c>
      <c r="D49">
        <v>1.93</v>
      </c>
      <c r="E49">
        <v>1.12</v>
      </c>
      <c r="F49">
        <v>5.08</v>
      </c>
      <c r="G49" s="2">
        <v>3359177985.24</v>
      </c>
      <c r="H49">
        <v>14.994</v>
      </c>
      <c r="I49">
        <v>12.689</v>
      </c>
      <c r="J49" t="s">
        <v>68</v>
      </c>
      <c r="K49">
        <v>1.76</v>
      </c>
      <c r="L49">
        <v>3.43988881167477</v>
      </c>
    </row>
    <row r="50" spans="3:12">
      <c r="C50">
        <v>1143</v>
      </c>
      <c r="D50">
        <v>7.99</v>
      </c>
      <c r="E50">
        <v>0.6</v>
      </c>
      <c r="F50">
        <v>11.84</v>
      </c>
      <c r="G50" s="2">
        <v>4653037404.6</v>
      </c>
      <c r="H50">
        <v>8064.1896</v>
      </c>
      <c r="I50">
        <v>5707.143</v>
      </c>
      <c r="J50" t="s">
        <v>69</v>
      </c>
      <c r="K50">
        <v>8.39</v>
      </c>
      <c r="L50">
        <v>2.48189459216577</v>
      </c>
    </row>
    <row r="51" spans="3:10">
      <c r="C51" t="s">
        <v>70</v>
      </c>
      <c r="D51">
        <v>0</v>
      </c>
      <c r="E51">
        <v>0</v>
      </c>
      <c r="F51">
        <v>0</v>
      </c>
      <c r="G51">
        <v>0</v>
      </c>
      <c r="H51" t="s">
        <v>71</v>
      </c>
      <c r="I51">
        <v>0</v>
      </c>
      <c r="J51" t="s">
        <v>45</v>
      </c>
    </row>
    <row r="52" spans="3:12">
      <c r="C52">
        <v>138</v>
      </c>
      <c r="D52">
        <v>0.94</v>
      </c>
      <c r="E52">
        <v>0.73</v>
      </c>
      <c r="F52">
        <v>1.36</v>
      </c>
      <c r="G52" s="2">
        <v>815747008.86</v>
      </c>
      <c r="H52">
        <v>2.2786</v>
      </c>
      <c r="I52">
        <v>1.827</v>
      </c>
      <c r="J52" t="s">
        <v>72</v>
      </c>
      <c r="K52">
        <v>0.33</v>
      </c>
      <c r="L52">
        <v>1.23596922688863</v>
      </c>
    </row>
    <row r="53" spans="3:12">
      <c r="C53">
        <v>31</v>
      </c>
      <c r="D53">
        <v>0.84</v>
      </c>
      <c r="E53">
        <v>0.78</v>
      </c>
      <c r="F53">
        <v>2.38</v>
      </c>
      <c r="G53" s="2">
        <v>2653118818.52</v>
      </c>
      <c r="H53">
        <v>6.3824</v>
      </c>
      <c r="I53">
        <v>6.236</v>
      </c>
      <c r="J53" t="s">
        <v>73</v>
      </c>
      <c r="K53">
        <v>0.49</v>
      </c>
      <c r="L53">
        <v>1.03965183752417</v>
      </c>
    </row>
    <row r="54" spans="3:12">
      <c r="C54">
        <v>15</v>
      </c>
      <c r="D54">
        <v>0.51</v>
      </c>
      <c r="E54">
        <v>0.49</v>
      </c>
      <c r="F54">
        <v>0.94</v>
      </c>
      <c r="G54" s="2">
        <v>908265488</v>
      </c>
      <c r="H54">
        <v>6.7529</v>
      </c>
      <c r="I54">
        <v>6.623</v>
      </c>
      <c r="J54" t="s">
        <v>74</v>
      </c>
      <c r="K54">
        <v>0.39</v>
      </c>
      <c r="L54">
        <v>0.262096774193548</v>
      </c>
    </row>
    <row r="55" spans="3:12">
      <c r="C55">
        <v>80</v>
      </c>
      <c r="D55">
        <v>0.181</v>
      </c>
      <c r="E55">
        <v>0.18</v>
      </c>
      <c r="F55">
        <v>0.91</v>
      </c>
      <c r="G55" s="2">
        <v>169673940</v>
      </c>
      <c r="H55">
        <v>1.2445</v>
      </c>
      <c r="I55">
        <v>0.51</v>
      </c>
      <c r="J55" t="s">
        <v>75</v>
      </c>
      <c r="K55">
        <v>0.29</v>
      </c>
      <c r="L55">
        <v>87.1428571428571</v>
      </c>
    </row>
    <row r="56" spans="3:12">
      <c r="C56">
        <v>101</v>
      </c>
      <c r="D56">
        <v>14.38</v>
      </c>
      <c r="E56">
        <v>14.26</v>
      </c>
      <c r="F56">
        <v>26.45</v>
      </c>
      <c r="G56" s="2">
        <v>65838651808.8</v>
      </c>
      <c r="H56">
        <v>5.5254</v>
      </c>
      <c r="I56">
        <v>5.508</v>
      </c>
      <c r="J56" t="s">
        <v>76</v>
      </c>
      <c r="K56">
        <v>0.5</v>
      </c>
      <c r="L56">
        <v>6.28164421179095</v>
      </c>
    </row>
    <row r="57" spans="3:12">
      <c r="C57">
        <v>170</v>
      </c>
      <c r="D57">
        <v>3.73</v>
      </c>
      <c r="E57">
        <v>2.45</v>
      </c>
      <c r="F57">
        <v>9.89</v>
      </c>
      <c r="G57" s="2">
        <v>286307936.8</v>
      </c>
      <c r="H57">
        <v>3.7955</v>
      </c>
      <c r="I57">
        <v>3.796</v>
      </c>
      <c r="J57" t="s">
        <v>77</v>
      </c>
      <c r="K57">
        <v>0.14</v>
      </c>
      <c r="L57">
        <v>56.606322000434</v>
      </c>
    </row>
    <row r="58" spans="3:10">
      <c r="C58">
        <v>139</v>
      </c>
      <c r="D58">
        <v>0.41</v>
      </c>
      <c r="E58">
        <v>0.16</v>
      </c>
      <c r="F58">
        <v>4.35</v>
      </c>
      <c r="G58" s="2">
        <v>3511756154.13</v>
      </c>
      <c r="H58" t="s">
        <v>78</v>
      </c>
      <c r="I58">
        <v>2.71</v>
      </c>
      <c r="J58">
        <v>23.8505747126436</v>
      </c>
    </row>
    <row r="59" spans="3:12">
      <c r="C59">
        <v>198</v>
      </c>
      <c r="D59">
        <v>0.76</v>
      </c>
      <c r="E59">
        <v>0.26</v>
      </c>
      <c r="F59">
        <v>1.39</v>
      </c>
      <c r="G59" s="2">
        <v>10670867715.52</v>
      </c>
      <c r="H59">
        <v>81.462</v>
      </c>
      <c r="I59">
        <v>54.676</v>
      </c>
      <c r="J59" t="s">
        <v>79</v>
      </c>
      <c r="K59">
        <v>2.06</v>
      </c>
      <c r="L59">
        <v>3.3432077867118</v>
      </c>
    </row>
    <row r="60" spans="3:11">
      <c r="C60">
        <v>183</v>
      </c>
      <c r="D60">
        <v>0.166</v>
      </c>
      <c r="E60">
        <v>0.164</v>
      </c>
      <c r="F60">
        <v>0.81</v>
      </c>
      <c r="G60" s="2">
        <v>467582000</v>
      </c>
      <c r="H60">
        <v>108.75</v>
      </c>
      <c r="I60" t="s">
        <v>80</v>
      </c>
      <c r="J60">
        <v>0.29</v>
      </c>
      <c r="K60">
        <v>14.7590361445783</v>
      </c>
    </row>
    <row r="61" spans="3:12">
      <c r="C61">
        <v>220</v>
      </c>
      <c r="D61">
        <v>5.2</v>
      </c>
      <c r="E61">
        <v>4.92</v>
      </c>
      <c r="F61">
        <v>8.19</v>
      </c>
      <c r="G61" s="2">
        <v>22633310160</v>
      </c>
      <c r="H61">
        <v>62.9084</v>
      </c>
      <c r="I61">
        <v>57.906</v>
      </c>
      <c r="J61" t="s">
        <v>81</v>
      </c>
      <c r="K61">
        <v>1.56</v>
      </c>
      <c r="L61">
        <v>0.739981530569381</v>
      </c>
    </row>
    <row r="62" spans="3:12">
      <c r="C62">
        <v>222</v>
      </c>
      <c r="D62">
        <v>6.85</v>
      </c>
      <c r="E62">
        <v>4.12</v>
      </c>
      <c r="F62">
        <v>7.85</v>
      </c>
      <c r="G62" s="2">
        <v>3147086293.6</v>
      </c>
      <c r="H62">
        <v>6.6579</v>
      </c>
      <c r="I62">
        <v>6.658</v>
      </c>
      <c r="J62" t="s">
        <v>82</v>
      </c>
      <c r="K62">
        <v>0.56</v>
      </c>
      <c r="L62">
        <v>21.5138190954773</v>
      </c>
    </row>
    <row r="63" spans="3:10">
      <c r="C63">
        <v>260</v>
      </c>
      <c r="D63">
        <v>0.215</v>
      </c>
      <c r="E63">
        <v>0.18</v>
      </c>
      <c r="F63">
        <v>0.76</v>
      </c>
      <c r="G63" s="2">
        <v>1307624063.02</v>
      </c>
      <c r="H63" t="s">
        <v>83</v>
      </c>
      <c r="I63">
        <v>0.89</v>
      </c>
      <c r="J63">
        <v>0.829249905767056</v>
      </c>
    </row>
    <row r="64" spans="3:12">
      <c r="C64">
        <v>322</v>
      </c>
      <c r="D64">
        <v>8.89</v>
      </c>
      <c r="E64">
        <v>8.86</v>
      </c>
      <c r="F64">
        <v>23.25</v>
      </c>
      <c r="G64" s="2">
        <v>51434359084.8</v>
      </c>
      <c r="H64">
        <v>16.5592</v>
      </c>
      <c r="I64">
        <v>16.027</v>
      </c>
      <c r="J64" t="s">
        <v>84</v>
      </c>
      <c r="K64">
        <v>2.15</v>
      </c>
      <c r="L64">
        <v>0.640071397942428</v>
      </c>
    </row>
    <row r="65" spans="3:12">
      <c r="C65">
        <v>327</v>
      </c>
      <c r="D65">
        <v>6.55</v>
      </c>
      <c r="E65">
        <v>5.57</v>
      </c>
      <c r="F65">
        <v>14.2</v>
      </c>
      <c r="G65" s="2">
        <v>7750737580</v>
      </c>
      <c r="H65">
        <v>19.7821</v>
      </c>
      <c r="I65">
        <v>18.054</v>
      </c>
      <c r="J65" t="s">
        <v>85</v>
      </c>
      <c r="K65">
        <v>2.69</v>
      </c>
      <c r="L65">
        <v>3.36081778292106</v>
      </c>
    </row>
    <row r="66" spans="3:12">
      <c r="C66">
        <v>337</v>
      </c>
      <c r="D66">
        <v>2.32</v>
      </c>
      <c r="E66">
        <v>2.22</v>
      </c>
      <c r="F66">
        <v>8.6</v>
      </c>
      <c r="G66" s="2">
        <v>6257835769.92</v>
      </c>
      <c r="H66">
        <v>106.9099</v>
      </c>
      <c r="I66">
        <v>43.939</v>
      </c>
      <c r="J66" t="s">
        <v>86</v>
      </c>
      <c r="K66">
        <v>0.73</v>
      </c>
      <c r="L66">
        <v>2.06513753557844</v>
      </c>
    </row>
    <row r="67" spans="3:13">
      <c r="C67">
        <v>442</v>
      </c>
      <c r="D67">
        <v>2.66</v>
      </c>
      <c r="E67">
        <v>2.1</v>
      </c>
      <c r="F67">
        <v>15.2</v>
      </c>
      <c r="G67" s="2">
        <v>428800000</v>
      </c>
      <c r="H67">
        <v>21.0795</v>
      </c>
      <c r="I67">
        <v>14.022</v>
      </c>
      <c r="J67" t="s">
        <v>87</v>
      </c>
      <c r="K67" t="s">
        <v>88</v>
      </c>
      <c r="L67">
        <v>1.21</v>
      </c>
      <c r="M67">
        <v>0.288755764340818</v>
      </c>
    </row>
    <row r="68" spans="3:12">
      <c r="C68">
        <v>465</v>
      </c>
      <c r="D68">
        <v>0.96</v>
      </c>
      <c r="E68">
        <v>0.8</v>
      </c>
      <c r="F68">
        <v>2.01</v>
      </c>
      <c r="G68" s="2">
        <v>298800000</v>
      </c>
      <c r="H68">
        <v>6.9541</v>
      </c>
      <c r="I68">
        <v>6.957</v>
      </c>
      <c r="J68" t="s">
        <v>89</v>
      </c>
      <c r="K68">
        <v>0.42</v>
      </c>
      <c r="L68">
        <v>0.113467083319687</v>
      </c>
    </row>
    <row r="69" spans="3:10">
      <c r="C69">
        <v>445</v>
      </c>
      <c r="D69">
        <v>0.285</v>
      </c>
      <c r="E69">
        <v>0.25</v>
      </c>
      <c r="F69">
        <v>1.05</v>
      </c>
      <c r="G69" s="2">
        <v>1223571429</v>
      </c>
      <c r="H69" t="s">
        <v>90</v>
      </c>
      <c r="I69">
        <v>1.09</v>
      </c>
      <c r="J69">
        <v>0.832044404102001</v>
      </c>
    </row>
    <row r="70" spans="3:10">
      <c r="C70">
        <v>500</v>
      </c>
      <c r="D70">
        <v>1.24</v>
      </c>
      <c r="E70">
        <v>0.62</v>
      </c>
      <c r="F70">
        <v>4.25</v>
      </c>
      <c r="G70" s="2">
        <v>1503323043.66</v>
      </c>
      <c r="H70" t="s">
        <v>91</v>
      </c>
      <c r="I70">
        <v>1.7</v>
      </c>
      <c r="J70">
        <v>6.61246612466124</v>
      </c>
    </row>
    <row r="71" spans="3:12">
      <c r="C71">
        <v>552</v>
      </c>
      <c r="D71">
        <v>2.61</v>
      </c>
      <c r="E71">
        <v>2.59</v>
      </c>
      <c r="F71">
        <v>4.69</v>
      </c>
      <c r="G71" s="2">
        <v>6576405660</v>
      </c>
      <c r="H71">
        <v>7.084</v>
      </c>
      <c r="I71">
        <v>6.723</v>
      </c>
      <c r="J71" t="s">
        <v>92</v>
      </c>
      <c r="K71">
        <v>0.63</v>
      </c>
      <c r="L71">
        <v>0.200960016838666</v>
      </c>
    </row>
    <row r="72" spans="3:11">
      <c r="C72">
        <v>574</v>
      </c>
      <c r="D72">
        <v>0.68</v>
      </c>
      <c r="E72">
        <v>0.6</v>
      </c>
      <c r="F72">
        <v>2.48</v>
      </c>
      <c r="G72" s="2">
        <v>680000000</v>
      </c>
      <c r="H72">
        <v>11.8367</v>
      </c>
      <c r="I72" t="s">
        <v>93</v>
      </c>
      <c r="J72">
        <v>0.75</v>
      </c>
      <c r="K72">
        <v>0.587379021516384</v>
      </c>
    </row>
    <row r="73" spans="3:12">
      <c r="C73">
        <v>605</v>
      </c>
      <c r="D73">
        <v>0.52</v>
      </c>
      <c r="E73">
        <v>0.31</v>
      </c>
      <c r="F73">
        <v>1.15</v>
      </c>
      <c r="G73" s="2">
        <v>2047965758.08</v>
      </c>
      <c r="H73">
        <v>6.9746</v>
      </c>
      <c r="I73">
        <v>5.916</v>
      </c>
      <c r="J73" t="s">
        <v>94</v>
      </c>
      <c r="K73">
        <v>0.69</v>
      </c>
      <c r="L73">
        <v>2.96752519596864</v>
      </c>
    </row>
    <row r="74" spans="3:10">
      <c r="C74">
        <v>661</v>
      </c>
      <c r="D74">
        <v>0.113</v>
      </c>
      <c r="E74">
        <v>0.1</v>
      </c>
      <c r="F74">
        <v>0.41</v>
      </c>
      <c r="G74" s="2">
        <v>2129573985.01</v>
      </c>
      <c r="H74" t="s">
        <v>95</v>
      </c>
      <c r="I74">
        <v>0.49</v>
      </c>
      <c r="J74">
        <v>0.0462488559529323</v>
      </c>
    </row>
    <row r="75" spans="3:12">
      <c r="C75">
        <v>715</v>
      </c>
      <c r="D75">
        <v>0.83</v>
      </c>
      <c r="E75">
        <v>0.59</v>
      </c>
      <c r="F75">
        <v>1.76</v>
      </c>
      <c r="G75" s="2">
        <v>9147503400.95</v>
      </c>
      <c r="H75">
        <v>101.1662</v>
      </c>
      <c r="I75">
        <v>84.694</v>
      </c>
      <c r="J75" t="s">
        <v>96</v>
      </c>
      <c r="K75">
        <v>1.43</v>
      </c>
      <c r="L75">
        <v>28.9115646258503</v>
      </c>
    </row>
    <row r="76" spans="3:10">
      <c r="C76">
        <v>803</v>
      </c>
      <c r="D76">
        <v>0.211</v>
      </c>
      <c r="E76">
        <v>0.15</v>
      </c>
      <c r="F76">
        <v>0.42</v>
      </c>
      <c r="G76" s="2">
        <v>2155035072.74</v>
      </c>
      <c r="H76" t="s">
        <v>97</v>
      </c>
      <c r="I76">
        <v>0.7</v>
      </c>
      <c r="J76">
        <v>1.06177606177606</v>
      </c>
    </row>
    <row r="77" spans="3:12">
      <c r="C77">
        <v>855</v>
      </c>
      <c r="D77">
        <v>3.2</v>
      </c>
      <c r="E77">
        <v>2.46</v>
      </c>
      <c r="F77">
        <v>5.1</v>
      </c>
      <c r="G77" s="2">
        <v>5030739443.29</v>
      </c>
      <c r="H77">
        <v>13.5651</v>
      </c>
      <c r="I77">
        <v>12.228</v>
      </c>
      <c r="J77" t="s">
        <v>98</v>
      </c>
      <c r="K77">
        <v>1.13</v>
      </c>
      <c r="L77">
        <v>1.45181806219571</v>
      </c>
    </row>
    <row r="78" spans="3:12">
      <c r="C78">
        <v>996</v>
      </c>
      <c r="D78">
        <v>1</v>
      </c>
      <c r="E78">
        <v>0.8</v>
      </c>
      <c r="F78">
        <v>1.79</v>
      </c>
      <c r="G78" s="2">
        <v>15477673606.72</v>
      </c>
      <c r="H78">
        <v>359.7953</v>
      </c>
      <c r="I78">
        <v>303.03</v>
      </c>
      <c r="J78" t="s">
        <v>99</v>
      </c>
      <c r="K78">
        <v>2.93</v>
      </c>
      <c r="L78">
        <v>14.4846796657381</v>
      </c>
    </row>
    <row r="79" spans="3:12">
      <c r="C79">
        <v>967</v>
      </c>
      <c r="D79">
        <v>7</v>
      </c>
      <c r="E79">
        <v>5.1</v>
      </c>
      <c r="F79">
        <v>9.47</v>
      </c>
      <c r="G79" s="2">
        <v>10543437947</v>
      </c>
      <c r="H79">
        <v>16.7654</v>
      </c>
      <c r="I79">
        <v>15.909</v>
      </c>
      <c r="J79" t="s">
        <v>100</v>
      </c>
      <c r="K79">
        <v>1.82</v>
      </c>
      <c r="L79">
        <v>2.16960675139964</v>
      </c>
    </row>
    <row r="80" spans="3:12">
      <c r="C80">
        <v>968</v>
      </c>
      <c r="D80">
        <v>2.66</v>
      </c>
      <c r="E80">
        <v>1.97</v>
      </c>
      <c r="F80">
        <v>3.97</v>
      </c>
      <c r="G80" s="2">
        <v>18356736000</v>
      </c>
      <c r="H80">
        <v>37.2369</v>
      </c>
      <c r="I80">
        <v>31.591</v>
      </c>
      <c r="J80" t="s">
        <v>101</v>
      </c>
      <c r="K80">
        <v>3.38</v>
      </c>
      <c r="L80">
        <v>4.1820418204182</v>
      </c>
    </row>
    <row r="81" spans="3:10">
      <c r="C81">
        <v>1020</v>
      </c>
      <c r="D81">
        <v>0.275</v>
      </c>
      <c r="E81">
        <v>0.18</v>
      </c>
      <c r="F81">
        <v>0.88</v>
      </c>
      <c r="G81" s="2">
        <v>719383840</v>
      </c>
      <c r="H81" t="s">
        <v>102</v>
      </c>
      <c r="I81">
        <v>0.86</v>
      </c>
      <c r="J81">
        <v>1.66268868399022</v>
      </c>
    </row>
    <row r="82" spans="3:12">
      <c r="C82">
        <v>1025</v>
      </c>
      <c r="D82">
        <v>6.2</v>
      </c>
      <c r="E82">
        <v>3.05</v>
      </c>
      <c r="F82">
        <v>8.1</v>
      </c>
      <c r="G82" s="2">
        <v>3326721600</v>
      </c>
      <c r="H82">
        <v>16.1714</v>
      </c>
      <c r="I82">
        <v>14.275</v>
      </c>
      <c r="J82" t="s">
        <v>103</v>
      </c>
      <c r="K82">
        <v>1.56</v>
      </c>
      <c r="L82">
        <v>0.268165236058621</v>
      </c>
    </row>
    <row r="83" spans="3:12">
      <c r="C83">
        <v>1058</v>
      </c>
      <c r="D83">
        <v>0.59</v>
      </c>
      <c r="E83">
        <v>0.42</v>
      </c>
      <c r="F83">
        <v>1.82</v>
      </c>
      <c r="G83" s="2">
        <v>322811400</v>
      </c>
      <c r="H83">
        <v>161.5673</v>
      </c>
      <c r="I83">
        <v>159.459</v>
      </c>
      <c r="J83" t="s">
        <v>104</v>
      </c>
      <c r="K83">
        <v>0.95</v>
      </c>
      <c r="L83">
        <v>0.468018720748829</v>
      </c>
    </row>
    <row r="84" spans="3:12">
      <c r="C84">
        <v>1044</v>
      </c>
      <c r="D84">
        <v>66</v>
      </c>
      <c r="E84">
        <v>64.5</v>
      </c>
      <c r="F84">
        <v>107.4</v>
      </c>
      <c r="G84" s="2">
        <v>81612312807</v>
      </c>
      <c r="H84">
        <v>20.5306</v>
      </c>
      <c r="I84">
        <v>20.7</v>
      </c>
      <c r="J84" t="s">
        <v>105</v>
      </c>
      <c r="K84">
        <v>4.47</v>
      </c>
      <c r="L84">
        <v>3.1430166392239</v>
      </c>
    </row>
    <row r="85" spans="3:12">
      <c r="C85">
        <v>1117</v>
      </c>
      <c r="D85">
        <v>1.4</v>
      </c>
      <c r="E85">
        <v>1.38</v>
      </c>
      <c r="F85">
        <v>4.19</v>
      </c>
      <c r="G85" s="2">
        <v>7851056466.84</v>
      </c>
      <c r="H85">
        <v>8.0774</v>
      </c>
      <c r="I85">
        <v>7.349</v>
      </c>
      <c r="J85" t="s">
        <v>106</v>
      </c>
      <c r="K85">
        <v>0.89</v>
      </c>
      <c r="L85">
        <v>1.16528259701304</v>
      </c>
    </row>
    <row r="86" spans="3:12">
      <c r="C86">
        <v>1165</v>
      </c>
      <c r="D86">
        <v>1.15</v>
      </c>
      <c r="E86">
        <v>1.12</v>
      </c>
      <c r="F86">
        <v>10.5</v>
      </c>
      <c r="G86" s="2">
        <v>4817411870.94</v>
      </c>
      <c r="H86">
        <v>2.9458</v>
      </c>
      <c r="I86">
        <v>1.614</v>
      </c>
      <c r="J86" t="s">
        <v>107</v>
      </c>
      <c r="K86">
        <v>0.48</v>
      </c>
      <c r="L86">
        <v>0.398214911890361</v>
      </c>
    </row>
    <row r="87" spans="3:12">
      <c r="C87">
        <v>992</v>
      </c>
      <c r="D87">
        <v>6.36</v>
      </c>
      <c r="E87">
        <v>6.02</v>
      </c>
      <c r="F87">
        <v>14.3</v>
      </c>
      <c r="G87" s="2">
        <v>73206034631.16</v>
      </c>
      <c r="H87">
        <v>10.994</v>
      </c>
      <c r="I87">
        <v>10.56</v>
      </c>
      <c r="J87" t="s">
        <v>108</v>
      </c>
      <c r="K87">
        <v>3.42</v>
      </c>
      <c r="L87">
        <v>0.206388975884747</v>
      </c>
    </row>
    <row r="88" spans="3:12">
      <c r="C88">
        <v>1180</v>
      </c>
      <c r="D88">
        <v>1.01</v>
      </c>
      <c r="E88">
        <v>1</v>
      </c>
      <c r="F88">
        <v>5.94</v>
      </c>
      <c r="G88" s="2">
        <v>1125838287.05</v>
      </c>
      <c r="H88">
        <v>19.2639</v>
      </c>
      <c r="I88">
        <v>18.297</v>
      </c>
      <c r="J88" t="s">
        <v>109</v>
      </c>
      <c r="K88">
        <v>1.04</v>
      </c>
      <c r="L88">
        <v>0.978777899743871</v>
      </c>
    </row>
    <row r="89" spans="3:12">
      <c r="C89">
        <v>1203</v>
      </c>
      <c r="D89">
        <v>0.88</v>
      </c>
      <c r="E89">
        <v>0.87</v>
      </c>
      <c r="F89">
        <v>2.23</v>
      </c>
      <c r="G89" s="2">
        <v>816833956.5</v>
      </c>
      <c r="H89">
        <v>5.5121</v>
      </c>
      <c r="I89">
        <v>5.51</v>
      </c>
      <c r="J89" t="s">
        <v>110</v>
      </c>
      <c r="K89">
        <v>0.33</v>
      </c>
      <c r="L89">
        <v>0.291724741499465</v>
      </c>
    </row>
    <row r="90" spans="3:12">
      <c r="C90">
        <v>2223</v>
      </c>
      <c r="D90">
        <v>3.27</v>
      </c>
      <c r="E90">
        <v>1.03</v>
      </c>
      <c r="F90">
        <v>11.8</v>
      </c>
      <c r="G90" s="2">
        <v>870915840</v>
      </c>
      <c r="H90">
        <v>68.2911</v>
      </c>
      <c r="I90">
        <v>51.496</v>
      </c>
      <c r="J90" t="s">
        <v>111</v>
      </c>
      <c r="K90">
        <v>2.36</v>
      </c>
      <c r="L90">
        <v>2.33670780751629</v>
      </c>
    </row>
    <row r="91" spans="3:10">
      <c r="C91">
        <v>1207</v>
      </c>
      <c r="D91">
        <v>0.29</v>
      </c>
      <c r="E91">
        <v>0.19</v>
      </c>
      <c r="F91">
        <v>0.97</v>
      </c>
      <c r="G91" s="2">
        <v>6169414116.6</v>
      </c>
      <c r="H91" t="s">
        <v>112</v>
      </c>
      <c r="I91">
        <v>0.6</v>
      </c>
      <c r="J91">
        <v>1.49402390438247</v>
      </c>
    </row>
    <row r="92" spans="3:10">
      <c r="C92">
        <v>1039</v>
      </c>
      <c r="D92">
        <v>0.95</v>
      </c>
      <c r="E92">
        <v>0.37</v>
      </c>
      <c r="F92">
        <v>2.77</v>
      </c>
      <c r="G92" s="2">
        <v>1456090908.4</v>
      </c>
      <c r="H92" t="s">
        <v>113</v>
      </c>
      <c r="I92">
        <v>5.39</v>
      </c>
      <c r="J92">
        <v>6.23362116040104</v>
      </c>
    </row>
    <row r="93" spans="3:12">
      <c r="C93">
        <v>1288</v>
      </c>
      <c r="D93">
        <v>2.7</v>
      </c>
      <c r="E93">
        <v>2.68</v>
      </c>
      <c r="F93">
        <v>4.55</v>
      </c>
      <c r="G93" s="2">
        <v>83916987052.08</v>
      </c>
      <c r="H93">
        <v>3.9514</v>
      </c>
      <c r="I93">
        <v>3.908</v>
      </c>
      <c r="J93" t="s">
        <v>114</v>
      </c>
      <c r="K93">
        <v>0.62</v>
      </c>
      <c r="L93">
        <v>1.33002132365212</v>
      </c>
    </row>
    <row r="94" spans="3:12">
      <c r="C94">
        <v>1273</v>
      </c>
      <c r="D94">
        <v>0.75</v>
      </c>
      <c r="E94">
        <v>0.7</v>
      </c>
      <c r="F94">
        <v>1.58</v>
      </c>
      <c r="G94" s="2">
        <v>298800000</v>
      </c>
      <c r="H94">
        <v>5.8864</v>
      </c>
      <c r="I94">
        <v>5.887</v>
      </c>
      <c r="J94" t="s">
        <v>115</v>
      </c>
      <c r="K94">
        <v>0.67</v>
      </c>
      <c r="L94">
        <v>2.65193370165745</v>
      </c>
    </row>
    <row r="95" spans="3:12">
      <c r="C95" t="s">
        <v>116</v>
      </c>
      <c r="D95">
        <v>3.09</v>
      </c>
      <c r="E95">
        <v>2.71</v>
      </c>
      <c r="F95">
        <v>4.25</v>
      </c>
      <c r="G95" s="2">
        <v>1010109703870</v>
      </c>
      <c r="H95">
        <v>5.6286</v>
      </c>
      <c r="I95">
        <v>5.6045</v>
      </c>
      <c r="J95" t="s">
        <v>114</v>
      </c>
      <c r="K95">
        <v>0.86</v>
      </c>
      <c r="L95">
        <v>1.891</v>
      </c>
    </row>
    <row r="96" spans="3:10">
      <c r="C96">
        <v>1302</v>
      </c>
      <c r="D96">
        <v>1.32</v>
      </c>
      <c r="E96">
        <v>0.72</v>
      </c>
      <c r="F96">
        <v>3.08</v>
      </c>
      <c r="G96" s="2">
        <v>5160000000</v>
      </c>
      <c r="H96" t="s">
        <v>117</v>
      </c>
      <c r="I96">
        <v>21.71</v>
      </c>
      <c r="J96">
        <v>13.4704295876628</v>
      </c>
    </row>
    <row r="97" spans="3:10">
      <c r="C97">
        <v>1386</v>
      </c>
      <c r="D97">
        <v>1.25</v>
      </c>
      <c r="E97">
        <v>0.35</v>
      </c>
      <c r="F97">
        <v>1.41</v>
      </c>
      <c r="G97" s="2">
        <v>808113600</v>
      </c>
      <c r="H97" t="s">
        <v>118</v>
      </c>
      <c r="I97">
        <v>2.73</v>
      </c>
      <c r="J97">
        <v>0.928381962864721</v>
      </c>
    </row>
    <row r="98" spans="3:12">
      <c r="C98">
        <v>1415</v>
      </c>
      <c r="D98">
        <v>2.26</v>
      </c>
      <c r="E98">
        <v>2.11</v>
      </c>
      <c r="F98">
        <v>8.85</v>
      </c>
      <c r="G98" s="2">
        <v>2062166624</v>
      </c>
      <c r="H98">
        <v>4.9936</v>
      </c>
      <c r="I98">
        <v>4.095</v>
      </c>
      <c r="J98" t="s">
        <v>119</v>
      </c>
      <c r="K98">
        <v>1</v>
      </c>
      <c r="L98">
        <v>0.287921147574005</v>
      </c>
    </row>
    <row r="99" spans="3:12">
      <c r="C99">
        <v>1470</v>
      </c>
      <c r="D99">
        <v>0.285</v>
      </c>
      <c r="E99">
        <v>0.275</v>
      </c>
      <c r="F99">
        <v>1.6</v>
      </c>
      <c r="G99" s="2">
        <v>228000000</v>
      </c>
      <c r="H99">
        <v>14.1002</v>
      </c>
      <c r="I99">
        <v>10.556</v>
      </c>
      <c r="J99" t="s">
        <v>120</v>
      </c>
      <c r="K99">
        <v>1.3</v>
      </c>
      <c r="L99">
        <v>0.661252900232018</v>
      </c>
    </row>
    <row r="100" spans="3:12">
      <c r="C100">
        <v>1480</v>
      </c>
      <c r="D100">
        <v>1.9</v>
      </c>
      <c r="E100">
        <v>1.32</v>
      </c>
      <c r="F100">
        <v>102</v>
      </c>
      <c r="G100" s="2">
        <v>475200000</v>
      </c>
      <c r="H100">
        <v>10.7489</v>
      </c>
      <c r="I100">
        <v>7.907</v>
      </c>
      <c r="J100" t="s">
        <v>121</v>
      </c>
      <c r="K100">
        <v>1.07</v>
      </c>
      <c r="L100">
        <v>0.709423145825868</v>
      </c>
    </row>
    <row r="101" spans="3:10">
      <c r="C101">
        <v>1527</v>
      </c>
      <c r="D101">
        <v>5.02</v>
      </c>
      <c r="E101">
        <v>4.8</v>
      </c>
      <c r="F101">
        <v>12.5</v>
      </c>
      <c r="G101" s="2">
        <v>187250000</v>
      </c>
      <c r="H101">
        <v>7.7857</v>
      </c>
      <c r="I101" t="s">
        <v>122</v>
      </c>
      <c r="J101">
        <v>1.15</v>
      </c>
    </row>
    <row r="102" spans="3:12">
      <c r="C102">
        <v>1669</v>
      </c>
      <c r="D102">
        <v>1.32</v>
      </c>
      <c r="E102">
        <v>1.2</v>
      </c>
      <c r="F102">
        <v>6.19</v>
      </c>
      <c r="G102" s="2">
        <v>512000000</v>
      </c>
      <c r="H102">
        <v>14.4014</v>
      </c>
      <c r="I102">
        <v>11.34</v>
      </c>
      <c r="J102" t="s">
        <v>123</v>
      </c>
      <c r="K102">
        <v>0.87</v>
      </c>
      <c r="L102">
        <v>4.38656614119259</v>
      </c>
    </row>
    <row r="103" spans="3:12">
      <c r="C103">
        <v>1599</v>
      </c>
      <c r="D103">
        <v>4.03</v>
      </c>
      <c r="E103">
        <v>3.28</v>
      </c>
      <c r="F103">
        <v>7.79</v>
      </c>
      <c r="G103" s="2">
        <v>1598300440</v>
      </c>
      <c r="H103">
        <v>11.9873</v>
      </c>
      <c r="I103">
        <v>9.839</v>
      </c>
      <c r="J103" t="s">
        <v>124</v>
      </c>
      <c r="K103">
        <v>1.55</v>
      </c>
      <c r="L103">
        <v>1.30809063008141</v>
      </c>
    </row>
    <row r="104" spans="3:11">
      <c r="C104">
        <v>1776</v>
      </c>
      <c r="D104">
        <v>15.58</v>
      </c>
      <c r="E104">
        <v>9.9</v>
      </c>
      <c r="F104">
        <v>26.95</v>
      </c>
      <c r="G104" s="2">
        <v>27330846972</v>
      </c>
      <c r="H104">
        <v>18.9064</v>
      </c>
      <c r="I104" t="s">
        <v>125</v>
      </c>
      <c r="J104">
        <v>1.33</v>
      </c>
      <c r="K104">
        <v>2.04023706762005</v>
      </c>
    </row>
    <row r="105" spans="3:11">
      <c r="C105">
        <v>1970</v>
      </c>
      <c r="D105">
        <v>49.25</v>
      </c>
      <c r="E105">
        <v>32.3</v>
      </c>
      <c r="F105">
        <v>60</v>
      </c>
      <c r="G105" s="2">
        <v>17943912500</v>
      </c>
      <c r="H105">
        <v>101.5575</v>
      </c>
      <c r="I105" t="s">
        <v>126</v>
      </c>
      <c r="J105" t="s">
        <v>127</v>
      </c>
      <c r="K105">
        <v>27.41</v>
      </c>
    </row>
    <row r="106" spans="3:12">
      <c r="C106">
        <v>1800</v>
      </c>
      <c r="D106">
        <v>5.85</v>
      </c>
      <c r="E106">
        <v>5.45</v>
      </c>
      <c r="F106">
        <v>17</v>
      </c>
      <c r="G106" s="2">
        <v>27317675000</v>
      </c>
      <c r="H106">
        <v>5.707</v>
      </c>
      <c r="I106">
        <v>5.411</v>
      </c>
      <c r="J106" t="s">
        <v>128</v>
      </c>
      <c r="K106">
        <v>0.67</v>
      </c>
      <c r="L106">
        <v>0.223206637857189</v>
      </c>
    </row>
    <row r="107" spans="3:12">
      <c r="C107">
        <v>2000</v>
      </c>
      <c r="D107">
        <v>0.3</v>
      </c>
      <c r="E107">
        <v>0.285</v>
      </c>
      <c r="F107">
        <v>0.78</v>
      </c>
      <c r="G107" s="2">
        <v>754579408.5</v>
      </c>
      <c r="H107">
        <v>31.4841</v>
      </c>
      <c r="I107">
        <v>31.915</v>
      </c>
      <c r="J107" t="s">
        <v>129</v>
      </c>
      <c r="K107">
        <v>0.39</v>
      </c>
      <c r="L107">
        <v>0.321560933071724</v>
      </c>
    </row>
    <row r="108" spans="3:12">
      <c r="C108">
        <v>2006</v>
      </c>
      <c r="D108">
        <v>2.59</v>
      </c>
      <c r="E108">
        <v>2.02</v>
      </c>
      <c r="F108">
        <v>4.14</v>
      </c>
      <c r="G108" s="2">
        <v>3701390000</v>
      </c>
      <c r="H108">
        <v>18.5586</v>
      </c>
      <c r="I108">
        <v>18.553</v>
      </c>
      <c r="J108" t="s">
        <v>130</v>
      </c>
      <c r="K108">
        <v>1.24</v>
      </c>
      <c r="L108">
        <v>0.892025647521417</v>
      </c>
    </row>
    <row r="109" spans="3:12">
      <c r="C109">
        <v>2039</v>
      </c>
      <c r="D109">
        <v>12.04</v>
      </c>
      <c r="E109">
        <v>11.58</v>
      </c>
      <c r="F109">
        <v>24.4</v>
      </c>
      <c r="G109" s="2">
        <v>21113892290.7</v>
      </c>
      <c r="H109">
        <v>11.8217</v>
      </c>
      <c r="I109">
        <v>10.363</v>
      </c>
      <c r="J109" t="s">
        <v>131</v>
      </c>
      <c r="K109">
        <v>1.06</v>
      </c>
      <c r="L109">
        <v>0.44265195259331</v>
      </c>
    </row>
    <row r="110" spans="3:12">
      <c r="C110">
        <v>2186</v>
      </c>
      <c r="D110">
        <v>6.31</v>
      </c>
      <c r="E110">
        <v>5.65</v>
      </c>
      <c r="F110">
        <v>11.54</v>
      </c>
      <c r="G110" s="2">
        <v>21387715548.92</v>
      </c>
      <c r="H110">
        <v>28.2478</v>
      </c>
      <c r="I110">
        <v>24.96</v>
      </c>
      <c r="J110" t="s">
        <v>132</v>
      </c>
      <c r="K110">
        <v>3.19</v>
      </c>
      <c r="L110">
        <v>4.726716656148</v>
      </c>
    </row>
    <row r="111" spans="3:12">
      <c r="C111">
        <v>2308</v>
      </c>
      <c r="D111">
        <v>1.28</v>
      </c>
      <c r="E111">
        <v>0.78</v>
      </c>
      <c r="F111">
        <v>3.72</v>
      </c>
      <c r="G111" s="2">
        <v>394690560</v>
      </c>
      <c r="H111">
        <v>10.555</v>
      </c>
      <c r="I111">
        <v>10.552</v>
      </c>
      <c r="J111" t="s">
        <v>133</v>
      </c>
      <c r="K111">
        <v>0.84</v>
      </c>
      <c r="L111">
        <v>0.721722956584101</v>
      </c>
    </row>
    <row r="112" spans="3:12">
      <c r="C112">
        <v>2255</v>
      </c>
      <c r="D112">
        <v>1.46</v>
      </c>
      <c r="E112">
        <v>1.02</v>
      </c>
      <c r="F112">
        <v>2.13</v>
      </c>
      <c r="G112" s="2">
        <v>5920000000</v>
      </c>
      <c r="H112">
        <v>24.3276</v>
      </c>
      <c r="I112">
        <v>23.138</v>
      </c>
      <c r="J112" t="s">
        <v>134</v>
      </c>
      <c r="K112">
        <v>1.28</v>
      </c>
      <c r="L112">
        <v>4.01155740530515</v>
      </c>
    </row>
    <row r="113" spans="3:12">
      <c r="C113">
        <v>2899</v>
      </c>
      <c r="D113">
        <v>1.72</v>
      </c>
      <c r="E113">
        <v>1.71</v>
      </c>
      <c r="F113">
        <v>3.63</v>
      </c>
      <c r="G113" s="2">
        <v>10153457600</v>
      </c>
      <c r="H113">
        <v>12.9484</v>
      </c>
      <c r="I113">
        <v>12.694</v>
      </c>
      <c r="J113" t="s">
        <v>135</v>
      </c>
      <c r="K113">
        <v>1.13</v>
      </c>
      <c r="L113">
        <v>0.376117123419312</v>
      </c>
    </row>
    <row r="114" spans="3:12">
      <c r="C114">
        <v>3399</v>
      </c>
      <c r="D114">
        <v>4.67</v>
      </c>
      <c r="E114">
        <v>2.06</v>
      </c>
      <c r="F114">
        <v>8.1</v>
      </c>
      <c r="G114" s="2">
        <v>993600000</v>
      </c>
      <c r="H114">
        <v>11.8585</v>
      </c>
      <c r="I114">
        <v>11.537</v>
      </c>
      <c r="J114" t="s">
        <v>136</v>
      </c>
      <c r="K114">
        <v>1.36</v>
      </c>
      <c r="L114">
        <v>0.307522342853228</v>
      </c>
    </row>
    <row r="115" spans="3:11">
      <c r="C115">
        <v>3606</v>
      </c>
      <c r="D115">
        <v>16.26</v>
      </c>
      <c r="E115">
        <v>12.16</v>
      </c>
      <c r="F115">
        <v>22.85</v>
      </c>
      <c r="G115" s="2">
        <v>8514829408</v>
      </c>
      <c r="H115">
        <v>15.2238</v>
      </c>
      <c r="I115" t="s">
        <v>137</v>
      </c>
      <c r="J115">
        <v>2.22</v>
      </c>
      <c r="K115">
        <v>2.54436056381337</v>
      </c>
    </row>
    <row r="116" spans="3:12">
      <c r="C116">
        <v>3968</v>
      </c>
      <c r="D116">
        <v>14.4</v>
      </c>
      <c r="E116">
        <v>13.12</v>
      </c>
      <c r="F116">
        <v>26.85</v>
      </c>
      <c r="G116" s="2">
        <v>57875074400</v>
      </c>
      <c r="H116">
        <v>5.1949</v>
      </c>
      <c r="I116">
        <v>5.195</v>
      </c>
      <c r="J116" t="s">
        <v>138</v>
      </c>
      <c r="K116">
        <v>0.85</v>
      </c>
      <c r="L116">
        <v>1.42779391898267</v>
      </c>
    </row>
    <row r="117" spans="3:12">
      <c r="C117">
        <v>3988</v>
      </c>
      <c r="D117">
        <v>2.93</v>
      </c>
      <c r="E117">
        <v>2.92</v>
      </c>
      <c r="F117">
        <v>5.68</v>
      </c>
      <c r="G117" s="2">
        <v>252539274712.9</v>
      </c>
      <c r="H117">
        <v>4.0675</v>
      </c>
      <c r="I117">
        <v>3.869</v>
      </c>
      <c r="J117" t="s">
        <v>139</v>
      </c>
      <c r="K117">
        <v>0.58</v>
      </c>
      <c r="L117">
        <v>1.53665238273649</v>
      </c>
    </row>
    <row r="118" spans="3:10">
      <c r="C118">
        <v>8071</v>
      </c>
      <c r="D118">
        <v>0.085</v>
      </c>
      <c r="E118">
        <v>0.073</v>
      </c>
      <c r="F118">
        <v>0.33</v>
      </c>
      <c r="G118" s="2">
        <v>262082944.12</v>
      </c>
      <c r="H118" t="s">
        <v>140</v>
      </c>
      <c r="I118">
        <v>5.38</v>
      </c>
      <c r="J118">
        <v>210</v>
      </c>
    </row>
    <row r="119" spans="3:12">
      <c r="C119">
        <v>6881</v>
      </c>
      <c r="D119">
        <v>5.24</v>
      </c>
      <c r="E119">
        <v>4.72</v>
      </c>
      <c r="F119">
        <v>14.12</v>
      </c>
      <c r="G119" s="2">
        <v>19746767786.55</v>
      </c>
      <c r="H119">
        <v>10.8219</v>
      </c>
      <c r="I119">
        <v>8.377</v>
      </c>
      <c r="J119" t="s">
        <v>141</v>
      </c>
      <c r="K119">
        <v>0.76</v>
      </c>
      <c r="L119">
        <v>1.16713904528855</v>
      </c>
    </row>
    <row r="120" spans="3:10">
      <c r="C120">
        <v>8192</v>
      </c>
      <c r="D120">
        <v>0.059</v>
      </c>
      <c r="E120">
        <v>0.03</v>
      </c>
      <c r="F120">
        <v>0.311</v>
      </c>
      <c r="G120" s="2">
        <v>262549353</v>
      </c>
      <c r="H120" t="s">
        <v>142</v>
      </c>
      <c r="I120">
        <v>0.63</v>
      </c>
      <c r="J120">
        <v>0.631229235880398</v>
      </c>
    </row>
    <row r="121" spans="3:12">
      <c r="C121">
        <v>8265</v>
      </c>
      <c r="D121">
        <v>3.93</v>
      </c>
      <c r="E121">
        <v>0.5</v>
      </c>
      <c r="F121">
        <v>4.5</v>
      </c>
      <c r="G121" s="2">
        <v>1177728000</v>
      </c>
      <c r="H121">
        <v>173.2208</v>
      </c>
      <c r="I121">
        <v>99.746</v>
      </c>
      <c r="J121" t="s">
        <v>143</v>
      </c>
      <c r="K121">
        <v>8.44</v>
      </c>
      <c r="L121">
        <v>5.2096052096052</v>
      </c>
    </row>
    <row r="122" spans="3:11">
      <c r="C122">
        <v>8361</v>
      </c>
      <c r="D122">
        <v>2.1</v>
      </c>
      <c r="E122">
        <v>1</v>
      </c>
      <c r="F122">
        <v>2.8</v>
      </c>
      <c r="G122" s="2">
        <v>2206975000</v>
      </c>
      <c r="H122">
        <v>129.3525</v>
      </c>
      <c r="I122" t="s">
        <v>144</v>
      </c>
      <c r="J122">
        <v>6.75</v>
      </c>
      <c r="K122">
        <v>21.171621794481</v>
      </c>
    </row>
    <row r="123" spans="3:12">
      <c r="C123">
        <v>1065</v>
      </c>
      <c r="D123">
        <v>4.64</v>
      </c>
      <c r="E123">
        <v>3.38</v>
      </c>
      <c r="F123">
        <v>10.68</v>
      </c>
      <c r="G123" s="2">
        <v>1662600000</v>
      </c>
      <c r="H123">
        <v>17.186</v>
      </c>
      <c r="I123">
        <v>17.185</v>
      </c>
      <c r="J123" t="s">
        <v>145</v>
      </c>
      <c r="K123">
        <v>1.29</v>
      </c>
      <c r="L123">
        <v>3.05599982821406</v>
      </c>
    </row>
    <row r="124" spans="3:10">
      <c r="C124">
        <v>209</v>
      </c>
      <c r="D124">
        <v>0.48</v>
      </c>
      <c r="E124">
        <v>0.18</v>
      </c>
      <c r="F124">
        <v>2.4</v>
      </c>
      <c r="G124" s="2">
        <v>1217595477.21</v>
      </c>
      <c r="H124" t="s">
        <v>146</v>
      </c>
      <c r="I124">
        <v>2.76</v>
      </c>
      <c r="J124">
        <v>8.04597701149425</v>
      </c>
    </row>
    <row r="125" spans="3:10">
      <c r="C125">
        <v>1355</v>
      </c>
      <c r="D125">
        <v>0.81</v>
      </c>
      <c r="E125">
        <v>0.5</v>
      </c>
      <c r="F125">
        <v>2.84</v>
      </c>
      <c r="G125" s="2">
        <v>322690500</v>
      </c>
      <c r="H125" t="s">
        <v>147</v>
      </c>
      <c r="I125">
        <v>1.51</v>
      </c>
      <c r="J125">
        <v>10.4591836734693</v>
      </c>
    </row>
    <row r="126" spans="3:11">
      <c r="C126" t="s">
        <v>148</v>
      </c>
      <c r="D126">
        <v>0.5675</v>
      </c>
      <c r="E126">
        <v>0.4864</v>
      </c>
      <c r="F126">
        <v>1.45</v>
      </c>
      <c r="G126" s="2">
        <v>45508220.03</v>
      </c>
      <c r="H126">
        <v>1.1895</v>
      </c>
      <c r="I126" t="s">
        <v>149</v>
      </c>
      <c r="J126">
        <v>0.17</v>
      </c>
      <c r="K126">
        <v>0.0403</v>
      </c>
    </row>
    <row r="127" spans="3:11">
      <c r="C127" t="s">
        <v>150</v>
      </c>
      <c r="D127">
        <v>1.69</v>
      </c>
      <c r="E127">
        <v>1.22</v>
      </c>
      <c r="F127">
        <v>4.29</v>
      </c>
      <c r="G127">
        <v>9879190.75</v>
      </c>
      <c r="H127">
        <v>9.3889</v>
      </c>
      <c r="I127" t="s">
        <v>151</v>
      </c>
      <c r="J127">
        <v>0.27</v>
      </c>
      <c r="K127">
        <v>1.5085</v>
      </c>
    </row>
    <row r="128" spans="3:12">
      <c r="C128" t="s">
        <v>152</v>
      </c>
      <c r="D128">
        <v>0.65</v>
      </c>
      <c r="E128">
        <v>0.551</v>
      </c>
      <c r="F128">
        <v>1.4599</v>
      </c>
      <c r="G128" s="2">
        <v>34846875</v>
      </c>
      <c r="H128">
        <v>0.934</v>
      </c>
      <c r="I128">
        <v>7.5</v>
      </c>
      <c r="J128" t="s">
        <v>153</v>
      </c>
      <c r="K128">
        <v>0.09</v>
      </c>
      <c r="L128">
        <v>0.084</v>
      </c>
    </row>
    <row r="129" spans="3:10">
      <c r="C129">
        <v>3799</v>
      </c>
      <c r="D129">
        <v>3.47</v>
      </c>
      <c r="E129">
        <v>3.37</v>
      </c>
      <c r="F129">
        <v>5.28</v>
      </c>
      <c r="G129" s="2">
        <v>52174587675</v>
      </c>
      <c r="H129">
        <v>20.0925</v>
      </c>
      <c r="I129" t="s">
        <v>154</v>
      </c>
      <c r="J129">
        <v>5.14</v>
      </c>
    </row>
    <row r="130" spans="3:10">
      <c r="C130">
        <v>1831</v>
      </c>
      <c r="D130">
        <v>1.83</v>
      </c>
      <c r="E130">
        <v>0.41</v>
      </c>
      <c r="F130">
        <v>3.13</v>
      </c>
      <c r="G130" s="2">
        <v>1913190029.9</v>
      </c>
      <c r="H130" t="s">
        <v>155</v>
      </c>
      <c r="I130">
        <v>6.22</v>
      </c>
      <c r="J130">
        <v>14.6836409556113</v>
      </c>
    </row>
    <row r="131" spans="3:11">
      <c r="C131">
        <v>143</v>
      </c>
      <c r="D131">
        <v>0.236</v>
      </c>
      <c r="E131">
        <v>0.06</v>
      </c>
      <c r="F131">
        <v>0.52</v>
      </c>
      <c r="G131" s="2">
        <v>1317323352.92</v>
      </c>
      <c r="H131" t="s">
        <v>156</v>
      </c>
      <c r="I131" t="s">
        <v>157</v>
      </c>
      <c r="J131">
        <v>56.67</v>
      </c>
      <c r="K131">
        <v>15.1785714285714</v>
      </c>
    </row>
    <row r="132" spans="3:12">
      <c r="C132" t="s">
        <v>158</v>
      </c>
      <c r="D132">
        <v>1.575</v>
      </c>
      <c r="E132">
        <v>0</v>
      </c>
      <c r="F132">
        <v>0</v>
      </c>
      <c r="G132">
        <v>0</v>
      </c>
      <c r="H132">
        <v>1.522</v>
      </c>
      <c r="I132">
        <v>1.522</v>
      </c>
      <c r="J132" t="s">
        <v>159</v>
      </c>
      <c r="K132">
        <v>0</v>
      </c>
      <c r="L132" t="s">
        <v>45</v>
      </c>
    </row>
    <row r="133" spans="3:12">
      <c r="C133">
        <v>6869</v>
      </c>
      <c r="D133">
        <v>8.09</v>
      </c>
      <c r="E133">
        <v>6.05</v>
      </c>
      <c r="F133">
        <v>12.32</v>
      </c>
      <c r="G133" s="2">
        <v>2851206699.34</v>
      </c>
      <c r="H133">
        <v>9.4869</v>
      </c>
      <c r="I133">
        <v>6.781</v>
      </c>
      <c r="J133" t="s">
        <v>160</v>
      </c>
      <c r="K133">
        <v>1.48</v>
      </c>
      <c r="L133">
        <v>0.66749967443547</v>
      </c>
    </row>
    <row r="134" spans="3:11">
      <c r="C134">
        <v>3882</v>
      </c>
      <c r="D134">
        <v>1.16</v>
      </c>
      <c r="E134">
        <v>1.1</v>
      </c>
      <c r="F134">
        <v>3.74</v>
      </c>
      <c r="G134" s="2">
        <v>920366850</v>
      </c>
      <c r="H134">
        <v>4.5584</v>
      </c>
      <c r="I134" t="s">
        <v>161</v>
      </c>
      <c r="J134">
        <v>0.99</v>
      </c>
      <c r="K134">
        <v>0.350673903762883</v>
      </c>
    </row>
    <row r="135" spans="3:10">
      <c r="C135">
        <v>261</v>
      </c>
      <c r="D135">
        <v>0.025</v>
      </c>
      <c r="E135">
        <v>0.01</v>
      </c>
      <c r="F135">
        <v>0.083</v>
      </c>
      <c r="G135" s="2">
        <v>2399253843.74</v>
      </c>
      <c r="H135" t="s">
        <v>162</v>
      </c>
      <c r="I135">
        <v>4.26</v>
      </c>
      <c r="J135">
        <v>2.04724409448818</v>
      </c>
    </row>
    <row r="136" spans="3:12">
      <c r="C136">
        <v>6837</v>
      </c>
      <c r="D136">
        <v>10.58</v>
      </c>
      <c r="E136">
        <v>10</v>
      </c>
      <c r="F136">
        <v>27.9</v>
      </c>
      <c r="G136" s="2">
        <v>37709831149.2</v>
      </c>
      <c r="H136">
        <v>13.1941</v>
      </c>
      <c r="I136">
        <v>10.518</v>
      </c>
      <c r="J136" t="s">
        <v>163</v>
      </c>
      <c r="K136">
        <v>0.98</v>
      </c>
      <c r="L136">
        <v>1.69147521968462</v>
      </c>
    </row>
    <row r="137" spans="3:12">
      <c r="C137">
        <v>1239</v>
      </c>
      <c r="D137">
        <v>0.29</v>
      </c>
      <c r="E137">
        <v>0.03</v>
      </c>
      <c r="F137">
        <v>0.68</v>
      </c>
      <c r="G137" s="2">
        <v>2900000000</v>
      </c>
      <c r="H137">
        <v>164.4747</v>
      </c>
      <c r="I137">
        <v>161.111</v>
      </c>
      <c r="J137" t="s">
        <v>164</v>
      </c>
      <c r="K137">
        <v>11.42</v>
      </c>
      <c r="L137">
        <v>12.0188023802202</v>
      </c>
    </row>
    <row r="138" spans="3:12">
      <c r="C138">
        <v>35</v>
      </c>
      <c r="D138">
        <v>2.4</v>
      </c>
      <c r="E138">
        <v>2.39</v>
      </c>
      <c r="F138">
        <v>4.1</v>
      </c>
      <c r="G138" s="2">
        <v>5134658954.52</v>
      </c>
      <c r="H138">
        <v>5.3904</v>
      </c>
      <c r="I138">
        <v>4.703</v>
      </c>
      <c r="J138" t="s">
        <v>165</v>
      </c>
      <c r="K138">
        <v>0.58</v>
      </c>
      <c r="L138">
        <v>1.1901205059257</v>
      </c>
    </row>
    <row r="139" spans="3:12">
      <c r="C139">
        <v>127</v>
      </c>
      <c r="D139">
        <v>17.68</v>
      </c>
      <c r="E139">
        <v>13.31</v>
      </c>
      <c r="F139">
        <v>30.3</v>
      </c>
      <c r="G139" s="2">
        <v>33764857698.3</v>
      </c>
      <c r="H139">
        <v>3.8611</v>
      </c>
      <c r="I139">
        <v>3.857</v>
      </c>
      <c r="J139" t="s">
        <v>166</v>
      </c>
      <c r="K139">
        <v>0.93</v>
      </c>
      <c r="L139">
        <v>13.9424970460811</v>
      </c>
    </row>
    <row r="140" spans="3:10">
      <c r="C140" t="s">
        <v>167</v>
      </c>
      <c r="D140">
        <v>0.6699</v>
      </c>
      <c r="E140">
        <v>0.58</v>
      </c>
      <c r="F140">
        <v>2.73</v>
      </c>
      <c r="G140">
        <v>4455384.7</v>
      </c>
      <c r="H140" t="s">
        <v>168</v>
      </c>
      <c r="I140">
        <v>0.14</v>
      </c>
      <c r="J140">
        <v>0.4987</v>
      </c>
    </row>
    <row r="141" spans="3:11">
      <c r="C141">
        <v>2917</v>
      </c>
      <c r="D141">
        <v>0.125</v>
      </c>
      <c r="E141">
        <v>0.04</v>
      </c>
      <c r="F141">
        <v>2.9</v>
      </c>
      <c r="G141" s="2">
        <v>48690991.5</v>
      </c>
      <c r="H141">
        <v>0.354</v>
      </c>
      <c r="I141" t="s">
        <v>169</v>
      </c>
      <c r="J141">
        <v>0.02</v>
      </c>
      <c r="K141">
        <v>0.364006988934187</v>
      </c>
    </row>
    <row r="142" spans="3:12">
      <c r="C142">
        <v>2202</v>
      </c>
      <c r="D142">
        <v>16.98</v>
      </c>
      <c r="E142">
        <v>13.36</v>
      </c>
      <c r="F142">
        <v>24.1</v>
      </c>
      <c r="G142" s="2">
        <v>23169515346.16</v>
      </c>
      <c r="H142">
        <v>9.5207</v>
      </c>
      <c r="I142">
        <v>9.501</v>
      </c>
      <c r="J142" t="s">
        <v>170</v>
      </c>
      <c r="K142">
        <v>1.85</v>
      </c>
      <c r="L142">
        <v>1.57179515957991</v>
      </c>
    </row>
    <row r="143" spans="3:12">
      <c r="C143" t="s">
        <v>171</v>
      </c>
      <c r="D143">
        <v>24.43</v>
      </c>
      <c r="E143">
        <v>11.53</v>
      </c>
      <c r="F143">
        <v>24.43</v>
      </c>
      <c r="G143" s="2">
        <v>269685994784.43</v>
      </c>
      <c r="H143">
        <v>17.1455</v>
      </c>
      <c r="I143">
        <v>16.7246</v>
      </c>
      <c r="J143" t="s">
        <v>172</v>
      </c>
      <c r="K143">
        <v>3.03</v>
      </c>
      <c r="L143">
        <v>1.6578</v>
      </c>
    </row>
    <row r="144" spans="3:12">
      <c r="C144">
        <v>1036</v>
      </c>
      <c r="D144">
        <v>5.39</v>
      </c>
      <c r="E144">
        <v>4.99</v>
      </c>
      <c r="F144">
        <v>10.14</v>
      </c>
      <c r="G144" s="2">
        <v>2041126363.68</v>
      </c>
      <c r="H144">
        <v>14.8386</v>
      </c>
      <c r="I144">
        <v>10.472</v>
      </c>
      <c r="J144" t="s">
        <v>173</v>
      </c>
      <c r="K144">
        <v>0.76</v>
      </c>
      <c r="L144">
        <v>15.2591729761211</v>
      </c>
    </row>
    <row r="145" spans="3:10">
      <c r="C145">
        <v>3908</v>
      </c>
      <c r="D145">
        <v>10.3</v>
      </c>
      <c r="E145">
        <v>10</v>
      </c>
      <c r="F145">
        <v>13</v>
      </c>
      <c r="G145" s="2">
        <v>16144283658.78</v>
      </c>
      <c r="H145">
        <v>17.5163</v>
      </c>
      <c r="I145" t="s">
        <v>174</v>
      </c>
      <c r="J145">
        <v>1.61</v>
      </c>
    </row>
    <row r="146" spans="3:10">
      <c r="C146">
        <v>1538</v>
      </c>
      <c r="D146">
        <v>1.23</v>
      </c>
      <c r="E146">
        <v>1.15</v>
      </c>
      <c r="F146">
        <v>2.1</v>
      </c>
      <c r="G146" s="2">
        <v>1000000000</v>
      </c>
      <c r="H146">
        <v>14.2732</v>
      </c>
      <c r="I146" t="s">
        <v>175</v>
      </c>
      <c r="J146">
        <v>2.42</v>
      </c>
    </row>
    <row r="147" spans="3:10">
      <c r="C147">
        <v>2120</v>
      </c>
      <c r="D147">
        <v>41</v>
      </c>
      <c r="E147">
        <v>41</v>
      </c>
      <c r="F147">
        <v>51.6</v>
      </c>
      <c r="G147" s="2">
        <v>830852000</v>
      </c>
      <c r="H147">
        <v>46.8352</v>
      </c>
      <c r="I147" t="s">
        <v>176</v>
      </c>
      <c r="J147">
        <v>3.23</v>
      </c>
    </row>
    <row r="148" spans="3:12">
      <c r="C148">
        <v>1233</v>
      </c>
      <c r="D148">
        <v>2.69</v>
      </c>
      <c r="E148">
        <v>2.5</v>
      </c>
      <c r="F148">
        <v>3.94</v>
      </c>
      <c r="G148" s="2">
        <v>4841517600</v>
      </c>
      <c r="H148">
        <v>3.0273</v>
      </c>
      <c r="I148">
        <v>2.898</v>
      </c>
      <c r="J148" t="s">
        <v>177</v>
      </c>
      <c r="K148">
        <v>0.65</v>
      </c>
      <c r="L148">
        <v>0.475389250748645</v>
      </c>
    </row>
    <row r="149" spans="3:11">
      <c r="C149">
        <v>6839</v>
      </c>
      <c r="D149">
        <v>4.02</v>
      </c>
      <c r="E149">
        <v>3.66</v>
      </c>
      <c r="F149">
        <v>7.72</v>
      </c>
      <c r="G149" s="2">
        <v>1425758488</v>
      </c>
      <c r="H149">
        <v>23.0279</v>
      </c>
      <c r="I149" t="s">
        <v>178</v>
      </c>
      <c r="J149">
        <v>0.97</v>
      </c>
      <c r="K149">
        <v>3.81401085058844</v>
      </c>
    </row>
    <row r="150" spans="3:10">
      <c r="C150">
        <v>651</v>
      </c>
      <c r="D150">
        <v>0.178</v>
      </c>
      <c r="E150">
        <v>0.127</v>
      </c>
      <c r="F150">
        <v>0.45</v>
      </c>
      <c r="G150" s="2">
        <v>2135641123.52</v>
      </c>
      <c r="H150" t="s">
        <v>179</v>
      </c>
      <c r="I150">
        <v>0</v>
      </c>
      <c r="J150">
        <v>13.5877862595419</v>
      </c>
    </row>
    <row r="151" spans="3:12">
      <c r="C151">
        <v>2014</v>
      </c>
      <c r="D151">
        <v>1.68</v>
      </c>
      <c r="E151">
        <v>1.26</v>
      </c>
      <c r="F151">
        <v>4.7</v>
      </c>
      <c r="G151" s="2">
        <v>2915508960</v>
      </c>
      <c r="H151">
        <v>18.8186</v>
      </c>
      <c r="I151">
        <v>16.552</v>
      </c>
      <c r="J151" t="s">
        <v>180</v>
      </c>
      <c r="K151">
        <v>1.23</v>
      </c>
      <c r="L151">
        <v>3.3245546620507</v>
      </c>
    </row>
    <row r="152" spans="3:10">
      <c r="C152">
        <v>169</v>
      </c>
      <c r="D152">
        <v>0.8</v>
      </c>
      <c r="E152">
        <v>0.69</v>
      </c>
      <c r="F152">
        <v>2.7</v>
      </c>
      <c r="G152" s="2">
        <v>3851824120.16</v>
      </c>
      <c r="H152" t="s">
        <v>181</v>
      </c>
      <c r="I152">
        <v>1.51</v>
      </c>
      <c r="J152">
        <v>10.2372034956304</v>
      </c>
    </row>
    <row r="153" spans="3:12">
      <c r="C153" t="s">
        <v>182</v>
      </c>
      <c r="D153">
        <v>88.32</v>
      </c>
      <c r="E153">
        <v>27.94</v>
      </c>
      <c r="F153">
        <v>248.66</v>
      </c>
      <c r="G153" s="2">
        <v>105216829670.4</v>
      </c>
      <c r="H153">
        <v>131.365</v>
      </c>
      <c r="I153">
        <v>98.9696</v>
      </c>
      <c r="J153" t="s">
        <v>183</v>
      </c>
      <c r="K153">
        <v>22.25</v>
      </c>
      <c r="L153">
        <v>15.2443</v>
      </c>
    </row>
    <row r="154" spans="3:9">
      <c r="C154">
        <v>2964</v>
      </c>
      <c r="D154">
        <v>14.7</v>
      </c>
      <c r="E154">
        <v>0.37</v>
      </c>
      <c r="F154">
        <v>14.6</v>
      </c>
      <c r="G154" s="2">
        <v>5048825751.8</v>
      </c>
      <c r="H154" t="s">
        <v>184</v>
      </c>
      <c r="I154">
        <v>0</v>
      </c>
    </row>
    <row r="155" spans="3:12">
      <c r="C155">
        <v>817</v>
      </c>
      <c r="D155">
        <v>1.96</v>
      </c>
      <c r="E155">
        <v>1.73</v>
      </c>
      <c r="F155">
        <v>3.34</v>
      </c>
      <c r="G155" s="2">
        <v>21770493642.36</v>
      </c>
      <c r="H155">
        <v>4.1107</v>
      </c>
      <c r="I155">
        <v>3.387</v>
      </c>
      <c r="J155" t="s">
        <v>185</v>
      </c>
      <c r="K155">
        <v>0.51</v>
      </c>
      <c r="L155">
        <v>1.37235116044399</v>
      </c>
    </row>
    <row r="156" spans="3:12">
      <c r="C156">
        <v>1918</v>
      </c>
      <c r="D156">
        <v>4.6</v>
      </c>
      <c r="E156">
        <v>3.83</v>
      </c>
      <c r="F156">
        <v>10.78</v>
      </c>
      <c r="G156" s="2">
        <v>16079391953.68</v>
      </c>
      <c r="H156">
        <v>3.991</v>
      </c>
      <c r="I156">
        <v>3.825</v>
      </c>
      <c r="J156" t="s">
        <v>186</v>
      </c>
      <c r="K156">
        <v>0.79</v>
      </c>
      <c r="L156">
        <v>1.04438653366502</v>
      </c>
    </row>
    <row r="157" spans="3:12">
      <c r="C157">
        <v>815</v>
      </c>
      <c r="D157">
        <v>1.96</v>
      </c>
      <c r="E157">
        <v>1.06</v>
      </c>
      <c r="F157">
        <v>6.4</v>
      </c>
      <c r="G157" s="2">
        <v>2456774655.54</v>
      </c>
      <c r="H157">
        <v>7.9117</v>
      </c>
      <c r="I157">
        <v>5.719</v>
      </c>
      <c r="J157" t="s">
        <v>187</v>
      </c>
      <c r="K157">
        <v>1.41</v>
      </c>
      <c r="L157">
        <v>1.75485015108127</v>
      </c>
    </row>
    <row r="158" spans="3:12">
      <c r="C158" t="s">
        <v>188</v>
      </c>
      <c r="D158">
        <v>14.5</v>
      </c>
      <c r="E158">
        <v>10.85</v>
      </c>
      <c r="F158">
        <v>30.17</v>
      </c>
      <c r="G158" s="2">
        <v>23252409923.03</v>
      </c>
      <c r="H158">
        <v>122.888</v>
      </c>
      <c r="I158">
        <v>66.8055</v>
      </c>
      <c r="J158" t="s">
        <v>189</v>
      </c>
      <c r="K158">
        <v>3.51</v>
      </c>
      <c r="L158">
        <v>9.8218</v>
      </c>
    </row>
    <row r="159" spans="3:12">
      <c r="C159" t="s">
        <v>190</v>
      </c>
      <c r="D159">
        <v>70.1</v>
      </c>
      <c r="E159">
        <v>51.2</v>
      </c>
      <c r="F159">
        <v>467.57</v>
      </c>
      <c r="G159" s="2">
        <v>17783009569.3</v>
      </c>
      <c r="H159">
        <v>396.2578</v>
      </c>
      <c r="I159">
        <v>381.4087</v>
      </c>
      <c r="J159" t="s">
        <v>191</v>
      </c>
      <c r="K159">
        <v>44.72</v>
      </c>
      <c r="L159">
        <v>63.5255</v>
      </c>
    </row>
    <row r="160" spans="3:10">
      <c r="C160">
        <v>8172</v>
      </c>
      <c r="D160">
        <v>0.8</v>
      </c>
      <c r="E160">
        <v>0.29</v>
      </c>
      <c r="F160">
        <v>2.29</v>
      </c>
      <c r="G160" s="2">
        <v>2336285595.26</v>
      </c>
      <c r="H160" t="s">
        <v>192</v>
      </c>
      <c r="I160">
        <v>2.48</v>
      </c>
      <c r="J160">
        <v>172.916666666666</v>
      </c>
    </row>
    <row r="161" spans="3:12">
      <c r="C161">
        <v>1011</v>
      </c>
      <c r="D161">
        <v>2.24</v>
      </c>
      <c r="E161">
        <v>0.85</v>
      </c>
      <c r="F161">
        <v>3.24</v>
      </c>
      <c r="G161" s="2">
        <v>3443175138</v>
      </c>
      <c r="H161">
        <v>1319.4341</v>
      </c>
      <c r="I161">
        <v>933.333</v>
      </c>
      <c r="J161" t="s">
        <v>193</v>
      </c>
      <c r="K161">
        <v>3.36</v>
      </c>
      <c r="L161">
        <v>2.98954365847042</v>
      </c>
    </row>
    <row r="162" spans="3:14">
      <c r="C162">
        <v>8326</v>
      </c>
      <c r="D162">
        <v>5.59</v>
      </c>
      <c r="E162">
        <v>1.28</v>
      </c>
      <c r="F162">
        <v>6.46</v>
      </c>
      <c r="G162" s="2">
        <v>2236000000</v>
      </c>
      <c r="H162">
        <v>4148.423</v>
      </c>
      <c r="I162">
        <v>4300</v>
      </c>
      <c r="J162" t="s">
        <v>194</v>
      </c>
      <c r="K162" t="s">
        <v>195</v>
      </c>
      <c r="L162" t="s">
        <v>196</v>
      </c>
      <c r="M162">
        <v>29.56</v>
      </c>
      <c r="N162">
        <v>8.31474044325449</v>
      </c>
    </row>
    <row r="163" spans="3:11">
      <c r="C163" t="s">
        <v>197</v>
      </c>
      <c r="D163">
        <v>13.54</v>
      </c>
      <c r="E163">
        <v>13.28</v>
      </c>
      <c r="F163">
        <v>32.99</v>
      </c>
      <c r="G163" s="2">
        <v>23127196823.32</v>
      </c>
      <c r="H163">
        <v>19.8141</v>
      </c>
      <c r="I163" t="s">
        <v>198</v>
      </c>
      <c r="J163">
        <v>3.13</v>
      </c>
      <c r="K163">
        <v>1.1187</v>
      </c>
    </row>
    <row r="164" spans="3:12">
      <c r="C164">
        <v>998</v>
      </c>
      <c r="D164">
        <v>4.26</v>
      </c>
      <c r="E164">
        <v>4.22</v>
      </c>
      <c r="F164">
        <v>7.4</v>
      </c>
      <c r="G164" s="2">
        <v>65927981988.11</v>
      </c>
      <c r="H164">
        <v>3.9172</v>
      </c>
      <c r="I164">
        <v>3.917</v>
      </c>
      <c r="J164" t="s">
        <v>199</v>
      </c>
      <c r="K164">
        <v>0.58</v>
      </c>
      <c r="L164">
        <v>1.13934825588916</v>
      </c>
    </row>
    <row r="165" spans="3:12">
      <c r="C165">
        <v>8247</v>
      </c>
      <c r="D165">
        <v>3.33</v>
      </c>
      <c r="E165">
        <v>2.11</v>
      </c>
      <c r="F165">
        <v>7.17</v>
      </c>
      <c r="G165" s="2">
        <v>214072856.19</v>
      </c>
      <c r="H165">
        <v>41.2117</v>
      </c>
      <c r="I165">
        <v>41.213</v>
      </c>
      <c r="J165" t="s">
        <v>200</v>
      </c>
      <c r="K165">
        <v>1.3</v>
      </c>
      <c r="L165">
        <v>1.15439238224162</v>
      </c>
    </row>
    <row r="166" spans="3:12">
      <c r="C166">
        <v>1336</v>
      </c>
      <c r="D166">
        <v>25.7</v>
      </c>
      <c r="E166">
        <v>25.55</v>
      </c>
      <c r="F166">
        <v>56.55</v>
      </c>
      <c r="G166" s="2">
        <v>27920896020</v>
      </c>
      <c r="H166">
        <v>10.5152</v>
      </c>
      <c r="I166">
        <v>10.011</v>
      </c>
      <c r="J166" t="s">
        <v>201</v>
      </c>
      <c r="K166">
        <v>1.17</v>
      </c>
      <c r="L166">
        <v>3.5</v>
      </c>
    </row>
    <row r="167" spans="3:11">
      <c r="C167" t="s">
        <v>202</v>
      </c>
      <c r="D167">
        <v>0.37</v>
      </c>
      <c r="E167">
        <v>0.321</v>
      </c>
      <c r="F167">
        <v>2.205</v>
      </c>
      <c r="G167" s="2">
        <v>330976370.82</v>
      </c>
      <c r="H167">
        <v>0.3849</v>
      </c>
      <c r="I167">
        <v>1.4938</v>
      </c>
      <c r="J167" t="s">
        <v>203</v>
      </c>
      <c r="K167">
        <v>71.13</v>
      </c>
    </row>
    <row r="168" spans="3:10">
      <c r="C168" t="s">
        <v>204</v>
      </c>
      <c r="D168">
        <v>0</v>
      </c>
      <c r="E168">
        <v>0</v>
      </c>
      <c r="F168">
        <v>0</v>
      </c>
      <c r="G168">
        <v>0</v>
      </c>
      <c r="H168" t="s">
        <v>205</v>
      </c>
      <c r="I168">
        <v>0</v>
      </c>
      <c r="J168" t="s">
        <v>45</v>
      </c>
    </row>
    <row r="169" spans="3:11">
      <c r="C169" t="s">
        <v>206</v>
      </c>
      <c r="D169">
        <v>100.238</v>
      </c>
      <c r="E169">
        <v>96</v>
      </c>
      <c r="F169">
        <v>104.9</v>
      </c>
      <c r="G169" s="2">
        <v>50000098550.78</v>
      </c>
      <c r="H169">
        <v>100.289</v>
      </c>
      <c r="I169">
        <v>111.052</v>
      </c>
      <c r="J169" t="s">
        <v>207</v>
      </c>
      <c r="K169">
        <v>1002550</v>
      </c>
    </row>
    <row r="170" spans="3:12">
      <c r="C170">
        <v>1398</v>
      </c>
      <c r="D170">
        <v>3.86</v>
      </c>
      <c r="E170">
        <v>3.82</v>
      </c>
      <c r="F170">
        <v>7.1</v>
      </c>
      <c r="G170" s="2">
        <v>340232654636</v>
      </c>
      <c r="H170">
        <v>4.0511</v>
      </c>
      <c r="I170">
        <v>3.934</v>
      </c>
      <c r="J170" t="s">
        <v>208</v>
      </c>
      <c r="K170">
        <v>0.68</v>
      </c>
      <c r="L170">
        <v>1.70591905912784</v>
      </c>
    </row>
    <row r="171" spans="3:12">
      <c r="C171">
        <v>3899</v>
      </c>
      <c r="D171">
        <v>3.68</v>
      </c>
      <c r="E171">
        <v>3.63</v>
      </c>
      <c r="F171">
        <v>10.48</v>
      </c>
      <c r="G171" s="2">
        <v>7142463954.72</v>
      </c>
      <c r="H171">
        <v>5.5819</v>
      </c>
      <c r="I171">
        <v>5.561</v>
      </c>
      <c r="J171" t="s">
        <v>209</v>
      </c>
      <c r="K171">
        <v>0.99</v>
      </c>
      <c r="L171">
        <v>0.672008323025229</v>
      </c>
    </row>
    <row r="172" spans="3:12">
      <c r="C172">
        <v>1359</v>
      </c>
      <c r="D172">
        <v>2.29</v>
      </c>
      <c r="E172">
        <v>2.25</v>
      </c>
      <c r="F172">
        <v>5.23</v>
      </c>
      <c r="G172" s="2">
        <v>27400430639.65</v>
      </c>
      <c r="H172">
        <v>5.7279</v>
      </c>
      <c r="I172">
        <v>5.58</v>
      </c>
      <c r="J172" t="s">
        <v>210</v>
      </c>
      <c r="K172">
        <v>0.67</v>
      </c>
      <c r="L172">
        <v>0.900152881965473</v>
      </c>
    </row>
    <row r="173" spans="3:12">
      <c r="C173">
        <v>376</v>
      </c>
      <c r="D173">
        <v>7.1</v>
      </c>
      <c r="E173">
        <v>2.4</v>
      </c>
      <c r="F173">
        <v>25</v>
      </c>
      <c r="G173" s="2">
        <v>17515155676.2</v>
      </c>
      <c r="H173">
        <v>23.081</v>
      </c>
      <c r="I173">
        <v>4.1</v>
      </c>
      <c r="J173" t="s">
        <v>211</v>
      </c>
      <c r="K173">
        <v>3.6</v>
      </c>
      <c r="L173">
        <v>13.5864507723804</v>
      </c>
    </row>
    <row r="174" spans="3:11">
      <c r="C174" t="s">
        <v>212</v>
      </c>
      <c r="D174">
        <v>7</v>
      </c>
      <c r="E174">
        <v>6.34</v>
      </c>
      <c r="F174">
        <v>10.39</v>
      </c>
      <c r="G174" s="2">
        <v>353500000</v>
      </c>
      <c r="H174">
        <v>9.5027</v>
      </c>
      <c r="I174" t="s">
        <v>213</v>
      </c>
      <c r="J174">
        <v>5.4</v>
      </c>
      <c r="K174">
        <v>2.23</v>
      </c>
    </row>
    <row r="175" spans="3:10">
      <c r="C175">
        <v>8130</v>
      </c>
      <c r="D175">
        <v>0.39</v>
      </c>
      <c r="E175">
        <v>0.18</v>
      </c>
      <c r="F175">
        <v>0.75</v>
      </c>
      <c r="G175" s="2">
        <v>361558350.62</v>
      </c>
      <c r="H175" t="s">
        <v>214</v>
      </c>
      <c r="I175">
        <v>1.37</v>
      </c>
      <c r="J175">
        <v>8.99532710280373</v>
      </c>
    </row>
    <row r="176" spans="3:13">
      <c r="C176">
        <v>613</v>
      </c>
      <c r="D176">
        <v>0.109</v>
      </c>
      <c r="E176">
        <v>0.074</v>
      </c>
      <c r="F176">
        <v>0.181</v>
      </c>
      <c r="G176" s="2">
        <v>1051496273.43</v>
      </c>
      <c r="H176">
        <v>3.5578</v>
      </c>
      <c r="I176">
        <v>3.428</v>
      </c>
      <c r="J176" t="s">
        <v>215</v>
      </c>
      <c r="K176" t="s">
        <v>88</v>
      </c>
      <c r="L176">
        <v>0.35</v>
      </c>
      <c r="M176">
        <v>19.1525423728813</v>
      </c>
    </row>
    <row r="177" spans="3:12">
      <c r="C177">
        <v>2238</v>
      </c>
      <c r="D177">
        <v>6.26</v>
      </c>
      <c r="E177">
        <v>4.71</v>
      </c>
      <c r="F177">
        <v>9.7</v>
      </c>
      <c r="G177" s="2">
        <v>14275786406.1</v>
      </c>
      <c r="H177">
        <v>10.1142</v>
      </c>
      <c r="I177">
        <v>10.115</v>
      </c>
      <c r="J177" t="s">
        <v>216</v>
      </c>
      <c r="K177">
        <v>0.93</v>
      </c>
      <c r="L177">
        <v>1.37743279457345</v>
      </c>
    </row>
    <row r="178" spans="3:12">
      <c r="C178">
        <v>75</v>
      </c>
      <c r="D178">
        <v>5.7</v>
      </c>
      <c r="E178">
        <v>2.2</v>
      </c>
      <c r="F178">
        <v>6.3</v>
      </c>
      <c r="G178" s="2">
        <v>4557477265.5</v>
      </c>
      <c r="H178">
        <v>9.4504</v>
      </c>
      <c r="I178">
        <v>9.451</v>
      </c>
      <c r="J178" t="s">
        <v>217</v>
      </c>
      <c r="K178">
        <v>0.71</v>
      </c>
      <c r="L178">
        <v>20.5701912666907</v>
      </c>
    </row>
    <row r="179" spans="3:12">
      <c r="C179">
        <v>1622</v>
      </c>
      <c r="D179">
        <v>5.42</v>
      </c>
      <c r="E179">
        <v>3.18</v>
      </c>
      <c r="F179">
        <v>6.15</v>
      </c>
      <c r="G179" s="2">
        <v>9553829076.18</v>
      </c>
      <c r="H179">
        <v>22.0062</v>
      </c>
      <c r="I179">
        <v>19.581</v>
      </c>
      <c r="J179" t="s">
        <v>218</v>
      </c>
      <c r="K179">
        <v>3.12</v>
      </c>
      <c r="L179">
        <v>2.07638671660544</v>
      </c>
    </row>
    <row r="180" spans="3:11">
      <c r="C180" t="s">
        <v>219</v>
      </c>
      <c r="D180">
        <v>69.51</v>
      </c>
      <c r="E180">
        <v>55.45</v>
      </c>
      <c r="F180">
        <v>82.9</v>
      </c>
      <c r="G180" s="2">
        <v>46936800000</v>
      </c>
      <c r="H180">
        <v>113.79</v>
      </c>
      <c r="I180" t="s">
        <v>220</v>
      </c>
      <c r="J180">
        <v>10.01</v>
      </c>
      <c r="K180">
        <v>7.32</v>
      </c>
    </row>
    <row r="181" spans="3:11">
      <c r="C181">
        <v>2686</v>
      </c>
      <c r="D181">
        <v>1.13</v>
      </c>
      <c r="E181">
        <v>1.1</v>
      </c>
      <c r="F181">
        <v>2.85</v>
      </c>
      <c r="G181" s="2">
        <v>3859065084.2</v>
      </c>
      <c r="H181">
        <v>15.828</v>
      </c>
      <c r="I181" t="s">
        <v>221</v>
      </c>
      <c r="J181">
        <v>0.71</v>
      </c>
      <c r="K181">
        <v>4.28173301224272</v>
      </c>
    </row>
    <row r="182" spans="3:12">
      <c r="C182">
        <v>95</v>
      </c>
      <c r="D182">
        <v>2.06</v>
      </c>
      <c r="E182">
        <v>1.7</v>
      </c>
      <c r="F182">
        <v>4.2</v>
      </c>
      <c r="G182" s="2">
        <v>9527973067.76</v>
      </c>
      <c r="H182">
        <v>583.6073</v>
      </c>
      <c r="I182">
        <v>170.248</v>
      </c>
      <c r="J182" t="s">
        <v>222</v>
      </c>
      <c r="K182">
        <v>3.49</v>
      </c>
      <c r="L182">
        <v>14.0874392782789</v>
      </c>
    </row>
    <row r="183" spans="3:11">
      <c r="C183" t="s">
        <v>223</v>
      </c>
      <c r="D183">
        <v>10.49</v>
      </c>
      <c r="E183">
        <v>5.55</v>
      </c>
      <c r="F183">
        <v>18.88</v>
      </c>
      <c r="G183" s="2">
        <v>128986441.92</v>
      </c>
      <c r="H183" t="s">
        <v>224</v>
      </c>
      <c r="I183" t="s">
        <v>225</v>
      </c>
      <c r="J183">
        <v>4.66</v>
      </c>
      <c r="K183">
        <v>32.88</v>
      </c>
    </row>
    <row r="184" spans="3:12">
      <c r="C184" t="s">
        <v>226</v>
      </c>
      <c r="D184">
        <v>22.4</v>
      </c>
      <c r="E184">
        <v>17.6</v>
      </c>
      <c r="F184">
        <v>51.06</v>
      </c>
      <c r="G184" s="2">
        <v>34088530003.08</v>
      </c>
      <c r="H184">
        <v>103.5103</v>
      </c>
      <c r="I184">
        <v>107.8534</v>
      </c>
      <c r="J184" t="s">
        <v>227</v>
      </c>
      <c r="K184">
        <v>5.45</v>
      </c>
      <c r="L184">
        <v>24.1607</v>
      </c>
    </row>
    <row r="185" spans="3:9">
      <c r="C185" t="s">
        <v>228</v>
      </c>
      <c r="D185">
        <v>2324.83</v>
      </c>
      <c r="E185">
        <v>2254.62</v>
      </c>
      <c r="F185">
        <v>4195.2</v>
      </c>
      <c r="G185" s="2">
        <v>7556451626447.68</v>
      </c>
      <c r="H185" t="s">
        <v>229</v>
      </c>
      <c r="I185">
        <v>0</v>
      </c>
    </row>
    <row r="186" spans="3:12">
      <c r="C186">
        <v>1293</v>
      </c>
      <c r="D186">
        <v>4.56</v>
      </c>
      <c r="E186">
        <v>2.1</v>
      </c>
      <c r="F186">
        <v>7.28</v>
      </c>
      <c r="G186" s="2">
        <v>11738059459.11</v>
      </c>
      <c r="H186">
        <v>13.2845</v>
      </c>
      <c r="I186">
        <v>13.198</v>
      </c>
      <c r="J186" t="s">
        <v>230</v>
      </c>
      <c r="K186">
        <v>1.72</v>
      </c>
      <c r="L186">
        <v>0.329570249011504</v>
      </c>
    </row>
    <row r="187" spans="3:12">
      <c r="C187">
        <v>1070</v>
      </c>
      <c r="D187">
        <v>4.3</v>
      </c>
      <c r="E187">
        <v>2.55</v>
      </c>
      <c r="F187">
        <v>8.88</v>
      </c>
      <c r="G187" s="2">
        <v>5948738817.45</v>
      </c>
      <c r="H187">
        <v>25.3679</v>
      </c>
      <c r="I187">
        <v>24.212</v>
      </c>
      <c r="J187" t="s">
        <v>231</v>
      </c>
      <c r="K187">
        <v>1.47</v>
      </c>
      <c r="L187">
        <v>0.174685647273438</v>
      </c>
    </row>
    <row r="188" spans="3:11">
      <c r="C188" t="s">
        <v>232</v>
      </c>
      <c r="D188">
        <v>0.813</v>
      </c>
      <c r="E188">
        <v>0.813</v>
      </c>
      <c r="F188">
        <v>1.629</v>
      </c>
      <c r="G188" s="2">
        <v>4318351310.34</v>
      </c>
      <c r="H188">
        <v>0.8316</v>
      </c>
      <c r="I188">
        <v>0.8316</v>
      </c>
      <c r="J188" t="s">
        <v>233</v>
      </c>
      <c r="K188">
        <v>18.73</v>
      </c>
    </row>
    <row r="189" spans="3:10">
      <c r="C189">
        <v>951</v>
      </c>
      <c r="D189">
        <v>4.57</v>
      </c>
      <c r="E189">
        <v>3.05</v>
      </c>
      <c r="F189">
        <v>6.96</v>
      </c>
      <c r="G189" s="2">
        <v>4446709155.42</v>
      </c>
      <c r="H189" t="s">
        <v>234</v>
      </c>
      <c r="I189">
        <v>1.45</v>
      </c>
      <c r="J189">
        <v>0.210063390287187</v>
      </c>
    </row>
    <row r="190" spans="3:12">
      <c r="C190">
        <v>8156</v>
      </c>
      <c r="D190">
        <v>0.88</v>
      </c>
      <c r="E190">
        <v>0.55</v>
      </c>
      <c r="F190">
        <v>1.65</v>
      </c>
      <c r="G190" s="2">
        <v>2961144262.56</v>
      </c>
      <c r="H190">
        <v>154.9769</v>
      </c>
      <c r="I190">
        <v>146.667</v>
      </c>
      <c r="J190" t="s">
        <v>235</v>
      </c>
      <c r="K190">
        <v>8.57</v>
      </c>
      <c r="L190">
        <v>39.3162393162393</v>
      </c>
    </row>
    <row r="191" spans="3:12">
      <c r="C191">
        <v>3330</v>
      </c>
      <c r="D191">
        <v>1.34</v>
      </c>
      <c r="E191">
        <v>1.08</v>
      </c>
      <c r="F191">
        <v>2.8</v>
      </c>
      <c r="G191" s="2">
        <v>404292640</v>
      </c>
      <c r="H191">
        <v>24.869</v>
      </c>
      <c r="I191">
        <v>24.497</v>
      </c>
      <c r="J191" t="s">
        <v>236</v>
      </c>
      <c r="K191">
        <v>0.54</v>
      </c>
      <c r="L191">
        <v>0.152211611889005</v>
      </c>
    </row>
    <row r="192" spans="3:10">
      <c r="C192">
        <v>8046</v>
      </c>
      <c r="D192">
        <v>0.265</v>
      </c>
      <c r="E192">
        <v>0.081</v>
      </c>
      <c r="F192">
        <v>0.35</v>
      </c>
      <c r="G192" s="2">
        <v>1420251350.76</v>
      </c>
      <c r="H192" t="s">
        <v>237</v>
      </c>
      <c r="I192">
        <v>3.04</v>
      </c>
      <c r="J192">
        <v>48.2142857142857</v>
      </c>
    </row>
    <row r="193" spans="3:12">
      <c r="C193">
        <v>218</v>
      </c>
      <c r="D193">
        <v>2.8</v>
      </c>
      <c r="E193">
        <v>2.24</v>
      </c>
      <c r="F193">
        <v>9.75</v>
      </c>
      <c r="G193" s="2">
        <v>2364531906.33</v>
      </c>
      <c r="H193">
        <v>25.1723</v>
      </c>
      <c r="I193">
        <v>21.148</v>
      </c>
      <c r="J193" t="s">
        <v>238</v>
      </c>
      <c r="K193">
        <v>1.17</v>
      </c>
      <c r="L193">
        <v>2.72602111060119</v>
      </c>
    </row>
    <row r="194" spans="3:12">
      <c r="C194" t="s">
        <v>239</v>
      </c>
      <c r="D194">
        <v>89.43</v>
      </c>
      <c r="E194">
        <v>39.8</v>
      </c>
      <c r="F194">
        <v>136.35</v>
      </c>
      <c r="G194" s="2">
        <v>14413335165</v>
      </c>
      <c r="H194">
        <v>28.86</v>
      </c>
      <c r="I194">
        <v>26.1437</v>
      </c>
      <c r="J194" t="s">
        <v>240</v>
      </c>
      <c r="K194">
        <v>5.04</v>
      </c>
      <c r="L194">
        <v>2.95</v>
      </c>
    </row>
    <row r="195" spans="3:12">
      <c r="C195">
        <v>3380</v>
      </c>
      <c r="D195">
        <v>2.18</v>
      </c>
      <c r="E195">
        <v>2.11</v>
      </c>
      <c r="F195">
        <v>3.7</v>
      </c>
      <c r="G195" s="2">
        <v>12560072040</v>
      </c>
      <c r="H195">
        <v>4.2787</v>
      </c>
      <c r="I195">
        <v>3.713</v>
      </c>
      <c r="J195" t="s">
        <v>241</v>
      </c>
      <c r="K195">
        <v>0.79</v>
      </c>
      <c r="L195">
        <v>0.868048387168017</v>
      </c>
    </row>
    <row r="196" spans="3:10">
      <c r="C196">
        <v>8197</v>
      </c>
      <c r="D196">
        <v>1.75</v>
      </c>
      <c r="E196">
        <v>0.18</v>
      </c>
      <c r="F196">
        <v>2.6</v>
      </c>
      <c r="G196" s="2">
        <v>366390000</v>
      </c>
      <c r="H196" t="s">
        <v>242</v>
      </c>
      <c r="I196">
        <v>16.02</v>
      </c>
      <c r="J196">
        <v>47.602975051469</v>
      </c>
    </row>
    <row r="197" spans="3:10">
      <c r="C197" t="s">
        <v>243</v>
      </c>
      <c r="D197">
        <v>0.1366</v>
      </c>
      <c r="E197">
        <v>0.13</v>
      </c>
      <c r="F197">
        <v>0.56</v>
      </c>
      <c r="G197">
        <v>6101137.98</v>
      </c>
      <c r="H197" t="s">
        <v>244</v>
      </c>
      <c r="I197">
        <v>0.08</v>
      </c>
      <c r="J197">
        <v>0.31</v>
      </c>
    </row>
    <row r="198" spans="3:10">
      <c r="C198">
        <v>1495</v>
      </c>
      <c r="D198">
        <v>0.85</v>
      </c>
      <c r="E198">
        <v>0.74</v>
      </c>
      <c r="F198">
        <v>1.76</v>
      </c>
      <c r="G198" s="2">
        <v>298800000</v>
      </c>
      <c r="H198">
        <v>5.6891</v>
      </c>
      <c r="I198" t="s">
        <v>245</v>
      </c>
      <c r="J198">
        <v>1</v>
      </c>
    </row>
    <row r="199" spans="3:10">
      <c r="C199" t="s">
        <v>246</v>
      </c>
      <c r="D199">
        <v>0.49</v>
      </c>
      <c r="E199">
        <v>0.352</v>
      </c>
      <c r="F199">
        <v>4.9</v>
      </c>
      <c r="G199">
        <v>4085620</v>
      </c>
      <c r="H199" t="s">
        <v>247</v>
      </c>
      <c r="I199">
        <v>0.02</v>
      </c>
      <c r="J199">
        <v>0.02</v>
      </c>
    </row>
    <row r="200" spans="3:9">
      <c r="C200" t="s">
        <v>248</v>
      </c>
      <c r="D200">
        <v>0</v>
      </c>
      <c r="E200">
        <v>0</v>
      </c>
      <c r="F200">
        <v>0</v>
      </c>
      <c r="G200">
        <v>0</v>
      </c>
      <c r="H200" t="s">
        <v>249</v>
      </c>
      <c r="I200">
        <v>0</v>
      </c>
    </row>
    <row r="201" spans="3:12">
      <c r="C201">
        <v>1105</v>
      </c>
      <c r="D201">
        <v>1.14</v>
      </c>
      <c r="E201">
        <v>0.99</v>
      </c>
      <c r="F201">
        <v>1.55</v>
      </c>
      <c r="G201" s="2">
        <v>1012466914.29</v>
      </c>
      <c r="H201">
        <v>8.6409</v>
      </c>
      <c r="I201">
        <v>8.37</v>
      </c>
      <c r="J201" t="s">
        <v>250</v>
      </c>
      <c r="K201">
        <v>0.49</v>
      </c>
      <c r="L201">
        <v>0.543175487465181</v>
      </c>
    </row>
    <row r="202" spans="3:12">
      <c r="C202">
        <v>419</v>
      </c>
      <c r="D202">
        <v>0.79</v>
      </c>
      <c r="E202">
        <v>0.43</v>
      </c>
      <c r="F202">
        <v>1.98</v>
      </c>
      <c r="G202" s="2">
        <v>5394994240.77</v>
      </c>
      <c r="H202">
        <v>97.7744</v>
      </c>
      <c r="I202">
        <v>73.832</v>
      </c>
      <c r="J202" t="s">
        <v>251</v>
      </c>
      <c r="K202">
        <v>2.31</v>
      </c>
      <c r="L202">
        <v>40.7035175879397</v>
      </c>
    </row>
    <row r="203" spans="3:10">
      <c r="C203" t="s">
        <v>252</v>
      </c>
      <c r="D203">
        <v>7.75</v>
      </c>
      <c r="E203">
        <v>0.47</v>
      </c>
      <c r="F203">
        <v>20.85</v>
      </c>
      <c r="G203" s="2">
        <v>213714790.36</v>
      </c>
      <c r="H203" t="s">
        <v>253</v>
      </c>
      <c r="I203">
        <v>0.35</v>
      </c>
      <c r="J203">
        <v>0.34</v>
      </c>
    </row>
    <row r="204" spans="3:12">
      <c r="C204">
        <v>1332</v>
      </c>
      <c r="D204">
        <v>0.248</v>
      </c>
      <c r="E204">
        <v>0.03</v>
      </c>
      <c r="F204">
        <v>0.7</v>
      </c>
      <c r="G204" s="2">
        <v>1154800338.65</v>
      </c>
      <c r="H204">
        <v>108.5226</v>
      </c>
      <c r="I204">
        <v>85.517</v>
      </c>
      <c r="J204" t="s">
        <v>254</v>
      </c>
      <c r="K204">
        <v>1.86</v>
      </c>
      <c r="L204">
        <v>5.35714285714285</v>
      </c>
    </row>
    <row r="205" spans="3:12">
      <c r="C205" t="s">
        <v>255</v>
      </c>
      <c r="D205">
        <v>54.47</v>
      </c>
      <c r="E205">
        <v>20.72</v>
      </c>
      <c r="F205">
        <v>90</v>
      </c>
      <c r="G205" s="2">
        <v>5282073325.37</v>
      </c>
      <c r="H205">
        <v>2685.9608</v>
      </c>
      <c r="I205">
        <v>1287.4567</v>
      </c>
      <c r="J205" t="s">
        <v>256</v>
      </c>
      <c r="K205">
        <v>33.18</v>
      </c>
      <c r="L205">
        <v>204.5724</v>
      </c>
    </row>
    <row r="206" spans="3:12">
      <c r="C206" t="s">
        <v>257</v>
      </c>
      <c r="D206">
        <v>37.02</v>
      </c>
      <c r="E206">
        <v>8.88</v>
      </c>
      <c r="F206">
        <v>77.58</v>
      </c>
      <c r="G206" s="2">
        <v>16522239888</v>
      </c>
      <c r="H206">
        <v>218.6994</v>
      </c>
      <c r="I206">
        <v>246.4885</v>
      </c>
      <c r="J206" t="s">
        <v>258</v>
      </c>
      <c r="K206">
        <v>18.78</v>
      </c>
      <c r="L206">
        <v>21.0935</v>
      </c>
    </row>
    <row r="207" spans="3:12">
      <c r="C207" t="s">
        <v>259</v>
      </c>
      <c r="D207">
        <v>13.22</v>
      </c>
      <c r="E207">
        <v>6.2</v>
      </c>
      <c r="F207">
        <v>13.35</v>
      </c>
      <c r="G207" s="2">
        <v>832292250.26</v>
      </c>
      <c r="H207">
        <v>23.75</v>
      </c>
      <c r="I207">
        <v>1327</v>
      </c>
      <c r="J207" t="s">
        <v>260</v>
      </c>
      <c r="K207">
        <v>3.57</v>
      </c>
      <c r="L207">
        <v>2.59</v>
      </c>
    </row>
    <row r="208" spans="3:12">
      <c r="C208" t="s">
        <v>261</v>
      </c>
      <c r="D208">
        <v>60.15</v>
      </c>
      <c r="E208">
        <v>25.52</v>
      </c>
      <c r="F208">
        <v>73.29</v>
      </c>
      <c r="G208" s="2">
        <v>36500100775.2</v>
      </c>
      <c r="H208">
        <v>119.9254</v>
      </c>
      <c r="I208">
        <v>106.2868</v>
      </c>
      <c r="J208" t="s">
        <v>262</v>
      </c>
      <c r="K208">
        <v>13.02</v>
      </c>
      <c r="L208">
        <v>29.1326</v>
      </c>
    </row>
    <row r="209" spans="3:11">
      <c r="C209" t="s">
        <v>263</v>
      </c>
      <c r="D209">
        <v>1.43</v>
      </c>
      <c r="E209">
        <v>1.39</v>
      </c>
      <c r="F209">
        <v>5.35</v>
      </c>
      <c r="G209" s="2">
        <v>91946577.8</v>
      </c>
      <c r="H209">
        <v>5.5</v>
      </c>
      <c r="I209" t="s">
        <v>264</v>
      </c>
      <c r="J209">
        <v>0.92</v>
      </c>
      <c r="K209">
        <v>1.34</v>
      </c>
    </row>
    <row r="210" spans="3:11">
      <c r="C210" t="s">
        <v>265</v>
      </c>
      <c r="D210">
        <v>21.89</v>
      </c>
      <c r="E210">
        <v>14.35</v>
      </c>
      <c r="F210">
        <v>52.98</v>
      </c>
      <c r="G210" s="2">
        <v>3130729875</v>
      </c>
      <c r="H210">
        <v>38.5541</v>
      </c>
      <c r="I210" t="s">
        <v>266</v>
      </c>
      <c r="J210">
        <v>11.58</v>
      </c>
      <c r="K210">
        <v>27.2088</v>
      </c>
    </row>
    <row r="211" spans="3:12">
      <c r="C211" t="s">
        <v>267</v>
      </c>
      <c r="D211">
        <v>29.96</v>
      </c>
      <c r="E211">
        <v>7.9</v>
      </c>
      <c r="F211">
        <v>62.34</v>
      </c>
      <c r="G211" s="2">
        <v>128621609312.5</v>
      </c>
      <c r="H211">
        <v>19513.9016</v>
      </c>
      <c r="I211">
        <v>44972.5389</v>
      </c>
      <c r="J211" t="s">
        <v>268</v>
      </c>
      <c r="K211">
        <v>261.07</v>
      </c>
      <c r="L211">
        <v>301.1562</v>
      </c>
    </row>
    <row r="212" spans="3:11">
      <c r="C212" t="s">
        <v>269</v>
      </c>
      <c r="D212">
        <v>120</v>
      </c>
      <c r="E212">
        <v>34.82</v>
      </c>
      <c r="F212">
        <v>231.1</v>
      </c>
      <c r="G212" s="2">
        <v>8639400000</v>
      </c>
      <c r="H212">
        <v>816.4638</v>
      </c>
      <c r="I212" t="s">
        <v>270</v>
      </c>
      <c r="J212">
        <v>14.64</v>
      </c>
      <c r="K212">
        <v>17.151</v>
      </c>
    </row>
    <row r="213" spans="3:9">
      <c r="C213" t="s">
        <v>271</v>
      </c>
      <c r="D213">
        <v>15882.68</v>
      </c>
      <c r="E213">
        <v>15370.33</v>
      </c>
      <c r="F213">
        <v>18351.36</v>
      </c>
      <c r="G213">
        <v>0</v>
      </c>
      <c r="H213" t="s">
        <v>272</v>
      </c>
      <c r="I213">
        <v>0</v>
      </c>
    </row>
    <row r="214" spans="3:12">
      <c r="C214">
        <v>735</v>
      </c>
      <c r="D214">
        <v>0.58</v>
      </c>
      <c r="E214">
        <v>0.38</v>
      </c>
      <c r="F214">
        <v>0.84</v>
      </c>
      <c r="G214" s="2">
        <v>7001137161.48</v>
      </c>
      <c r="H214">
        <v>20.3759</v>
      </c>
      <c r="I214">
        <v>19.661</v>
      </c>
      <c r="J214" t="s">
        <v>273</v>
      </c>
      <c r="K214">
        <v>0.7</v>
      </c>
      <c r="L214">
        <v>2.19601904179277</v>
      </c>
    </row>
    <row r="215" spans="3:11">
      <c r="C215" t="s">
        <v>274</v>
      </c>
      <c r="D215">
        <v>10.02</v>
      </c>
      <c r="E215">
        <v>8.27</v>
      </c>
      <c r="F215">
        <v>14.78</v>
      </c>
      <c r="G215" s="2">
        <v>3249364974.65</v>
      </c>
      <c r="H215" t="s">
        <v>275</v>
      </c>
      <c r="I215" t="s">
        <v>276</v>
      </c>
      <c r="J215">
        <v>-5.53</v>
      </c>
      <c r="K215">
        <v>1.37</v>
      </c>
    </row>
    <row r="216" spans="3:10">
      <c r="C216">
        <v>8101</v>
      </c>
      <c r="D216">
        <v>0.056</v>
      </c>
      <c r="E216">
        <v>0.055</v>
      </c>
      <c r="F216">
        <v>0.56</v>
      </c>
      <c r="G216" s="2">
        <v>138816000</v>
      </c>
      <c r="H216" t="s">
        <v>277</v>
      </c>
      <c r="I216">
        <v>0.53</v>
      </c>
      <c r="J216">
        <v>1.69491525423728</v>
      </c>
    </row>
    <row r="217" spans="3:12">
      <c r="C217">
        <v>806</v>
      </c>
      <c r="D217">
        <v>6.21</v>
      </c>
      <c r="E217">
        <v>5.34</v>
      </c>
      <c r="F217">
        <v>18.1</v>
      </c>
      <c r="G217" s="2">
        <v>11998159253.19</v>
      </c>
      <c r="H217">
        <v>14.9198</v>
      </c>
      <c r="I217">
        <v>13.669</v>
      </c>
      <c r="J217" t="s">
        <v>278</v>
      </c>
      <c r="K217">
        <v>3.08</v>
      </c>
      <c r="L217">
        <v>6.35526831179005</v>
      </c>
    </row>
    <row r="218" spans="3:12">
      <c r="C218">
        <v>2371</v>
      </c>
      <c r="D218">
        <v>0.156</v>
      </c>
      <c r="E218">
        <v>0.15</v>
      </c>
      <c r="F218">
        <v>0.86</v>
      </c>
      <c r="G218" s="2">
        <v>730446044.75</v>
      </c>
      <c r="H218">
        <v>23.9528</v>
      </c>
      <c r="I218">
        <v>21.37</v>
      </c>
      <c r="J218" t="s">
        <v>279</v>
      </c>
      <c r="K218">
        <v>0.85</v>
      </c>
      <c r="L218">
        <v>8.10192949773197</v>
      </c>
    </row>
    <row r="219" spans="3:12">
      <c r="C219">
        <v>585</v>
      </c>
      <c r="D219">
        <v>0.096</v>
      </c>
      <c r="E219">
        <v>0.087</v>
      </c>
      <c r="F219">
        <v>0.47</v>
      </c>
      <c r="G219" s="2">
        <v>947037208.4</v>
      </c>
      <c r="H219">
        <v>274.1063</v>
      </c>
      <c r="I219">
        <v>320</v>
      </c>
      <c r="J219" t="s">
        <v>280</v>
      </c>
      <c r="K219">
        <v>1.03</v>
      </c>
      <c r="L219">
        <v>86.3636363636363</v>
      </c>
    </row>
    <row r="220" spans="3:9">
      <c r="C220">
        <v>2669</v>
      </c>
      <c r="D220">
        <v>0.93</v>
      </c>
      <c r="E220">
        <v>0.89</v>
      </c>
      <c r="F220">
        <v>1.86</v>
      </c>
      <c r="G220">
        <v>0</v>
      </c>
      <c r="H220" t="s">
        <v>281</v>
      </c>
      <c r="I220">
        <v>0</v>
      </c>
    </row>
    <row r="221" spans="3:12">
      <c r="C221">
        <v>861</v>
      </c>
      <c r="D221">
        <v>7.96</v>
      </c>
      <c r="E221">
        <v>5.82</v>
      </c>
      <c r="F221">
        <v>15.4</v>
      </c>
      <c r="G221" s="2">
        <v>8770924648</v>
      </c>
      <c r="H221">
        <v>12.5129</v>
      </c>
      <c r="I221">
        <v>12.177</v>
      </c>
      <c r="J221" t="s">
        <v>282</v>
      </c>
      <c r="K221">
        <v>1</v>
      </c>
      <c r="L221">
        <v>0.120171364365585</v>
      </c>
    </row>
    <row r="222" spans="3:12">
      <c r="C222">
        <v>1082</v>
      </c>
      <c r="D222">
        <v>0.126</v>
      </c>
      <c r="E222">
        <v>0.08</v>
      </c>
      <c r="F222">
        <v>0.909</v>
      </c>
      <c r="G222" s="2">
        <v>292041523.2</v>
      </c>
      <c r="H222">
        <v>8.7041</v>
      </c>
      <c r="I222">
        <v>1.915</v>
      </c>
      <c r="J222" t="s">
        <v>283</v>
      </c>
      <c r="K222">
        <v>0.41</v>
      </c>
      <c r="L222">
        <v>0.192221054212344</v>
      </c>
    </row>
    <row r="223" spans="3:11">
      <c r="C223">
        <v>2699</v>
      </c>
      <c r="D223">
        <v>1.41</v>
      </c>
      <c r="E223">
        <v>1.01</v>
      </c>
      <c r="F223">
        <v>1.75</v>
      </c>
      <c r="G223" s="2">
        <v>2744800000</v>
      </c>
      <c r="H223">
        <v>6.6483</v>
      </c>
      <c r="I223" t="s">
        <v>284</v>
      </c>
      <c r="J223">
        <v>1.47</v>
      </c>
      <c r="K223">
        <v>1.1269064459095</v>
      </c>
    </row>
    <row r="224" spans="3:9">
      <c r="C224">
        <v>2800</v>
      </c>
      <c r="D224">
        <v>18.76</v>
      </c>
      <c r="E224">
        <v>18.74</v>
      </c>
      <c r="F224">
        <v>29.05</v>
      </c>
      <c r="G224" s="2">
        <v>47237255100</v>
      </c>
      <c r="H224" t="s">
        <v>285</v>
      </c>
      <c r="I224">
        <v>0</v>
      </c>
    </row>
    <row r="225" spans="3:10">
      <c r="C225">
        <v>1508</v>
      </c>
      <c r="D225">
        <v>1.8</v>
      </c>
      <c r="E225">
        <v>1.79</v>
      </c>
      <c r="F225">
        <v>2.81</v>
      </c>
      <c r="G225" s="2">
        <v>12624097563</v>
      </c>
      <c r="H225">
        <v>11.881</v>
      </c>
      <c r="I225" t="s">
        <v>286</v>
      </c>
      <c r="J225">
        <v>0.93</v>
      </c>
    </row>
    <row r="226" spans="3:10">
      <c r="C226">
        <v>2379</v>
      </c>
      <c r="D226">
        <v>0.97</v>
      </c>
      <c r="E226">
        <v>0.7</v>
      </c>
      <c r="F226">
        <v>5.4</v>
      </c>
      <c r="G226" s="2">
        <v>280484939.56</v>
      </c>
      <c r="H226" t="s">
        <v>287</v>
      </c>
      <c r="I226">
        <v>2.16</v>
      </c>
      <c r="J226">
        <v>30.9831849828928</v>
      </c>
    </row>
    <row r="227" spans="3:10">
      <c r="C227">
        <v>8078</v>
      </c>
      <c r="D227">
        <v>0.345</v>
      </c>
      <c r="E227">
        <v>0.29</v>
      </c>
      <c r="F227">
        <v>19.5</v>
      </c>
      <c r="G227" s="2">
        <v>1379792960.64</v>
      </c>
      <c r="H227" t="s">
        <v>288</v>
      </c>
      <c r="I227">
        <v>2.89</v>
      </c>
      <c r="J227">
        <v>3.17460317460317</v>
      </c>
    </row>
    <row r="228" spans="3:10">
      <c r="C228">
        <v>1476</v>
      </c>
      <c r="D228">
        <v>3.88</v>
      </c>
      <c r="E228">
        <v>3.6</v>
      </c>
      <c r="F228">
        <v>7.09</v>
      </c>
      <c r="G228" s="2">
        <v>1839451680</v>
      </c>
      <c r="H228">
        <v>12.3558</v>
      </c>
      <c r="I228" t="s">
        <v>289</v>
      </c>
      <c r="J228">
        <v>1.37</v>
      </c>
    </row>
    <row r="229" spans="3:10">
      <c r="C229">
        <v>1532</v>
      </c>
      <c r="D229">
        <v>0.5</v>
      </c>
      <c r="E229">
        <v>0.49</v>
      </c>
      <c r="F229">
        <v>1.26</v>
      </c>
      <c r="G229" s="2">
        <v>385679340</v>
      </c>
      <c r="H229">
        <v>5.2654</v>
      </c>
      <c r="I229" t="s">
        <v>290</v>
      </c>
      <c r="J229">
        <v>1.18</v>
      </c>
    </row>
    <row r="230" spans="3:11">
      <c r="C230">
        <v>8248</v>
      </c>
      <c r="D230">
        <v>0.128</v>
      </c>
      <c r="E230">
        <v>0</v>
      </c>
      <c r="F230">
        <v>5.6</v>
      </c>
      <c r="G230" s="2">
        <v>155232000</v>
      </c>
      <c r="H230">
        <v>8.1188</v>
      </c>
      <c r="I230" t="s">
        <v>291</v>
      </c>
      <c r="J230">
        <v>2.45</v>
      </c>
      <c r="K230">
        <v>0.465631929046563</v>
      </c>
    </row>
    <row r="231" spans="3:12">
      <c r="C231" t="s">
        <v>292</v>
      </c>
      <c r="D231">
        <v>66.49</v>
      </c>
      <c r="E231">
        <v>33.75</v>
      </c>
      <c r="F231">
        <v>181.87</v>
      </c>
      <c r="G231" s="2">
        <v>35831040000</v>
      </c>
      <c r="H231">
        <v>592.6844</v>
      </c>
      <c r="I231">
        <v>67.8233</v>
      </c>
      <c r="J231" t="s">
        <v>293</v>
      </c>
      <c r="K231">
        <v>21.59</v>
      </c>
      <c r="L231">
        <v>41.0352</v>
      </c>
    </row>
    <row r="232" spans="3:11">
      <c r="C232">
        <v>8057</v>
      </c>
      <c r="D232">
        <v>10.02</v>
      </c>
      <c r="E232">
        <v>5.8</v>
      </c>
      <c r="F232">
        <v>10.6</v>
      </c>
      <c r="G232" s="2">
        <v>4072000000</v>
      </c>
      <c r="H232">
        <v>287.5909</v>
      </c>
      <c r="I232" t="s">
        <v>294</v>
      </c>
      <c r="J232">
        <v>38.13</v>
      </c>
      <c r="K232">
        <v>33.0626826891848</v>
      </c>
    </row>
    <row r="233" spans="3:12">
      <c r="C233" t="s">
        <v>295</v>
      </c>
      <c r="D233">
        <v>40.77</v>
      </c>
      <c r="E233">
        <v>29.01</v>
      </c>
      <c r="F233">
        <v>102.84</v>
      </c>
      <c r="G233" s="2">
        <v>76380352542.4</v>
      </c>
      <c r="H233">
        <v>460.8894</v>
      </c>
      <c r="I233">
        <v>48.3883</v>
      </c>
      <c r="J233" t="s">
        <v>296</v>
      </c>
      <c r="K233">
        <v>22.85</v>
      </c>
      <c r="L233">
        <v>29.6616</v>
      </c>
    </row>
    <row r="234" spans="3:12">
      <c r="C234">
        <v>371</v>
      </c>
      <c r="D234">
        <v>4.06</v>
      </c>
      <c r="E234">
        <v>3.98</v>
      </c>
      <c r="F234">
        <v>7.37</v>
      </c>
      <c r="G234" s="2">
        <v>37246993066.92</v>
      </c>
      <c r="H234">
        <v>20.7572</v>
      </c>
      <c r="I234">
        <v>19.557</v>
      </c>
      <c r="J234" t="s">
        <v>297</v>
      </c>
      <c r="K234">
        <v>2.25</v>
      </c>
      <c r="L234">
        <v>3.04412917943965</v>
      </c>
    </row>
    <row r="235" spans="3:10">
      <c r="C235" t="s">
        <v>298</v>
      </c>
      <c r="D235">
        <v>186.69</v>
      </c>
      <c r="E235">
        <v>181.02</v>
      </c>
      <c r="F235">
        <v>213.78</v>
      </c>
      <c r="G235" s="2">
        <v>177360000000</v>
      </c>
      <c r="H235">
        <v>8.8821</v>
      </c>
      <c r="I235" t="s">
        <v>299</v>
      </c>
      <c r="J235">
        <v>0</v>
      </c>
    </row>
    <row r="236" spans="3:9">
      <c r="C236" t="s">
        <v>300</v>
      </c>
      <c r="D236">
        <v>2112.4</v>
      </c>
      <c r="E236">
        <v>1660.05</v>
      </c>
      <c r="F236">
        <v>4037.96</v>
      </c>
      <c r="G236">
        <v>0</v>
      </c>
      <c r="H236" t="s">
        <v>301</v>
      </c>
      <c r="I236">
        <v>0</v>
      </c>
    </row>
    <row r="237" spans="3:11">
      <c r="C237">
        <v>2878</v>
      </c>
      <c r="D237">
        <v>0.305</v>
      </c>
      <c r="E237">
        <v>0.27</v>
      </c>
      <c r="F237">
        <v>0.67</v>
      </c>
      <c r="G237" s="2">
        <v>767901728.81</v>
      </c>
      <c r="H237" t="s">
        <v>302</v>
      </c>
      <c r="I237" t="s">
        <v>303</v>
      </c>
      <c r="J237">
        <v>0.85</v>
      </c>
      <c r="K237">
        <v>1.41302644465316</v>
      </c>
    </row>
    <row r="238" spans="3:12">
      <c r="C238">
        <v>129</v>
      </c>
      <c r="D238">
        <v>1.14</v>
      </c>
      <c r="E238">
        <v>1.14</v>
      </c>
      <c r="F238">
        <v>2.27</v>
      </c>
      <c r="G238" s="2">
        <v>1545988777.27</v>
      </c>
      <c r="H238">
        <v>1.5987</v>
      </c>
      <c r="I238">
        <v>1.488</v>
      </c>
      <c r="J238" t="s">
        <v>304</v>
      </c>
      <c r="K238">
        <v>0.1</v>
      </c>
      <c r="L238">
        <v>1.12094951017332</v>
      </c>
    </row>
    <row r="239" spans="3:10">
      <c r="C239">
        <v>1533</v>
      </c>
      <c r="D239">
        <v>5.35</v>
      </c>
      <c r="E239">
        <v>5</v>
      </c>
      <c r="F239">
        <v>5.85</v>
      </c>
      <c r="G239" s="2">
        <v>188296800</v>
      </c>
      <c r="H239">
        <v>9.2078</v>
      </c>
      <c r="I239" t="s">
        <v>305</v>
      </c>
      <c r="J239">
        <v>1</v>
      </c>
    </row>
    <row r="240" spans="3:12">
      <c r="C240" t="s">
        <v>306</v>
      </c>
      <c r="D240">
        <v>9.71</v>
      </c>
      <c r="E240">
        <v>9.2</v>
      </c>
      <c r="F240">
        <v>21.88</v>
      </c>
      <c r="G240" s="2">
        <v>44843947797.12</v>
      </c>
      <c r="H240">
        <v>28.7703</v>
      </c>
      <c r="I240">
        <v>18.8248</v>
      </c>
      <c r="J240" t="s">
        <v>307</v>
      </c>
      <c r="K240">
        <v>4.42</v>
      </c>
      <c r="L240">
        <v>5.4763</v>
      </c>
    </row>
    <row r="241" spans="3:12">
      <c r="C241">
        <v>686</v>
      </c>
      <c r="D241">
        <v>0.56</v>
      </c>
      <c r="E241">
        <v>0.55</v>
      </c>
      <c r="F241">
        <v>1.61</v>
      </c>
      <c r="G241" s="2">
        <v>2803247131.75</v>
      </c>
      <c r="H241">
        <v>7.6463</v>
      </c>
      <c r="I241">
        <v>6.243</v>
      </c>
      <c r="J241" t="s">
        <v>308</v>
      </c>
      <c r="K241">
        <v>1.11</v>
      </c>
      <c r="L241">
        <v>2.78257365613954</v>
      </c>
    </row>
    <row r="242" spans="3:12">
      <c r="C242">
        <v>8105</v>
      </c>
      <c r="D242">
        <v>1.54</v>
      </c>
      <c r="E242">
        <v>1.08</v>
      </c>
      <c r="F242">
        <v>5.38</v>
      </c>
      <c r="G242" s="2">
        <v>840000000</v>
      </c>
      <c r="H242">
        <v>32.0256</v>
      </c>
      <c r="I242">
        <v>24.483</v>
      </c>
      <c r="J242" t="s">
        <v>309</v>
      </c>
      <c r="K242">
        <v>7.38</v>
      </c>
      <c r="L242">
        <v>7.35229759299781</v>
      </c>
    </row>
    <row r="243" spans="3:12">
      <c r="C243">
        <v>798</v>
      </c>
      <c r="D243">
        <v>0.86</v>
      </c>
      <c r="E243">
        <v>0.4</v>
      </c>
      <c r="F243">
        <v>1.4</v>
      </c>
      <c r="G243" s="2">
        <v>3440000000</v>
      </c>
      <c r="H243">
        <v>6.6262</v>
      </c>
      <c r="I243">
        <v>6.236</v>
      </c>
      <c r="J243" t="s">
        <v>310</v>
      </c>
      <c r="K243">
        <v>1.15</v>
      </c>
      <c r="L243">
        <v>3.07093722147313</v>
      </c>
    </row>
    <row r="244" spans="3:12">
      <c r="C244">
        <v>336</v>
      </c>
      <c r="D244">
        <v>2.95</v>
      </c>
      <c r="E244">
        <v>2.26</v>
      </c>
      <c r="F244">
        <v>9.31</v>
      </c>
      <c r="G244" s="2">
        <v>8978241507.29</v>
      </c>
      <c r="H244">
        <v>4.5194</v>
      </c>
      <c r="I244">
        <v>4.608</v>
      </c>
      <c r="J244" t="s">
        <v>311</v>
      </c>
      <c r="K244">
        <v>0.95</v>
      </c>
      <c r="L244">
        <v>2.50889834186995</v>
      </c>
    </row>
    <row r="245" spans="3:11">
      <c r="C245">
        <v>8327</v>
      </c>
      <c r="D245">
        <v>0.47</v>
      </c>
      <c r="E245">
        <v>0.38</v>
      </c>
      <c r="F245">
        <v>1.46</v>
      </c>
      <c r="G245" s="2">
        <v>400000000</v>
      </c>
      <c r="H245">
        <v>24.667</v>
      </c>
      <c r="I245" t="s">
        <v>312</v>
      </c>
      <c r="J245">
        <v>6.44</v>
      </c>
      <c r="K245">
        <v>1.82548375319459</v>
      </c>
    </row>
    <row r="246" spans="3:12">
      <c r="C246">
        <v>2328</v>
      </c>
      <c r="D246">
        <v>12.6</v>
      </c>
      <c r="E246">
        <v>11.22</v>
      </c>
      <c r="F246">
        <v>20.15</v>
      </c>
      <c r="G246" s="2">
        <v>60805776314.84</v>
      </c>
      <c r="H246">
        <v>10.3722</v>
      </c>
      <c r="I246">
        <v>9.499</v>
      </c>
      <c r="J246" t="s">
        <v>313</v>
      </c>
      <c r="K246">
        <v>1.55</v>
      </c>
      <c r="L246">
        <v>5.73</v>
      </c>
    </row>
    <row r="247" spans="3:12">
      <c r="C247">
        <v>1339</v>
      </c>
      <c r="D247">
        <v>2.94</v>
      </c>
      <c r="E247">
        <v>2.94</v>
      </c>
      <c r="F247">
        <v>5.85</v>
      </c>
      <c r="G247" s="2">
        <v>26789538380</v>
      </c>
      <c r="H247">
        <v>7.9457</v>
      </c>
      <c r="I247">
        <v>7.609</v>
      </c>
      <c r="J247" t="s">
        <v>314</v>
      </c>
      <c r="K247">
        <v>0.94</v>
      </c>
      <c r="L247">
        <v>2.39</v>
      </c>
    </row>
    <row r="248" spans="3:11">
      <c r="C248" t="s">
        <v>315</v>
      </c>
      <c r="D248">
        <v>46697.96</v>
      </c>
      <c r="E248">
        <v>48437.99</v>
      </c>
      <c r="F248">
        <v>57904.25</v>
      </c>
      <c r="G248" s="2">
        <v>3992208000</v>
      </c>
      <c r="H248">
        <v>11.782</v>
      </c>
      <c r="I248" t="s">
        <v>316</v>
      </c>
      <c r="J248">
        <v>311.21</v>
      </c>
      <c r="K248" t="s">
        <v>45</v>
      </c>
    </row>
    <row r="249" spans="3:11">
      <c r="C249" t="s">
        <v>317</v>
      </c>
      <c r="D249">
        <v>0.946</v>
      </c>
      <c r="E249">
        <v>0.944</v>
      </c>
      <c r="F249">
        <v>1.55</v>
      </c>
      <c r="G249" s="2">
        <v>600352895.81</v>
      </c>
      <c r="H249">
        <v>0.9662</v>
      </c>
      <c r="I249">
        <v>0.9662</v>
      </c>
      <c r="J249" t="s">
        <v>318</v>
      </c>
      <c r="K249">
        <v>31.16</v>
      </c>
    </row>
    <row r="250" spans="3:12">
      <c r="C250">
        <v>1327</v>
      </c>
      <c r="D250">
        <v>0.223</v>
      </c>
      <c r="E250">
        <v>0.216</v>
      </c>
      <c r="F250">
        <v>0.96</v>
      </c>
      <c r="G250" s="2">
        <v>253440000</v>
      </c>
      <c r="H250">
        <v>1.784</v>
      </c>
      <c r="I250">
        <v>0.997</v>
      </c>
      <c r="J250" t="s">
        <v>319</v>
      </c>
      <c r="K250">
        <v>0.34</v>
      </c>
      <c r="L250">
        <v>0.180985132680118</v>
      </c>
    </row>
    <row r="251" spans="3:10">
      <c r="C251">
        <v>736</v>
      </c>
      <c r="D251">
        <v>0.086</v>
      </c>
      <c r="E251">
        <v>0.075</v>
      </c>
      <c r="F251">
        <v>3.85</v>
      </c>
      <c r="G251" s="2">
        <v>83550413.07</v>
      </c>
      <c r="H251" t="s">
        <v>320</v>
      </c>
      <c r="I251">
        <v>0.1</v>
      </c>
      <c r="J251">
        <v>4.14963787171828</v>
      </c>
    </row>
    <row r="252" spans="3:11">
      <c r="C252">
        <v>8141</v>
      </c>
      <c r="D252">
        <v>0.33</v>
      </c>
      <c r="E252">
        <v>0.26</v>
      </c>
      <c r="F252">
        <v>6.6</v>
      </c>
      <c r="G252" s="2">
        <v>201000000</v>
      </c>
      <c r="H252">
        <v>16.861</v>
      </c>
      <c r="I252" t="s">
        <v>321</v>
      </c>
      <c r="J252">
        <v>2.39</v>
      </c>
      <c r="K252">
        <v>0.704521556256572</v>
      </c>
    </row>
    <row r="253" spans="3:11">
      <c r="C253">
        <v>8127</v>
      </c>
      <c r="D253">
        <v>3.4</v>
      </c>
      <c r="E253">
        <v>1.52</v>
      </c>
      <c r="F253">
        <v>4.2</v>
      </c>
      <c r="G253" s="2">
        <v>3460000000</v>
      </c>
      <c r="H253">
        <v>234.1001</v>
      </c>
      <c r="I253" t="s">
        <v>322</v>
      </c>
      <c r="J253">
        <v>100</v>
      </c>
      <c r="K253">
        <v>16.9857633775159</v>
      </c>
    </row>
    <row r="254" spans="3:10">
      <c r="C254">
        <v>307</v>
      </c>
      <c r="D254">
        <v>0.37</v>
      </c>
      <c r="E254">
        <v>0.25</v>
      </c>
      <c r="F254">
        <v>1.17</v>
      </c>
      <c r="G254" s="2">
        <v>1633865547.96</v>
      </c>
      <c r="H254" t="s">
        <v>323</v>
      </c>
      <c r="I254">
        <v>0.21</v>
      </c>
      <c r="J254">
        <v>8.1081081081081</v>
      </c>
    </row>
    <row r="255" spans="3:9">
      <c r="C255" t="s">
        <v>324</v>
      </c>
      <c r="D255">
        <v>7.73</v>
      </c>
      <c r="E255">
        <v>7.11</v>
      </c>
      <c r="F255">
        <v>31.41</v>
      </c>
      <c r="G255" s="2">
        <v>153490000</v>
      </c>
      <c r="H255" t="s">
        <v>325</v>
      </c>
      <c r="I255">
        <v>0</v>
      </c>
    </row>
    <row r="256" spans="3:9">
      <c r="C256" t="s">
        <v>326</v>
      </c>
      <c r="D256">
        <v>15.78</v>
      </c>
      <c r="E256">
        <v>13.65</v>
      </c>
      <c r="F256">
        <v>58.95</v>
      </c>
      <c r="G256">
        <v>0</v>
      </c>
      <c r="H256" t="s">
        <v>327</v>
      </c>
      <c r="I256">
        <v>0</v>
      </c>
    </row>
    <row r="257" spans="3:11">
      <c r="C257">
        <v>8122</v>
      </c>
      <c r="D257">
        <v>0.203</v>
      </c>
      <c r="E257">
        <v>0.189</v>
      </c>
      <c r="F257">
        <v>7</v>
      </c>
      <c r="G257" s="2">
        <v>151200000</v>
      </c>
      <c r="H257">
        <v>8.4963</v>
      </c>
      <c r="I257" t="s">
        <v>328</v>
      </c>
      <c r="J257">
        <v>2.66</v>
      </c>
      <c r="K257">
        <v>0.911722141823444</v>
      </c>
    </row>
    <row r="258" spans="3:11">
      <c r="C258" t="s">
        <v>329</v>
      </c>
      <c r="D258">
        <v>0.56</v>
      </c>
      <c r="E258">
        <v>0.559</v>
      </c>
      <c r="F258">
        <v>2.372</v>
      </c>
      <c r="G258" s="2">
        <v>1503412838.4</v>
      </c>
      <c r="H258">
        <v>0.4734</v>
      </c>
      <c r="I258">
        <v>0.4734</v>
      </c>
      <c r="J258" t="s">
        <v>330</v>
      </c>
      <c r="K258">
        <v>1.48</v>
      </c>
    </row>
    <row r="259" spans="3:10">
      <c r="C259" t="s">
        <v>331</v>
      </c>
      <c r="D259">
        <v>25.42</v>
      </c>
      <c r="E259">
        <v>22.06</v>
      </c>
      <c r="F259">
        <v>56.18</v>
      </c>
      <c r="G259" s="2">
        <v>1800000000</v>
      </c>
      <c r="H259" t="s">
        <v>332</v>
      </c>
      <c r="I259" t="s">
        <v>333</v>
      </c>
      <c r="J259">
        <v>0</v>
      </c>
    </row>
    <row r="260" spans="3:10">
      <c r="C260">
        <v>1229</v>
      </c>
      <c r="D260">
        <v>0.5</v>
      </c>
      <c r="E260">
        <v>0.34</v>
      </c>
      <c r="F260">
        <v>1.65</v>
      </c>
      <c r="G260" s="2">
        <v>390340527.84</v>
      </c>
      <c r="H260" t="s">
        <v>334</v>
      </c>
      <c r="I260">
        <v>2.99</v>
      </c>
      <c r="J260">
        <v>8.58585858585858</v>
      </c>
    </row>
    <row r="261" spans="3:12">
      <c r="C261">
        <v>8355</v>
      </c>
      <c r="D261">
        <v>0.2</v>
      </c>
      <c r="E261">
        <v>0.195</v>
      </c>
      <c r="F261">
        <v>6.7</v>
      </c>
      <c r="G261" s="2">
        <v>200000000</v>
      </c>
      <c r="H261">
        <v>41.3138</v>
      </c>
      <c r="I261">
        <v>29.412</v>
      </c>
      <c r="J261" t="s">
        <v>335</v>
      </c>
      <c r="K261">
        <v>1.81</v>
      </c>
      <c r="L261">
        <v>1.32100396301188</v>
      </c>
    </row>
    <row r="262" spans="3:12">
      <c r="C262">
        <v>547</v>
      </c>
      <c r="D262">
        <v>0.355</v>
      </c>
      <c r="E262">
        <v>0.09</v>
      </c>
      <c r="F262">
        <v>3.03</v>
      </c>
      <c r="G262" s="2">
        <v>4347105264.88</v>
      </c>
      <c r="H262">
        <v>121.1443</v>
      </c>
      <c r="I262">
        <v>80.682</v>
      </c>
      <c r="J262" t="s">
        <v>336</v>
      </c>
      <c r="K262">
        <v>9.65</v>
      </c>
      <c r="L262">
        <v>8.14144736842105</v>
      </c>
    </row>
    <row r="263" spans="3:10">
      <c r="C263">
        <v>362</v>
      </c>
      <c r="D263">
        <v>0.69</v>
      </c>
      <c r="E263">
        <v>0.25</v>
      </c>
      <c r="F263">
        <v>1.23</v>
      </c>
      <c r="G263" s="2">
        <v>1691858658.49</v>
      </c>
      <c r="H263" t="s">
        <v>337</v>
      </c>
      <c r="I263">
        <v>0.8</v>
      </c>
      <c r="J263">
        <v>19.6132596685082</v>
      </c>
    </row>
    <row r="264" spans="3:10">
      <c r="C264">
        <v>1326</v>
      </c>
      <c r="D264">
        <v>0.45</v>
      </c>
      <c r="E264">
        <v>0.23</v>
      </c>
      <c r="F264">
        <v>5.45</v>
      </c>
      <c r="G264" s="2">
        <v>1072601501.57</v>
      </c>
      <c r="H264" t="s">
        <v>338</v>
      </c>
      <c r="I264">
        <v>3</v>
      </c>
      <c r="J264">
        <v>1.62337662337662</v>
      </c>
    </row>
    <row r="265" spans="3:11">
      <c r="C265">
        <v>8369</v>
      </c>
      <c r="D265">
        <v>0.31</v>
      </c>
      <c r="E265">
        <v>0.23</v>
      </c>
      <c r="F265">
        <v>14.88</v>
      </c>
      <c r="G265" s="2">
        <v>384000000</v>
      </c>
      <c r="H265">
        <v>15.8331</v>
      </c>
      <c r="I265" t="s">
        <v>339</v>
      </c>
      <c r="J265">
        <v>4.32</v>
      </c>
      <c r="K265">
        <v>2.32018561484918</v>
      </c>
    </row>
    <row r="266" spans="3:10">
      <c r="C266">
        <v>726</v>
      </c>
      <c r="D266">
        <v>0.445</v>
      </c>
      <c r="E266">
        <v>0.11</v>
      </c>
      <c r="F266">
        <v>1.32</v>
      </c>
      <c r="G266" s="2">
        <v>4441177270.2</v>
      </c>
      <c r="H266" t="s">
        <v>340</v>
      </c>
      <c r="I266">
        <v>2.84</v>
      </c>
      <c r="J266">
        <v>334.615384615384</v>
      </c>
    </row>
    <row r="267" spans="3:12">
      <c r="C267" t="s">
        <v>341</v>
      </c>
      <c r="D267">
        <v>12.73</v>
      </c>
      <c r="E267">
        <v>9.31</v>
      </c>
      <c r="F267">
        <v>30.05</v>
      </c>
      <c r="G267" s="2">
        <v>3515900685.03</v>
      </c>
      <c r="H267">
        <v>136.7526</v>
      </c>
      <c r="I267">
        <v>132.2516</v>
      </c>
      <c r="J267" t="s">
        <v>342</v>
      </c>
      <c r="K267">
        <v>4.46</v>
      </c>
      <c r="L267">
        <v>8.7719</v>
      </c>
    </row>
    <row r="268" spans="3:12">
      <c r="C268">
        <v>863</v>
      </c>
      <c r="D268">
        <v>3.2</v>
      </c>
      <c r="E268">
        <v>2.46</v>
      </c>
      <c r="F268">
        <v>4.2</v>
      </c>
      <c r="G268" s="2">
        <v>765111601.4</v>
      </c>
      <c r="H268">
        <v>14.9159</v>
      </c>
      <c r="I268">
        <v>15.399</v>
      </c>
      <c r="J268" t="s">
        <v>343</v>
      </c>
      <c r="K268">
        <v>1.47</v>
      </c>
      <c r="L268">
        <v>2.04267506670882</v>
      </c>
    </row>
    <row r="269" spans="3:10">
      <c r="C269">
        <v>8239</v>
      </c>
      <c r="D269">
        <v>0.375</v>
      </c>
      <c r="E269">
        <v>0.24</v>
      </c>
      <c r="F269">
        <v>0.85</v>
      </c>
      <c r="G269" s="2">
        <v>421431030.13</v>
      </c>
      <c r="H269" t="s">
        <v>344</v>
      </c>
      <c r="I269">
        <v>1.48</v>
      </c>
      <c r="J269">
        <v>1.78135675939482</v>
      </c>
    </row>
    <row r="270" spans="3:10">
      <c r="C270">
        <v>451</v>
      </c>
      <c r="D270">
        <v>0.34</v>
      </c>
      <c r="E270">
        <v>0.31</v>
      </c>
      <c r="F270">
        <v>1.44</v>
      </c>
      <c r="G270" s="2">
        <v>6771168981.55</v>
      </c>
      <c r="H270" t="s">
        <v>345</v>
      </c>
      <c r="I270">
        <v>2.22</v>
      </c>
      <c r="J270">
        <v>2.06155632984901</v>
      </c>
    </row>
    <row r="271" spans="3:12">
      <c r="C271">
        <v>1262</v>
      </c>
      <c r="D271">
        <v>0.81</v>
      </c>
      <c r="E271">
        <v>0.53</v>
      </c>
      <c r="F271">
        <v>1.73</v>
      </c>
      <c r="G271" s="2">
        <v>1076471370</v>
      </c>
      <c r="H271">
        <v>77.461</v>
      </c>
      <c r="I271">
        <v>65.854</v>
      </c>
      <c r="J271" t="s">
        <v>346</v>
      </c>
      <c r="K271">
        <v>0.43</v>
      </c>
      <c r="L271">
        <v>0.630678805204074</v>
      </c>
    </row>
    <row r="272" spans="3:12">
      <c r="C272">
        <v>1378</v>
      </c>
      <c r="D272">
        <v>3.87</v>
      </c>
      <c r="E272">
        <v>3.08</v>
      </c>
      <c r="F272">
        <v>8.51</v>
      </c>
      <c r="G272" s="2">
        <v>29039064092</v>
      </c>
      <c r="H272">
        <v>4.3706</v>
      </c>
      <c r="I272">
        <v>3.48</v>
      </c>
      <c r="J272" t="s">
        <v>347</v>
      </c>
      <c r="K272">
        <v>0.71</v>
      </c>
      <c r="L272">
        <v>0.44591546903972</v>
      </c>
    </row>
    <row r="273" spans="3:12">
      <c r="C273">
        <v>3322</v>
      </c>
      <c r="D273">
        <v>1.18</v>
      </c>
      <c r="E273">
        <v>0.81</v>
      </c>
      <c r="F273">
        <v>1.94</v>
      </c>
      <c r="G273" s="2">
        <v>1540080000</v>
      </c>
      <c r="H273">
        <v>48.4759</v>
      </c>
      <c r="I273">
        <v>47.2</v>
      </c>
      <c r="J273" t="s">
        <v>348</v>
      </c>
      <c r="K273">
        <v>0.69</v>
      </c>
      <c r="L273">
        <v>0.403036206085846</v>
      </c>
    </row>
    <row r="274" spans="3:10">
      <c r="C274" t="s">
        <v>349</v>
      </c>
      <c r="D274">
        <v>7835.64</v>
      </c>
      <c r="E274">
        <v>7823.86</v>
      </c>
      <c r="F274">
        <v>14962.74</v>
      </c>
      <c r="G274" s="2">
        <v>18772465636203.2</v>
      </c>
      <c r="H274" t="s">
        <v>350</v>
      </c>
      <c r="I274">
        <v>52.05</v>
      </c>
      <c r="J274" t="s">
        <v>45</v>
      </c>
    </row>
    <row r="275" spans="3:10">
      <c r="C275">
        <v>8237</v>
      </c>
      <c r="D275">
        <v>0.91</v>
      </c>
      <c r="E275">
        <v>0.43</v>
      </c>
      <c r="F275">
        <v>3.06</v>
      </c>
      <c r="G275" s="2">
        <v>3490000000</v>
      </c>
      <c r="H275" t="s">
        <v>351</v>
      </c>
      <c r="I275">
        <v>7.58</v>
      </c>
      <c r="J275">
        <v>57.4712643678161</v>
      </c>
    </row>
    <row r="276" spans="3:10">
      <c r="C276">
        <v>974</v>
      </c>
      <c r="D276">
        <v>2.94</v>
      </c>
      <c r="E276">
        <v>2.78</v>
      </c>
      <c r="F276">
        <v>7.5</v>
      </c>
      <c r="G276" s="2">
        <v>871371000</v>
      </c>
      <c r="H276">
        <v>22.5154</v>
      </c>
      <c r="I276" t="s">
        <v>352</v>
      </c>
      <c r="J276">
        <v>3.04</v>
      </c>
    </row>
    <row r="277" spans="3:10">
      <c r="C277">
        <v>988</v>
      </c>
      <c r="D277">
        <v>0.62</v>
      </c>
      <c r="E277">
        <v>0.41</v>
      </c>
      <c r="F277">
        <v>2.2</v>
      </c>
      <c r="G277" s="2">
        <v>2554702316.8</v>
      </c>
      <c r="H277" t="s">
        <v>353</v>
      </c>
      <c r="I277">
        <v>2.17</v>
      </c>
      <c r="J277">
        <v>1.44046815214944</v>
      </c>
    </row>
    <row r="278" spans="3:12">
      <c r="C278">
        <v>1683</v>
      </c>
      <c r="D278">
        <v>0.79</v>
      </c>
      <c r="E278">
        <v>0.68</v>
      </c>
      <c r="F278">
        <v>8.65</v>
      </c>
      <c r="G278" s="2">
        <v>405000000</v>
      </c>
      <c r="H278">
        <v>19.0543</v>
      </c>
      <c r="I278">
        <v>14.234</v>
      </c>
      <c r="J278" t="s">
        <v>354</v>
      </c>
      <c r="K278">
        <v>3.06</v>
      </c>
      <c r="L278">
        <v>2.52651278852152</v>
      </c>
    </row>
    <row r="279" spans="3:11">
      <c r="C279">
        <v>1718</v>
      </c>
      <c r="D279">
        <v>0.72</v>
      </c>
      <c r="E279">
        <v>0.46</v>
      </c>
      <c r="F279">
        <v>1.22</v>
      </c>
      <c r="G279" s="2">
        <v>584000000</v>
      </c>
      <c r="H279">
        <v>9.2903</v>
      </c>
      <c r="I279" t="s">
        <v>355</v>
      </c>
      <c r="J279">
        <v>2.23</v>
      </c>
      <c r="K279">
        <v>1.32654915500636</v>
      </c>
    </row>
    <row r="280" spans="3:10">
      <c r="C280">
        <v>343</v>
      </c>
      <c r="D280">
        <v>1.11</v>
      </c>
      <c r="E280">
        <v>0.83</v>
      </c>
      <c r="F280">
        <v>2.18</v>
      </c>
      <c r="G280" s="2">
        <v>1298684622.22</v>
      </c>
      <c r="H280" t="s">
        <v>356</v>
      </c>
      <c r="I280">
        <v>4.91</v>
      </c>
      <c r="J280">
        <v>41.796875</v>
      </c>
    </row>
    <row r="281" spans="3:12">
      <c r="C281">
        <v>550</v>
      </c>
      <c r="D281">
        <v>2.26</v>
      </c>
      <c r="E281">
        <v>1.15</v>
      </c>
      <c r="F281">
        <v>4.5</v>
      </c>
      <c r="G281" s="2">
        <v>774378880</v>
      </c>
      <c r="H281">
        <v>9.8131</v>
      </c>
      <c r="I281">
        <v>9.548</v>
      </c>
      <c r="J281" t="s">
        <v>357</v>
      </c>
      <c r="K281">
        <v>5.64</v>
      </c>
      <c r="L281">
        <v>2.28009828009828</v>
      </c>
    </row>
    <row r="282" spans="3:12">
      <c r="C282">
        <v>1680</v>
      </c>
      <c r="D282">
        <v>0.98</v>
      </c>
      <c r="E282">
        <v>0.92</v>
      </c>
      <c r="F282">
        <v>4.96</v>
      </c>
      <c r="G282" s="2">
        <v>6366761120</v>
      </c>
      <c r="H282">
        <v>13.2934</v>
      </c>
      <c r="I282">
        <v>13.137</v>
      </c>
      <c r="J282" t="s">
        <v>358</v>
      </c>
      <c r="K282">
        <v>0.86</v>
      </c>
      <c r="L282">
        <v>4.22119037568594</v>
      </c>
    </row>
    <row r="283" spans="3:10">
      <c r="C283">
        <v>1139</v>
      </c>
      <c r="D283">
        <v>0.375</v>
      </c>
      <c r="E283">
        <v>0.19</v>
      </c>
      <c r="F283">
        <v>0.83</v>
      </c>
      <c r="G283" s="2">
        <v>313588449.87</v>
      </c>
      <c r="H283" t="s">
        <v>359</v>
      </c>
      <c r="I283">
        <v>5.03</v>
      </c>
      <c r="J283">
        <v>30.672268907563</v>
      </c>
    </row>
    <row r="284" spans="3:12">
      <c r="C284">
        <v>1250</v>
      </c>
      <c r="D284">
        <v>0.425</v>
      </c>
      <c r="E284">
        <v>0.11</v>
      </c>
      <c r="F284">
        <v>1.92</v>
      </c>
      <c r="G284" s="2">
        <v>7348700135.55</v>
      </c>
      <c r="H284">
        <v>256.3053</v>
      </c>
      <c r="I284">
        <v>47.222</v>
      </c>
      <c r="J284" t="s">
        <v>360</v>
      </c>
      <c r="K284">
        <v>5.57</v>
      </c>
      <c r="L284">
        <v>31.6139893807466</v>
      </c>
    </row>
    <row r="285" spans="3:11">
      <c r="C285">
        <v>2666</v>
      </c>
      <c r="D285">
        <v>5.34</v>
      </c>
      <c r="E285">
        <v>4.68</v>
      </c>
      <c r="F285">
        <v>8.29</v>
      </c>
      <c r="G285" s="2">
        <v>9199392548.8</v>
      </c>
      <c r="H285">
        <v>16.1116</v>
      </c>
      <c r="I285" t="s">
        <v>361</v>
      </c>
      <c r="J285">
        <v>1.37</v>
      </c>
      <c r="K285">
        <v>3.68294307169078</v>
      </c>
    </row>
    <row r="286" spans="3:12">
      <c r="C286">
        <v>8006</v>
      </c>
      <c r="D286">
        <v>0.018</v>
      </c>
      <c r="E286">
        <v>0.018</v>
      </c>
      <c r="F286">
        <v>4.2</v>
      </c>
      <c r="G286" s="2">
        <v>128608369.2</v>
      </c>
      <c r="H286">
        <v>38.7141</v>
      </c>
      <c r="I286">
        <v>36</v>
      </c>
      <c r="J286" t="s">
        <v>362</v>
      </c>
      <c r="K286">
        <v>0.51</v>
      </c>
      <c r="L286">
        <v>1.81818181818181</v>
      </c>
    </row>
    <row r="287" spans="3:12">
      <c r="C287">
        <v>1321</v>
      </c>
      <c r="D287">
        <v>8.48</v>
      </c>
      <c r="E287">
        <v>1.54</v>
      </c>
      <c r="F287">
        <v>14</v>
      </c>
      <c r="G287" s="2">
        <v>15103220000</v>
      </c>
      <c r="H287">
        <v>24.736</v>
      </c>
      <c r="I287">
        <v>21.232</v>
      </c>
      <c r="J287" t="s">
        <v>363</v>
      </c>
      <c r="K287">
        <v>2.72</v>
      </c>
      <c r="L287">
        <v>19.5414333931479</v>
      </c>
    </row>
    <row r="288" spans="3:11">
      <c r="C288">
        <v>1499</v>
      </c>
      <c r="D288">
        <v>0.29</v>
      </c>
      <c r="E288">
        <v>0.27</v>
      </c>
      <c r="F288">
        <v>0.97</v>
      </c>
      <c r="G288" s="2">
        <v>697840000</v>
      </c>
      <c r="H288">
        <v>18.1262</v>
      </c>
      <c r="I288" t="s">
        <v>364</v>
      </c>
      <c r="J288">
        <v>4.65</v>
      </c>
      <c r="K288">
        <v>1.7559009786989</v>
      </c>
    </row>
    <row r="289" spans="3:12">
      <c r="C289">
        <v>952</v>
      </c>
      <c r="D289">
        <v>1.12</v>
      </c>
      <c r="E289">
        <v>0.31</v>
      </c>
      <c r="F289">
        <v>2.6</v>
      </c>
      <c r="G289" s="2">
        <v>1752726915.64</v>
      </c>
      <c r="H289">
        <v>46.9597</v>
      </c>
      <c r="I289">
        <v>36.964</v>
      </c>
      <c r="J289" t="s">
        <v>365</v>
      </c>
      <c r="K289">
        <v>2.74</v>
      </c>
      <c r="L289">
        <v>2.67157991708889</v>
      </c>
    </row>
    <row r="290" spans="3:10">
      <c r="C290">
        <v>8051</v>
      </c>
      <c r="D290">
        <v>0.31</v>
      </c>
      <c r="E290">
        <v>0.2</v>
      </c>
      <c r="F290">
        <v>45.4</v>
      </c>
      <c r="G290" s="2">
        <v>271999276.25</v>
      </c>
      <c r="H290" t="s">
        <v>366</v>
      </c>
      <c r="I290">
        <v>3.45</v>
      </c>
      <c r="J290">
        <v>10.3174603174603</v>
      </c>
    </row>
    <row r="291" spans="3:10">
      <c r="C291">
        <v>299</v>
      </c>
      <c r="D291">
        <v>0.124</v>
      </c>
      <c r="E291">
        <v>0.11</v>
      </c>
      <c r="F291">
        <v>4.5</v>
      </c>
      <c r="G291" s="2">
        <v>1870483363.84</v>
      </c>
      <c r="H291" t="s">
        <v>367</v>
      </c>
      <c r="I291">
        <v>2.91</v>
      </c>
      <c r="J291">
        <v>0.296090677770067</v>
      </c>
    </row>
    <row r="292" spans="3:13">
      <c r="C292">
        <v>1360</v>
      </c>
      <c r="D292">
        <v>0.96</v>
      </c>
      <c r="E292">
        <v>0.8</v>
      </c>
      <c r="F292">
        <v>7.1</v>
      </c>
      <c r="G292" s="2">
        <v>1176000000</v>
      </c>
      <c r="H292">
        <v>25.0877</v>
      </c>
      <c r="I292">
        <v>23.472</v>
      </c>
      <c r="J292" t="s">
        <v>368</v>
      </c>
      <c r="K292" t="s">
        <v>196</v>
      </c>
      <c r="L292">
        <v>7.45</v>
      </c>
      <c r="M292">
        <v>1.2387814435596</v>
      </c>
    </row>
    <row r="293" spans="3:10">
      <c r="C293">
        <v>1003</v>
      </c>
      <c r="D293">
        <v>2.08</v>
      </c>
      <c r="E293">
        <v>0.61</v>
      </c>
      <c r="F293">
        <v>6.8</v>
      </c>
      <c r="G293" s="2">
        <v>4801795248.64</v>
      </c>
      <c r="H293" t="s">
        <v>369</v>
      </c>
      <c r="I293">
        <v>4.75</v>
      </c>
      <c r="J293">
        <v>16.2627052384675</v>
      </c>
    </row>
    <row r="294" spans="3:10">
      <c r="C294" t="s">
        <v>370</v>
      </c>
      <c r="D294">
        <v>37</v>
      </c>
      <c r="E294">
        <v>35.78</v>
      </c>
      <c r="F294">
        <v>70.26</v>
      </c>
      <c r="G294" s="2">
        <v>113060000</v>
      </c>
      <c r="H294" t="s">
        <v>371</v>
      </c>
      <c r="I294" t="s">
        <v>372</v>
      </c>
      <c r="J294">
        <v>0</v>
      </c>
    </row>
    <row r="295" spans="3:12">
      <c r="C295">
        <v>2038</v>
      </c>
      <c r="D295">
        <v>2.72</v>
      </c>
      <c r="E295">
        <v>2.72</v>
      </c>
      <c r="F295">
        <v>5</v>
      </c>
      <c r="G295" s="2">
        <v>21549809604.96</v>
      </c>
      <c r="H295">
        <v>16.3985</v>
      </c>
      <c r="I295">
        <v>15.632</v>
      </c>
      <c r="J295" t="s">
        <v>373</v>
      </c>
      <c r="K295">
        <v>0.72</v>
      </c>
      <c r="L295">
        <v>0.347295953704457</v>
      </c>
    </row>
    <row r="296" spans="3:12">
      <c r="C296">
        <v>1777</v>
      </c>
      <c r="D296">
        <v>0.76</v>
      </c>
      <c r="E296">
        <v>0.72</v>
      </c>
      <c r="F296">
        <v>1.69</v>
      </c>
      <c r="G296" s="2">
        <v>4608943539.2</v>
      </c>
      <c r="H296">
        <v>2.7894</v>
      </c>
      <c r="I296">
        <v>2.781</v>
      </c>
      <c r="J296" t="s">
        <v>374</v>
      </c>
      <c r="K296">
        <v>0.36</v>
      </c>
      <c r="L296">
        <v>0.506889746816681</v>
      </c>
    </row>
    <row r="297" spans="3:12">
      <c r="C297" t="s">
        <v>375</v>
      </c>
      <c r="D297">
        <v>95.83</v>
      </c>
      <c r="E297">
        <v>9.43</v>
      </c>
      <c r="F297">
        <v>327.01</v>
      </c>
      <c r="G297" s="2">
        <v>26348715611.89</v>
      </c>
      <c r="H297">
        <v>627.0161</v>
      </c>
      <c r="I297">
        <v>1019.0567</v>
      </c>
      <c r="J297" t="s">
        <v>376</v>
      </c>
      <c r="K297">
        <v>43.74</v>
      </c>
      <c r="L297">
        <v>60.8834</v>
      </c>
    </row>
    <row r="298" spans="3:12">
      <c r="C298" t="s">
        <v>377</v>
      </c>
      <c r="D298">
        <v>9.81</v>
      </c>
      <c r="E298">
        <v>9.24</v>
      </c>
      <c r="F298">
        <v>27.28</v>
      </c>
      <c r="G298" s="2">
        <v>26873051649.45</v>
      </c>
      <c r="H298">
        <v>33.7735</v>
      </c>
      <c r="I298">
        <v>35.7756</v>
      </c>
      <c r="J298" t="s">
        <v>378</v>
      </c>
      <c r="K298">
        <v>4.4</v>
      </c>
      <c r="L298">
        <v>1.5896</v>
      </c>
    </row>
    <row r="299" spans="3:12">
      <c r="C299">
        <v>530</v>
      </c>
      <c r="D299">
        <v>10.1</v>
      </c>
      <c r="E299">
        <v>2.83</v>
      </c>
      <c r="F299">
        <v>35.4</v>
      </c>
      <c r="G299" s="2">
        <v>70574578119.2</v>
      </c>
      <c r="H299">
        <v>58.1319</v>
      </c>
      <c r="I299">
        <v>58.079</v>
      </c>
      <c r="J299" t="s">
        <v>379</v>
      </c>
      <c r="K299">
        <v>7.2</v>
      </c>
      <c r="L299">
        <v>120.095124851367</v>
      </c>
    </row>
    <row r="300" spans="3:10">
      <c r="C300">
        <v>471</v>
      </c>
      <c r="D300">
        <v>0.078</v>
      </c>
      <c r="E300">
        <v>0.076</v>
      </c>
      <c r="F300">
        <v>0.55</v>
      </c>
      <c r="G300" s="2">
        <v>500255142.16</v>
      </c>
      <c r="H300" t="s">
        <v>380</v>
      </c>
      <c r="I300">
        <v>1.15</v>
      </c>
      <c r="J300">
        <v>34.3988373192986</v>
      </c>
    </row>
    <row r="301" spans="3:12">
      <c r="C301">
        <v>283</v>
      </c>
      <c r="D301">
        <v>6.18</v>
      </c>
      <c r="E301">
        <v>3.93</v>
      </c>
      <c r="F301">
        <v>29.5</v>
      </c>
      <c r="G301" s="2">
        <v>21579503698.52</v>
      </c>
      <c r="H301">
        <v>32.9525</v>
      </c>
      <c r="I301">
        <v>33.66</v>
      </c>
      <c r="J301" t="s">
        <v>381</v>
      </c>
      <c r="K301">
        <v>1.3</v>
      </c>
      <c r="L301">
        <v>148.402948402948</v>
      </c>
    </row>
    <row r="302" spans="3:12">
      <c r="C302">
        <v>538</v>
      </c>
      <c r="D302">
        <v>2.96</v>
      </c>
      <c r="E302">
        <v>2.82</v>
      </c>
      <c r="F302">
        <v>6.66</v>
      </c>
      <c r="G302" s="2">
        <v>3285531848.2</v>
      </c>
      <c r="H302">
        <v>11.9229</v>
      </c>
      <c r="I302">
        <v>11.718</v>
      </c>
      <c r="J302" t="s">
        <v>382</v>
      </c>
      <c r="K302">
        <v>0.98</v>
      </c>
      <c r="L302">
        <v>1.00658796776243</v>
      </c>
    </row>
    <row r="303" spans="3:12">
      <c r="C303">
        <v>737</v>
      </c>
      <c r="D303">
        <v>3.45</v>
      </c>
      <c r="E303">
        <v>3.45</v>
      </c>
      <c r="F303">
        <v>4.09</v>
      </c>
      <c r="G303" s="2">
        <v>10816732893.33</v>
      </c>
      <c r="H303">
        <v>16.5981</v>
      </c>
      <c r="I303">
        <v>16.312</v>
      </c>
      <c r="J303" t="s">
        <v>383</v>
      </c>
      <c r="K303">
        <v>1.19</v>
      </c>
      <c r="L303">
        <v>3.98818316100443</v>
      </c>
    </row>
    <row r="304" spans="3:12">
      <c r="C304">
        <v>635</v>
      </c>
      <c r="D304">
        <v>8.5</v>
      </c>
      <c r="E304">
        <v>6.77</v>
      </c>
      <c r="F304">
        <v>9.9</v>
      </c>
      <c r="G304" s="2">
        <v>1913286600</v>
      </c>
      <c r="H304">
        <v>2.4672</v>
      </c>
      <c r="I304">
        <v>2.572</v>
      </c>
      <c r="J304" t="s">
        <v>384</v>
      </c>
      <c r="K304">
        <v>0.3</v>
      </c>
      <c r="L304">
        <v>1.22221910033435</v>
      </c>
    </row>
    <row r="305" spans="3:10">
      <c r="C305">
        <v>164</v>
      </c>
      <c r="D305">
        <v>0.195</v>
      </c>
      <c r="E305">
        <v>0.09</v>
      </c>
      <c r="F305">
        <v>0.5</v>
      </c>
      <c r="G305" s="2">
        <v>1466095949.7</v>
      </c>
      <c r="H305" t="s">
        <v>385</v>
      </c>
      <c r="I305">
        <v>6.12</v>
      </c>
      <c r="J305">
        <v>12.125</v>
      </c>
    </row>
    <row r="306" spans="3:12">
      <c r="C306" t="s">
        <v>386</v>
      </c>
      <c r="D306">
        <v>0.01</v>
      </c>
      <c r="E306">
        <v>0.01</v>
      </c>
      <c r="F306">
        <v>2.77</v>
      </c>
      <c r="G306">
        <v>875460</v>
      </c>
      <c r="H306" t="s">
        <v>387</v>
      </c>
      <c r="I306" t="s">
        <v>388</v>
      </c>
      <c r="J306" t="s">
        <v>389</v>
      </c>
      <c r="K306">
        <v>-0.04</v>
      </c>
      <c r="L306">
        <v>0.012</v>
      </c>
    </row>
    <row r="307" spans="3:11">
      <c r="C307">
        <v>1530</v>
      </c>
      <c r="D307">
        <v>9.61</v>
      </c>
      <c r="E307">
        <v>6.9</v>
      </c>
      <c r="F307">
        <v>11.48</v>
      </c>
      <c r="G307" s="2">
        <v>24096704000.6</v>
      </c>
      <c r="H307">
        <v>66.0588</v>
      </c>
      <c r="I307" t="s">
        <v>390</v>
      </c>
      <c r="J307">
        <v>3.67</v>
      </c>
      <c r="K307">
        <v>11.5891923112023</v>
      </c>
    </row>
    <row r="308" spans="3:10">
      <c r="C308" t="s">
        <v>391</v>
      </c>
      <c r="D308">
        <v>100.85</v>
      </c>
      <c r="E308">
        <v>84.74</v>
      </c>
      <c r="F308">
        <v>115.75</v>
      </c>
      <c r="G308" s="2">
        <v>42570000000</v>
      </c>
      <c r="H308">
        <v>4.4008</v>
      </c>
      <c r="I308" t="s">
        <v>392</v>
      </c>
      <c r="J308">
        <v>0</v>
      </c>
    </row>
    <row r="309" spans="3:9">
      <c r="C309" t="s">
        <v>393</v>
      </c>
      <c r="D309">
        <v>22.76</v>
      </c>
      <c r="E309">
        <v>20.33</v>
      </c>
      <c r="F309">
        <v>23.9</v>
      </c>
      <c r="G309" s="2">
        <v>1510000000</v>
      </c>
      <c r="H309" t="s">
        <v>394</v>
      </c>
      <c r="I309">
        <v>0</v>
      </c>
    </row>
    <row r="310" spans="3:9">
      <c r="C310" t="s">
        <v>395</v>
      </c>
      <c r="D310">
        <v>31.02</v>
      </c>
      <c r="E310">
        <v>25.36</v>
      </c>
      <c r="F310">
        <v>45.64</v>
      </c>
      <c r="G310" s="2">
        <v>56910000</v>
      </c>
      <c r="H310" t="s">
        <v>396</v>
      </c>
      <c r="I310">
        <v>0</v>
      </c>
    </row>
    <row r="311" spans="3:12">
      <c r="C311" t="s">
        <v>397</v>
      </c>
      <c r="D311">
        <v>159.45</v>
      </c>
      <c r="E311">
        <v>48.8</v>
      </c>
      <c r="F311">
        <v>172.2</v>
      </c>
      <c r="G311" s="2">
        <v>10950000</v>
      </c>
      <c r="H311" t="s">
        <v>398</v>
      </c>
      <c r="I311" t="s">
        <v>399</v>
      </c>
      <c r="J311" t="s">
        <v>400</v>
      </c>
      <c r="K311" t="s">
        <v>401</v>
      </c>
      <c r="L311">
        <v>0</v>
      </c>
    </row>
    <row r="312" spans="3:9">
      <c r="C312" t="s">
        <v>402</v>
      </c>
      <c r="D312">
        <v>12.37</v>
      </c>
      <c r="E312">
        <v>11.38</v>
      </c>
      <c r="F312">
        <v>30.09</v>
      </c>
      <c r="G312" s="2">
        <v>385160000</v>
      </c>
      <c r="H312" t="s">
        <v>403</v>
      </c>
      <c r="I312">
        <v>0</v>
      </c>
    </row>
    <row r="313" spans="3:11">
      <c r="C313" t="s">
        <v>404</v>
      </c>
      <c r="D313">
        <v>278.75</v>
      </c>
      <c r="E313">
        <v>268.52</v>
      </c>
      <c r="F313">
        <v>400.79</v>
      </c>
      <c r="G313" s="2">
        <v>7770000000</v>
      </c>
      <c r="H313">
        <v>4.9251</v>
      </c>
      <c r="I313" t="s">
        <v>405</v>
      </c>
      <c r="J313" t="s">
        <v>406</v>
      </c>
      <c r="K313">
        <v>0</v>
      </c>
    </row>
    <row r="314" spans="3:10">
      <c r="C314" t="s">
        <v>407</v>
      </c>
      <c r="D314">
        <v>25.72</v>
      </c>
      <c r="E314">
        <v>24.2</v>
      </c>
      <c r="F314">
        <v>26.5</v>
      </c>
      <c r="G314" s="2">
        <v>1390000000</v>
      </c>
      <c r="H314" t="s">
        <v>408</v>
      </c>
      <c r="I314" t="s">
        <v>409</v>
      </c>
      <c r="J314">
        <v>0</v>
      </c>
    </row>
    <row r="315" spans="3:12">
      <c r="C315" t="s">
        <v>410</v>
      </c>
      <c r="D315">
        <v>10.68</v>
      </c>
      <c r="E315">
        <v>9.9</v>
      </c>
      <c r="F315">
        <v>65.49</v>
      </c>
      <c r="G315" s="2">
        <v>1489381985.07</v>
      </c>
      <c r="H315">
        <v>34.14</v>
      </c>
      <c r="I315">
        <v>8.2672</v>
      </c>
      <c r="J315" t="s">
        <v>411</v>
      </c>
      <c r="K315">
        <v>1.79</v>
      </c>
      <c r="L315">
        <v>0.81</v>
      </c>
    </row>
    <row r="316" spans="3:11">
      <c r="C316" t="s">
        <v>412</v>
      </c>
      <c r="D316">
        <v>37.99</v>
      </c>
      <c r="E316">
        <v>11.52</v>
      </c>
      <c r="F316">
        <v>46.89</v>
      </c>
      <c r="G316" s="2">
        <v>77128272455.4</v>
      </c>
      <c r="H316">
        <v>26.022</v>
      </c>
      <c r="I316" t="s">
        <v>413</v>
      </c>
      <c r="J316">
        <v>0.21</v>
      </c>
      <c r="K316" t="s">
        <v>45</v>
      </c>
    </row>
    <row r="317" spans="3:10">
      <c r="C317" t="s">
        <v>414</v>
      </c>
      <c r="D317">
        <v>58.09</v>
      </c>
      <c r="E317">
        <v>24.54</v>
      </c>
      <c r="F317">
        <v>61.13</v>
      </c>
      <c r="G317" s="2">
        <v>40310000</v>
      </c>
      <c r="H317" t="s">
        <v>415</v>
      </c>
      <c r="I317" t="s">
        <v>416</v>
      </c>
      <c r="J317">
        <v>0</v>
      </c>
    </row>
    <row r="318" spans="3:9">
      <c r="C318" t="s">
        <v>417</v>
      </c>
      <c r="D318">
        <v>60.77</v>
      </c>
      <c r="E318">
        <v>52.9</v>
      </c>
      <c r="F318">
        <v>105.07</v>
      </c>
      <c r="G318" s="2">
        <v>94950000</v>
      </c>
      <c r="H318" t="s">
        <v>418</v>
      </c>
      <c r="I318">
        <v>0</v>
      </c>
    </row>
    <row r="319" spans="3:10">
      <c r="C319" t="s">
        <v>419</v>
      </c>
      <c r="D319">
        <v>27.29</v>
      </c>
      <c r="E319">
        <v>15.48</v>
      </c>
      <c r="F319">
        <v>37.35</v>
      </c>
      <c r="G319" s="2">
        <v>1090000000</v>
      </c>
      <c r="H319" t="s">
        <v>420</v>
      </c>
      <c r="I319" t="s">
        <v>333</v>
      </c>
      <c r="J319">
        <v>0</v>
      </c>
    </row>
    <row r="320" spans="3:12">
      <c r="C320">
        <v>1468</v>
      </c>
      <c r="D320">
        <v>0.199</v>
      </c>
      <c r="E320">
        <v>0.179</v>
      </c>
      <c r="F320">
        <v>0.415</v>
      </c>
      <c r="G320" s="2">
        <v>589695475.2</v>
      </c>
      <c r="H320">
        <v>15.3983</v>
      </c>
      <c r="I320">
        <v>13.007</v>
      </c>
      <c r="J320" t="s">
        <v>421</v>
      </c>
      <c r="K320">
        <v>1.45</v>
      </c>
      <c r="L320">
        <v>1.82456140350877</v>
      </c>
    </row>
    <row r="321" spans="3:11">
      <c r="C321" t="s">
        <v>422</v>
      </c>
      <c r="D321">
        <v>17.23</v>
      </c>
      <c r="E321">
        <v>16.94</v>
      </c>
      <c r="F321">
        <v>24.65</v>
      </c>
      <c r="G321" s="2">
        <v>2460000000</v>
      </c>
      <c r="H321">
        <v>13.6279</v>
      </c>
      <c r="I321" t="s">
        <v>423</v>
      </c>
      <c r="J321" t="s">
        <v>424</v>
      </c>
      <c r="K321">
        <v>0</v>
      </c>
    </row>
    <row r="322" spans="3:12">
      <c r="C322">
        <v>2345</v>
      </c>
      <c r="D322">
        <v>1.01</v>
      </c>
      <c r="E322">
        <v>0.94</v>
      </c>
      <c r="F322">
        <v>2.56</v>
      </c>
      <c r="G322" s="2">
        <v>767307100</v>
      </c>
      <c r="H322">
        <v>14.4118</v>
      </c>
      <c r="I322">
        <v>14.408</v>
      </c>
      <c r="J322" t="s">
        <v>425</v>
      </c>
      <c r="K322">
        <v>0.37</v>
      </c>
      <c r="L322">
        <v>0.157901362445808</v>
      </c>
    </row>
    <row r="323" spans="3:12">
      <c r="C323">
        <v>382</v>
      </c>
      <c r="D323">
        <v>1.25</v>
      </c>
      <c r="E323">
        <v>1.1</v>
      </c>
      <c r="F323">
        <v>2.37</v>
      </c>
      <c r="G323" s="2">
        <v>3608152155.72</v>
      </c>
      <c r="H323">
        <v>5.3188</v>
      </c>
      <c r="I323">
        <v>5.261</v>
      </c>
      <c r="J323" t="s">
        <v>426</v>
      </c>
      <c r="K323">
        <v>0.81</v>
      </c>
      <c r="L323">
        <v>0.371878873738268</v>
      </c>
    </row>
    <row r="324" spans="3:12">
      <c r="C324">
        <v>1333</v>
      </c>
      <c r="D324">
        <v>3.25</v>
      </c>
      <c r="E324">
        <v>2.43</v>
      </c>
      <c r="F324">
        <v>5.15</v>
      </c>
      <c r="G324" s="2">
        <v>18637198138.8</v>
      </c>
      <c r="H324">
        <v>6.0173</v>
      </c>
      <c r="I324">
        <v>7.272</v>
      </c>
      <c r="J324" t="s">
        <v>427</v>
      </c>
      <c r="K324">
        <v>0.6</v>
      </c>
      <c r="L324">
        <v>0.901843638951107</v>
      </c>
    </row>
    <row r="325" spans="3:11">
      <c r="C325">
        <v>1528</v>
      </c>
      <c r="D325">
        <v>7.99</v>
      </c>
      <c r="E325">
        <v>7.7</v>
      </c>
      <c r="F325">
        <v>12.98</v>
      </c>
      <c r="G325" s="2">
        <v>8289941938.2</v>
      </c>
      <c r="H325">
        <v>6.2226</v>
      </c>
      <c r="I325" t="s">
        <v>428</v>
      </c>
      <c r="J325">
        <v>0.57</v>
      </c>
      <c r="K325">
        <v>2.61593365187356</v>
      </c>
    </row>
    <row r="326" spans="3:12">
      <c r="C326" t="s">
        <v>429</v>
      </c>
      <c r="D326">
        <v>169.56</v>
      </c>
      <c r="E326">
        <v>100</v>
      </c>
      <c r="F326">
        <v>234.67</v>
      </c>
      <c r="G326" s="2">
        <v>59161076292</v>
      </c>
      <c r="H326">
        <v>35.1232</v>
      </c>
      <c r="I326">
        <v>31.523</v>
      </c>
      <c r="J326" t="s">
        <v>430</v>
      </c>
      <c r="K326">
        <v>6.94</v>
      </c>
      <c r="L326">
        <v>6.25</v>
      </c>
    </row>
    <row r="327" spans="3:12">
      <c r="C327">
        <v>392</v>
      </c>
      <c r="D327">
        <v>38.4</v>
      </c>
      <c r="E327">
        <v>37.85</v>
      </c>
      <c r="F327">
        <v>76.45</v>
      </c>
      <c r="G327" s="2">
        <v>48748310184</v>
      </c>
      <c r="H327">
        <v>10.1955</v>
      </c>
      <c r="I327">
        <v>10.168</v>
      </c>
      <c r="J327" t="s">
        <v>431</v>
      </c>
      <c r="K327">
        <v>0.82</v>
      </c>
      <c r="L327">
        <v>0.822929412146871</v>
      </c>
    </row>
    <row r="328" spans="3:12">
      <c r="C328">
        <v>2380</v>
      </c>
      <c r="D328">
        <v>3.3</v>
      </c>
      <c r="E328">
        <v>3.1</v>
      </c>
      <c r="F328">
        <v>6.81</v>
      </c>
      <c r="G328" s="2">
        <v>24934008471.99</v>
      </c>
      <c r="H328">
        <v>7.2096</v>
      </c>
      <c r="I328">
        <v>6.327</v>
      </c>
      <c r="J328" t="s">
        <v>432</v>
      </c>
      <c r="K328">
        <v>0.74</v>
      </c>
      <c r="L328">
        <v>0.99317491371185</v>
      </c>
    </row>
    <row r="329" spans="3:12">
      <c r="C329">
        <v>902</v>
      </c>
      <c r="D329">
        <v>5.91</v>
      </c>
      <c r="E329">
        <v>5.9</v>
      </c>
      <c r="F329">
        <v>11.9</v>
      </c>
      <c r="G329" s="2">
        <v>28719342818.4</v>
      </c>
      <c r="H329">
        <v>6.9047</v>
      </c>
      <c r="I329">
        <v>6.189</v>
      </c>
      <c r="J329" t="s">
        <v>433</v>
      </c>
      <c r="K329">
        <v>0.96</v>
      </c>
      <c r="L329">
        <v>0.536308453599128</v>
      </c>
    </row>
    <row r="330" spans="3:12">
      <c r="C330">
        <v>2313</v>
      </c>
      <c r="D330">
        <v>38.05</v>
      </c>
      <c r="E330">
        <v>22.2</v>
      </c>
      <c r="F330">
        <v>44.55</v>
      </c>
      <c r="G330" s="2">
        <v>54980700000</v>
      </c>
      <c r="H330">
        <v>21.2843</v>
      </c>
      <c r="I330">
        <v>20.608</v>
      </c>
      <c r="J330" t="s">
        <v>434</v>
      </c>
      <c r="K330">
        <v>3.68</v>
      </c>
      <c r="L330">
        <v>3.71773900758512</v>
      </c>
    </row>
    <row r="331" spans="3:12">
      <c r="C331">
        <v>6108</v>
      </c>
      <c r="D331">
        <v>0.172</v>
      </c>
      <c r="E331">
        <v>0.168</v>
      </c>
      <c r="F331">
        <v>1</v>
      </c>
      <c r="G331" s="2">
        <v>245820000</v>
      </c>
      <c r="H331">
        <v>8.2821</v>
      </c>
      <c r="I331">
        <v>4.778</v>
      </c>
      <c r="J331" t="s">
        <v>435</v>
      </c>
      <c r="K331">
        <v>0.49</v>
      </c>
      <c r="L331">
        <v>0.777676120768527</v>
      </c>
    </row>
    <row r="332" spans="3:10">
      <c r="C332">
        <v>801</v>
      </c>
      <c r="D332">
        <v>1.06</v>
      </c>
      <c r="E332">
        <v>0.8</v>
      </c>
      <c r="F332">
        <v>2</v>
      </c>
      <c r="G332" s="2">
        <v>3144108086.24</v>
      </c>
      <c r="H332" t="s">
        <v>436</v>
      </c>
      <c r="I332">
        <v>0.71</v>
      </c>
      <c r="J332">
        <v>2.70201376497578</v>
      </c>
    </row>
    <row r="333" spans="3:10">
      <c r="C333">
        <v>8041</v>
      </c>
      <c r="D333">
        <v>0.149</v>
      </c>
      <c r="E333">
        <v>0.03</v>
      </c>
      <c r="F333">
        <v>0.8</v>
      </c>
      <c r="G333" s="2">
        <v>754621480.92</v>
      </c>
      <c r="H333" t="s">
        <v>437</v>
      </c>
      <c r="I333">
        <v>3.86</v>
      </c>
      <c r="J333">
        <v>7.55102040816326</v>
      </c>
    </row>
    <row r="334" spans="3:10">
      <c r="C334">
        <v>245</v>
      </c>
      <c r="D334">
        <v>0.6</v>
      </c>
      <c r="E334">
        <v>0.16</v>
      </c>
      <c r="F334">
        <v>1.91</v>
      </c>
      <c r="G334" s="2">
        <v>17645647662.5</v>
      </c>
      <c r="H334" t="s">
        <v>438</v>
      </c>
      <c r="I334">
        <v>3.33</v>
      </c>
      <c r="J334">
        <v>5.28138528138528</v>
      </c>
    </row>
    <row r="335" spans="3:12">
      <c r="C335">
        <v>708</v>
      </c>
      <c r="D335">
        <v>1.6</v>
      </c>
      <c r="E335">
        <v>0.25</v>
      </c>
      <c r="F335">
        <v>16.1</v>
      </c>
      <c r="G335" s="2">
        <v>14515200000</v>
      </c>
      <c r="H335">
        <v>1254.5603</v>
      </c>
      <c r="I335">
        <v>1230.769</v>
      </c>
      <c r="J335" t="s">
        <v>439</v>
      </c>
      <c r="K335">
        <v>25.26</v>
      </c>
      <c r="L335">
        <v>3.46677672307057</v>
      </c>
    </row>
    <row r="336" spans="3:12">
      <c r="C336">
        <v>1049</v>
      </c>
      <c r="D336">
        <v>0.4</v>
      </c>
      <c r="E336">
        <v>0.4</v>
      </c>
      <c r="F336">
        <v>1.99</v>
      </c>
      <c r="G336" s="2">
        <v>344956995.96</v>
      </c>
      <c r="H336">
        <v>142.4265</v>
      </c>
      <c r="I336">
        <v>117.647</v>
      </c>
      <c r="J336" t="s">
        <v>440</v>
      </c>
      <c r="K336">
        <v>0.71</v>
      </c>
      <c r="L336">
        <v>0.128690151327214</v>
      </c>
    </row>
    <row r="337" spans="3:10">
      <c r="C337" t="s">
        <v>441</v>
      </c>
      <c r="D337">
        <v>72.48</v>
      </c>
      <c r="E337">
        <v>55.93</v>
      </c>
      <c r="F337">
        <v>103.29</v>
      </c>
      <c r="G337" s="2">
        <v>6017451310.76</v>
      </c>
      <c r="H337" t="s">
        <v>442</v>
      </c>
      <c r="I337">
        <v>31.1</v>
      </c>
      <c r="J337">
        <v>16.57</v>
      </c>
    </row>
    <row r="338" spans="3:13">
      <c r="C338" t="s">
        <v>443</v>
      </c>
      <c r="D338">
        <v>50.34</v>
      </c>
      <c r="E338">
        <v>23.83</v>
      </c>
      <c r="F338">
        <v>166.6</v>
      </c>
      <c r="G338" s="2">
        <v>536850000</v>
      </c>
      <c r="H338" t="s">
        <v>444</v>
      </c>
      <c r="I338" t="s">
        <v>445</v>
      </c>
      <c r="J338" t="s">
        <v>446</v>
      </c>
      <c r="K338" t="s">
        <v>447</v>
      </c>
      <c r="L338" t="s">
        <v>448</v>
      </c>
      <c r="M338">
        <v>0</v>
      </c>
    </row>
    <row r="339" spans="3:12">
      <c r="C339">
        <v>8018</v>
      </c>
      <c r="D339">
        <v>0.054</v>
      </c>
      <c r="E339">
        <v>0.05</v>
      </c>
      <c r="F339">
        <v>3.41</v>
      </c>
      <c r="G339" s="2">
        <v>220000000</v>
      </c>
      <c r="H339">
        <v>19.083</v>
      </c>
      <c r="I339">
        <v>19.286</v>
      </c>
      <c r="J339" t="s">
        <v>449</v>
      </c>
      <c r="K339">
        <v>3.72</v>
      </c>
      <c r="L339">
        <v>7.43243243243243</v>
      </c>
    </row>
    <row r="340" spans="3:12">
      <c r="C340">
        <v>257</v>
      </c>
      <c r="D340">
        <v>7.89</v>
      </c>
      <c r="E340">
        <v>7.72</v>
      </c>
      <c r="F340">
        <v>16.28</v>
      </c>
      <c r="G340" s="2">
        <v>36452576121</v>
      </c>
      <c r="H340">
        <v>21.4031</v>
      </c>
      <c r="I340">
        <v>20.769</v>
      </c>
      <c r="J340" t="s">
        <v>450</v>
      </c>
      <c r="K340">
        <v>2.11</v>
      </c>
      <c r="L340">
        <v>4.58777721347553</v>
      </c>
    </row>
    <row r="341" spans="3:11">
      <c r="C341" t="s">
        <v>451</v>
      </c>
      <c r="D341">
        <v>25</v>
      </c>
      <c r="E341">
        <v>15.02</v>
      </c>
      <c r="F341">
        <v>43</v>
      </c>
      <c r="G341" s="2">
        <v>1006680800</v>
      </c>
      <c r="H341">
        <v>35.7222</v>
      </c>
      <c r="I341" t="s">
        <v>452</v>
      </c>
      <c r="J341">
        <v>5.52</v>
      </c>
      <c r="K341">
        <v>2.63</v>
      </c>
    </row>
    <row r="342" spans="3:10">
      <c r="C342">
        <v>264</v>
      </c>
      <c r="D342">
        <v>1.16</v>
      </c>
      <c r="E342">
        <v>0.58</v>
      </c>
      <c r="F342">
        <v>2.69</v>
      </c>
      <c r="G342" s="2">
        <v>420963840</v>
      </c>
      <c r="H342" t="s">
        <v>453</v>
      </c>
      <c r="I342">
        <v>5.63</v>
      </c>
      <c r="J342">
        <v>3.08752232712426</v>
      </c>
    </row>
    <row r="343" spans="3:12">
      <c r="C343" t="s">
        <v>454</v>
      </c>
      <c r="D343">
        <v>19.2</v>
      </c>
      <c r="E343">
        <v>14.32</v>
      </c>
      <c r="F343">
        <v>32.28</v>
      </c>
      <c r="G343" s="2">
        <v>649143123.67</v>
      </c>
      <c r="H343">
        <v>21.5633</v>
      </c>
      <c r="I343">
        <v>12.689</v>
      </c>
      <c r="J343" t="s">
        <v>455</v>
      </c>
      <c r="K343">
        <v>1.08</v>
      </c>
      <c r="L343">
        <v>0.3</v>
      </c>
    </row>
    <row r="344" spans="3:12">
      <c r="C344" t="s">
        <v>456</v>
      </c>
      <c r="D344">
        <v>19.03</v>
      </c>
      <c r="E344">
        <v>14.16</v>
      </c>
      <c r="F344">
        <v>40.08</v>
      </c>
      <c r="G344" s="2">
        <v>1115664000.4</v>
      </c>
      <c r="H344">
        <v>6.24</v>
      </c>
      <c r="I344">
        <v>3.9291</v>
      </c>
      <c r="J344" t="s">
        <v>457</v>
      </c>
      <c r="K344">
        <v>1.46</v>
      </c>
      <c r="L344">
        <v>0.32</v>
      </c>
    </row>
    <row r="345" spans="3:10">
      <c r="C345">
        <v>821</v>
      </c>
      <c r="D345">
        <v>1.56</v>
      </c>
      <c r="E345">
        <v>0.58</v>
      </c>
      <c r="F345">
        <v>2.96</v>
      </c>
      <c r="G345" s="2">
        <v>878024758.11</v>
      </c>
      <c r="H345" t="s">
        <v>458</v>
      </c>
      <c r="I345">
        <v>1.59</v>
      </c>
      <c r="J345">
        <v>7.5177304964539</v>
      </c>
    </row>
    <row r="346" spans="3:12">
      <c r="C346">
        <v>5</v>
      </c>
      <c r="D346">
        <v>51.9</v>
      </c>
      <c r="E346">
        <v>51.75</v>
      </c>
      <c r="F346">
        <v>84.4</v>
      </c>
      <c r="G346" s="2">
        <v>1040357372961.9</v>
      </c>
      <c r="H346">
        <v>10.0439</v>
      </c>
      <c r="I346">
        <v>9.674</v>
      </c>
      <c r="J346" t="s">
        <v>459</v>
      </c>
      <c r="K346">
        <v>0.7</v>
      </c>
      <c r="L346">
        <v>1.67179665298768</v>
      </c>
    </row>
    <row r="347" spans="3:12">
      <c r="C347">
        <v>1866</v>
      </c>
      <c r="D347">
        <v>2.6</v>
      </c>
      <c r="E347">
        <v>1.91</v>
      </c>
      <c r="F347">
        <v>5.3</v>
      </c>
      <c r="G347" s="2">
        <v>2650000000</v>
      </c>
      <c r="H347">
        <v>8.8013</v>
      </c>
      <c r="I347">
        <v>10.156</v>
      </c>
      <c r="J347" t="s">
        <v>460</v>
      </c>
      <c r="K347">
        <v>0.72</v>
      </c>
      <c r="L347">
        <v>0.365150278947668</v>
      </c>
    </row>
    <row r="348" spans="3:10">
      <c r="C348">
        <v>136</v>
      </c>
      <c r="D348">
        <v>0.435</v>
      </c>
      <c r="E348">
        <v>0.09</v>
      </c>
      <c r="F348">
        <v>0.71</v>
      </c>
      <c r="G348" s="2">
        <v>33483192567.37</v>
      </c>
      <c r="H348" t="s">
        <v>461</v>
      </c>
      <c r="I348">
        <v>46.91</v>
      </c>
      <c r="J348">
        <v>108.333333333333</v>
      </c>
    </row>
    <row r="349" spans="3:12">
      <c r="C349">
        <v>1375</v>
      </c>
      <c r="D349">
        <v>2.91</v>
      </c>
      <c r="E349">
        <v>2.3</v>
      </c>
      <c r="F349">
        <v>9.92</v>
      </c>
      <c r="G349" s="2">
        <v>3887590190</v>
      </c>
      <c r="H349">
        <v>14.2597</v>
      </c>
      <c r="I349">
        <v>9.655</v>
      </c>
      <c r="J349" t="s">
        <v>462</v>
      </c>
      <c r="K349">
        <v>0.97</v>
      </c>
      <c r="L349">
        <v>1.04745546493857</v>
      </c>
    </row>
    <row r="350" spans="3:12">
      <c r="C350">
        <v>799</v>
      </c>
      <c r="D350">
        <v>3.19</v>
      </c>
      <c r="E350">
        <v>2.49</v>
      </c>
      <c r="F350">
        <v>9.16</v>
      </c>
      <c r="G350" s="2">
        <v>4559915364.72</v>
      </c>
      <c r="H350">
        <v>8.8579</v>
      </c>
      <c r="I350">
        <v>8.43</v>
      </c>
      <c r="J350" t="s">
        <v>463</v>
      </c>
      <c r="K350">
        <v>3.23</v>
      </c>
      <c r="L350">
        <v>2.81133354835463</v>
      </c>
    </row>
    <row r="351" spans="3:10">
      <c r="C351" t="s">
        <v>464</v>
      </c>
      <c r="D351">
        <v>22.08</v>
      </c>
      <c r="E351">
        <v>19.35</v>
      </c>
      <c r="F351">
        <v>23.1</v>
      </c>
      <c r="G351" s="2">
        <v>53260000</v>
      </c>
      <c r="H351">
        <v>47.12</v>
      </c>
      <c r="I351" t="s">
        <v>465</v>
      </c>
      <c r="J351">
        <v>0.97</v>
      </c>
    </row>
    <row r="352" spans="3:12">
      <c r="C352">
        <v>8001</v>
      </c>
      <c r="D352">
        <v>0.96</v>
      </c>
      <c r="E352">
        <v>0.85</v>
      </c>
      <c r="F352">
        <v>3.81</v>
      </c>
      <c r="G352" s="2">
        <v>374400000</v>
      </c>
      <c r="H352">
        <v>20.8812</v>
      </c>
      <c r="I352">
        <v>16.609</v>
      </c>
      <c r="J352" t="s">
        <v>466</v>
      </c>
      <c r="K352">
        <v>1.37</v>
      </c>
      <c r="L352">
        <v>14.6478873239436</v>
      </c>
    </row>
    <row r="353" spans="3:12">
      <c r="C353">
        <v>2356</v>
      </c>
      <c r="D353">
        <v>11.42</v>
      </c>
      <c r="E353">
        <v>11.4</v>
      </c>
      <c r="F353">
        <v>19.6</v>
      </c>
      <c r="G353" s="2">
        <v>16234833768.24</v>
      </c>
      <c r="H353">
        <v>7.9831</v>
      </c>
      <c r="I353">
        <v>7.671</v>
      </c>
      <c r="J353" t="s">
        <v>467</v>
      </c>
      <c r="K353">
        <v>0.78</v>
      </c>
      <c r="L353">
        <v>3.49163274536408</v>
      </c>
    </row>
    <row r="354" spans="3:9">
      <c r="C354" t="s">
        <v>468</v>
      </c>
      <c r="D354">
        <v>3553.58</v>
      </c>
      <c r="E354">
        <v>3431.73</v>
      </c>
      <c r="F354">
        <v>6835.78</v>
      </c>
      <c r="G354">
        <v>0</v>
      </c>
      <c r="H354" t="s">
        <v>469</v>
      </c>
      <c r="I354">
        <v>0</v>
      </c>
    </row>
    <row r="355" spans="3:10">
      <c r="C355">
        <v>953</v>
      </c>
      <c r="D355">
        <v>0.7</v>
      </c>
      <c r="E355">
        <v>0.27</v>
      </c>
      <c r="F355">
        <v>1.32</v>
      </c>
      <c r="G355" s="2">
        <v>912149700</v>
      </c>
      <c r="H355" t="s">
        <v>470</v>
      </c>
      <c r="I355">
        <v>2.52</v>
      </c>
      <c r="J355">
        <v>4.52868717475792</v>
      </c>
    </row>
    <row r="356" spans="3:12">
      <c r="C356">
        <v>2020</v>
      </c>
      <c r="D356">
        <v>17.54</v>
      </c>
      <c r="E356">
        <v>11.38</v>
      </c>
      <c r="F356">
        <v>24.45</v>
      </c>
      <c r="G356" s="2">
        <v>45020179800</v>
      </c>
      <c r="H356">
        <v>21.1753</v>
      </c>
      <c r="I356">
        <v>20.592</v>
      </c>
      <c r="J356" t="s">
        <v>471</v>
      </c>
      <c r="K356">
        <v>4.7</v>
      </c>
      <c r="L356">
        <v>3.37601621886205</v>
      </c>
    </row>
    <row r="357" spans="3:12">
      <c r="C357">
        <v>698</v>
      </c>
      <c r="D357">
        <v>1.22</v>
      </c>
      <c r="E357">
        <v>0.77</v>
      </c>
      <c r="F357">
        <v>1.75</v>
      </c>
      <c r="G357" s="2">
        <v>7042549500</v>
      </c>
      <c r="H357">
        <v>14.0373</v>
      </c>
      <c r="I357">
        <v>12.924</v>
      </c>
      <c r="J357" t="s">
        <v>472</v>
      </c>
      <c r="K357">
        <v>1.93</v>
      </c>
      <c r="L357">
        <v>1.16026789925478</v>
      </c>
    </row>
    <row r="358" spans="3:10">
      <c r="C358">
        <v>606</v>
      </c>
      <c r="D358">
        <v>2.08</v>
      </c>
      <c r="E358">
        <v>2.04</v>
      </c>
      <c r="F358">
        <v>5.15</v>
      </c>
      <c r="G358" s="2">
        <v>11182246078.44</v>
      </c>
      <c r="H358" t="s">
        <v>473</v>
      </c>
      <c r="I358">
        <v>0.4</v>
      </c>
      <c r="J358">
        <v>0.140701791470697</v>
      </c>
    </row>
    <row r="359" spans="3:10">
      <c r="C359">
        <v>73</v>
      </c>
      <c r="D359">
        <v>0.53</v>
      </c>
      <c r="E359">
        <v>0.51</v>
      </c>
      <c r="F359">
        <v>2</v>
      </c>
      <c r="G359" s="2">
        <v>637315320.84</v>
      </c>
      <c r="H359" t="s">
        <v>474</v>
      </c>
      <c r="I359">
        <v>0.1</v>
      </c>
      <c r="J359">
        <v>0.514354722535782</v>
      </c>
    </row>
    <row r="360" spans="3:12">
      <c r="C360">
        <v>8271</v>
      </c>
      <c r="D360">
        <v>0.345</v>
      </c>
      <c r="E360">
        <v>0.28</v>
      </c>
      <c r="F360">
        <v>1.16</v>
      </c>
      <c r="G360" s="2">
        <v>485841772.8</v>
      </c>
      <c r="H360">
        <v>15.2483</v>
      </c>
      <c r="I360">
        <v>16.429</v>
      </c>
      <c r="J360" t="s">
        <v>475</v>
      </c>
      <c r="K360">
        <v>0.49</v>
      </c>
      <c r="L360">
        <v>2.64681555004135</v>
      </c>
    </row>
    <row r="361" spans="3:12">
      <c r="C361">
        <v>1566</v>
      </c>
      <c r="D361">
        <v>3.23</v>
      </c>
      <c r="E361">
        <v>3.19</v>
      </c>
      <c r="F361">
        <v>12.5</v>
      </c>
      <c r="G361" s="2">
        <v>2840694960</v>
      </c>
      <c r="H361">
        <v>36.6517</v>
      </c>
      <c r="I361">
        <v>27.257</v>
      </c>
      <c r="J361" t="s">
        <v>476</v>
      </c>
      <c r="K361">
        <v>4.82</v>
      </c>
      <c r="L361">
        <v>2.73372976544433</v>
      </c>
    </row>
    <row r="362" spans="3:12">
      <c r="C362">
        <v>8207</v>
      </c>
      <c r="D362">
        <v>2.94</v>
      </c>
      <c r="E362">
        <v>0.67</v>
      </c>
      <c r="F362">
        <v>3.55</v>
      </c>
      <c r="G362" s="2">
        <v>12013151000</v>
      </c>
      <c r="H362">
        <v>165.0934</v>
      </c>
      <c r="I362">
        <v>126.724</v>
      </c>
      <c r="J362" t="s">
        <v>477</v>
      </c>
      <c r="K362">
        <v>5.04</v>
      </c>
      <c r="L362">
        <v>16.1862475270938</v>
      </c>
    </row>
    <row r="363" spans="3:10">
      <c r="C363">
        <v>8143</v>
      </c>
      <c r="D363">
        <v>0.7</v>
      </c>
      <c r="E363">
        <v>0.36</v>
      </c>
      <c r="F363">
        <v>1.96</v>
      </c>
      <c r="G363" s="2">
        <v>1138497462.48</v>
      </c>
      <c r="H363" t="s">
        <v>478</v>
      </c>
      <c r="I363">
        <v>4.68</v>
      </c>
      <c r="J363">
        <v>0.838968194340095</v>
      </c>
    </row>
    <row r="364" spans="3:12">
      <c r="C364">
        <v>8138</v>
      </c>
      <c r="D364">
        <v>8.31</v>
      </c>
      <c r="E364">
        <v>7.71</v>
      </c>
      <c r="F364">
        <v>14.82</v>
      </c>
      <c r="G364" s="2">
        <v>7073495000</v>
      </c>
      <c r="H364">
        <v>24.6357</v>
      </c>
      <c r="I364">
        <v>24.024</v>
      </c>
      <c r="J364" t="s">
        <v>479</v>
      </c>
      <c r="K364">
        <v>4.31</v>
      </c>
      <c r="L364">
        <v>7.56016820255882</v>
      </c>
    </row>
    <row r="365" spans="3:12">
      <c r="C365">
        <v>3993</v>
      </c>
      <c r="D365">
        <v>1.09</v>
      </c>
      <c r="E365">
        <v>1.08</v>
      </c>
      <c r="F365">
        <v>9.3</v>
      </c>
      <c r="G365" s="2">
        <v>4562822880</v>
      </c>
      <c r="H365">
        <v>8.2497</v>
      </c>
      <c r="I365">
        <v>7.276</v>
      </c>
      <c r="J365" t="s">
        <v>480</v>
      </c>
      <c r="K365">
        <v>0.89</v>
      </c>
      <c r="L365">
        <v>1.18984821096115</v>
      </c>
    </row>
    <row r="366" spans="3:12">
      <c r="C366">
        <v>3888</v>
      </c>
      <c r="D366">
        <v>14.4</v>
      </c>
      <c r="E366">
        <v>14</v>
      </c>
      <c r="F366">
        <v>34.95</v>
      </c>
      <c r="G366" s="2">
        <v>19745585990.92</v>
      </c>
      <c r="H366">
        <v>19.511</v>
      </c>
      <c r="I366">
        <v>17.452</v>
      </c>
      <c r="J366" t="s">
        <v>481</v>
      </c>
      <c r="K366">
        <v>2.23</v>
      </c>
      <c r="L366">
        <v>2.54157193555228</v>
      </c>
    </row>
    <row r="367" spans="3:12">
      <c r="C367">
        <v>3393</v>
      </c>
      <c r="D367">
        <v>5.99</v>
      </c>
      <c r="E367">
        <v>5.58</v>
      </c>
      <c r="F367">
        <v>12.86</v>
      </c>
      <c r="G367" s="2">
        <v>6428279285.5</v>
      </c>
      <c r="H367">
        <v>10.6562</v>
      </c>
      <c r="I367">
        <v>9.383</v>
      </c>
      <c r="J367" t="s">
        <v>482</v>
      </c>
      <c r="K367">
        <v>1.29</v>
      </c>
      <c r="L367">
        <v>1.54395450284736</v>
      </c>
    </row>
    <row r="368" spans="3:12">
      <c r="C368">
        <v>3389</v>
      </c>
      <c r="D368">
        <v>0.93</v>
      </c>
      <c r="E368">
        <v>0.88</v>
      </c>
      <c r="F368">
        <v>2.09</v>
      </c>
      <c r="G368" s="2">
        <v>4254031753.51</v>
      </c>
      <c r="H368">
        <v>6.7473</v>
      </c>
      <c r="I368">
        <v>7.078</v>
      </c>
      <c r="J368" t="s">
        <v>483</v>
      </c>
      <c r="K368">
        <v>0.55</v>
      </c>
      <c r="L368">
        <v>0.249469476529395</v>
      </c>
    </row>
    <row r="369" spans="3:12">
      <c r="C369">
        <v>3382</v>
      </c>
      <c r="D369">
        <v>1.03</v>
      </c>
      <c r="E369">
        <v>1.03</v>
      </c>
      <c r="F369">
        <v>2.77</v>
      </c>
      <c r="G369" s="2">
        <v>6589060000</v>
      </c>
      <c r="H369">
        <v>8.044</v>
      </c>
      <c r="I369">
        <v>7.744</v>
      </c>
      <c r="J369" t="s">
        <v>484</v>
      </c>
      <c r="K369">
        <v>0.54</v>
      </c>
      <c r="L369">
        <v>0.284226743877171</v>
      </c>
    </row>
    <row r="370" spans="3:12">
      <c r="C370">
        <v>3378</v>
      </c>
      <c r="D370">
        <v>1.39</v>
      </c>
      <c r="E370">
        <v>1.2</v>
      </c>
      <c r="F370">
        <v>5.78</v>
      </c>
      <c r="G370" s="2">
        <v>1341912000</v>
      </c>
      <c r="H370">
        <v>6.8971</v>
      </c>
      <c r="I370">
        <v>7.049</v>
      </c>
      <c r="J370" t="s">
        <v>485</v>
      </c>
      <c r="K370">
        <v>0.61</v>
      </c>
      <c r="L370">
        <v>0.469720604451118</v>
      </c>
    </row>
    <row r="371" spans="3:11">
      <c r="C371">
        <v>2999</v>
      </c>
      <c r="D371">
        <v>1.71</v>
      </c>
      <c r="E371">
        <v>0.97</v>
      </c>
      <c r="F371">
        <v>2.36</v>
      </c>
      <c r="G371" s="2">
        <v>15839031037.5</v>
      </c>
      <c r="H371">
        <v>222.951</v>
      </c>
      <c r="I371" t="s">
        <v>486</v>
      </c>
      <c r="J371">
        <v>5.15</v>
      </c>
      <c r="K371">
        <v>13.616206438889</v>
      </c>
    </row>
    <row r="372" spans="3:10">
      <c r="C372">
        <v>3337</v>
      </c>
      <c r="D372">
        <v>0.63</v>
      </c>
      <c r="E372">
        <v>0.61</v>
      </c>
      <c r="F372">
        <v>5.2</v>
      </c>
      <c r="G372" s="2">
        <v>1443729330.55</v>
      </c>
      <c r="H372" t="s">
        <v>487</v>
      </c>
      <c r="I372">
        <v>0.57</v>
      </c>
      <c r="J372">
        <v>0.656958318561878</v>
      </c>
    </row>
    <row r="373" spans="3:12">
      <c r="C373">
        <v>2727</v>
      </c>
      <c r="D373">
        <v>3.27</v>
      </c>
      <c r="E373">
        <v>3.18</v>
      </c>
      <c r="F373">
        <v>9.25</v>
      </c>
      <c r="G373" s="2">
        <v>9959255200</v>
      </c>
      <c r="H373">
        <v>13.3586</v>
      </c>
      <c r="I373">
        <v>13.358</v>
      </c>
      <c r="J373" t="s">
        <v>488</v>
      </c>
      <c r="K373">
        <v>0.98</v>
      </c>
      <c r="L373">
        <v>0.468104618660277</v>
      </c>
    </row>
    <row r="374" spans="3:12">
      <c r="C374">
        <v>2789</v>
      </c>
      <c r="D374">
        <v>0.3</v>
      </c>
      <c r="E374">
        <v>0.295</v>
      </c>
      <c r="F374">
        <v>0.79</v>
      </c>
      <c r="G374" s="2">
        <v>1924707540</v>
      </c>
      <c r="H374">
        <v>60.1349</v>
      </c>
      <c r="I374">
        <v>57.692</v>
      </c>
      <c r="J374" t="s">
        <v>489</v>
      </c>
      <c r="K374">
        <v>0.45</v>
      </c>
      <c r="L374">
        <v>0.201741376899995</v>
      </c>
    </row>
    <row r="375" spans="3:12">
      <c r="C375">
        <v>3315</v>
      </c>
      <c r="D375">
        <v>2.43</v>
      </c>
      <c r="E375">
        <v>2.42</v>
      </c>
      <c r="F375">
        <v>8.78</v>
      </c>
      <c r="G375" s="2">
        <v>2150860860</v>
      </c>
      <c r="H375">
        <v>8.0566</v>
      </c>
      <c r="I375">
        <v>7.556</v>
      </c>
      <c r="J375" t="s">
        <v>490</v>
      </c>
      <c r="K375">
        <v>1.07</v>
      </c>
      <c r="L375">
        <v>0.950386760997488</v>
      </c>
    </row>
    <row r="376" spans="3:12">
      <c r="C376">
        <v>2388</v>
      </c>
      <c r="D376">
        <v>19.42</v>
      </c>
      <c r="E376">
        <v>19.4</v>
      </c>
      <c r="F376">
        <v>33.7</v>
      </c>
      <c r="G376" s="2">
        <v>213041522359.9</v>
      </c>
      <c r="H376">
        <v>8.6683</v>
      </c>
      <c r="I376">
        <v>8.354</v>
      </c>
      <c r="J376" t="s">
        <v>491</v>
      </c>
      <c r="K376">
        <v>1.15</v>
      </c>
      <c r="L376">
        <v>3.25983207415915</v>
      </c>
    </row>
    <row r="377" spans="3:12">
      <c r="C377">
        <v>6136</v>
      </c>
      <c r="D377">
        <v>1.4</v>
      </c>
      <c r="E377">
        <v>1.38</v>
      </c>
      <c r="F377">
        <v>5.11</v>
      </c>
      <c r="G377" s="2">
        <v>2997896750</v>
      </c>
      <c r="H377">
        <v>8.1331</v>
      </c>
      <c r="I377">
        <v>6.744</v>
      </c>
      <c r="J377" t="s">
        <v>492</v>
      </c>
      <c r="K377">
        <v>0.79</v>
      </c>
      <c r="L377">
        <v>1.49904928226864</v>
      </c>
    </row>
    <row r="378" spans="3:12">
      <c r="C378">
        <v>2357</v>
      </c>
      <c r="D378">
        <v>5.05</v>
      </c>
      <c r="E378">
        <v>3.9</v>
      </c>
      <c r="F378">
        <v>10.5</v>
      </c>
      <c r="G378" s="2">
        <v>12583357036.68</v>
      </c>
      <c r="H378">
        <v>29.9236</v>
      </c>
      <c r="I378">
        <v>28.228</v>
      </c>
      <c r="J378" t="s">
        <v>493</v>
      </c>
      <c r="K378">
        <v>2.02</v>
      </c>
      <c r="L378">
        <v>1.01350526512568</v>
      </c>
    </row>
    <row r="379" spans="3:12">
      <c r="C379">
        <v>2348</v>
      </c>
      <c r="D379">
        <v>4.91</v>
      </c>
      <c r="E379">
        <v>3.91</v>
      </c>
      <c r="F379">
        <v>8.13</v>
      </c>
      <c r="G379" s="2">
        <v>4104724800</v>
      </c>
      <c r="H379">
        <v>16.002</v>
      </c>
      <c r="I379">
        <v>15.416</v>
      </c>
      <c r="J379" t="s">
        <v>494</v>
      </c>
      <c r="K379">
        <v>2.51</v>
      </c>
      <c r="L379">
        <v>3.27211623039327</v>
      </c>
    </row>
    <row r="380" spans="3:12">
      <c r="C380">
        <v>2280</v>
      </c>
      <c r="D380">
        <v>3.36</v>
      </c>
      <c r="E380">
        <v>3.04</v>
      </c>
      <c r="F380">
        <v>18.48</v>
      </c>
      <c r="G380" s="2">
        <v>3113813516.38</v>
      </c>
      <c r="H380">
        <v>13.2719</v>
      </c>
      <c r="I380">
        <v>9.483</v>
      </c>
      <c r="J380" t="s">
        <v>495</v>
      </c>
      <c r="K380">
        <v>1.61</v>
      </c>
      <c r="L380">
        <v>2.50344826483432</v>
      </c>
    </row>
    <row r="381" spans="3:12">
      <c r="C381">
        <v>2211</v>
      </c>
      <c r="D381">
        <v>2.47</v>
      </c>
      <c r="E381">
        <v>2.31</v>
      </c>
      <c r="F381">
        <v>5.58</v>
      </c>
      <c r="G381" s="2">
        <v>4940000000</v>
      </c>
      <c r="H381">
        <v>8.3574</v>
      </c>
      <c r="I381">
        <v>8.311</v>
      </c>
      <c r="J381" t="s">
        <v>496</v>
      </c>
      <c r="K381">
        <v>1.45</v>
      </c>
      <c r="L381">
        <v>0.766987806427853</v>
      </c>
    </row>
    <row r="382" spans="3:12">
      <c r="C382">
        <v>2208</v>
      </c>
      <c r="D382">
        <v>10.06</v>
      </c>
      <c r="E382">
        <v>8.53</v>
      </c>
      <c r="F382">
        <v>19.78</v>
      </c>
      <c r="G382" s="2">
        <v>5460511056</v>
      </c>
      <c r="H382">
        <v>13.0569</v>
      </c>
      <c r="I382">
        <v>11.849</v>
      </c>
      <c r="J382" t="s">
        <v>497</v>
      </c>
      <c r="K382">
        <v>1.66</v>
      </c>
      <c r="L382">
        <v>1.21872505422154</v>
      </c>
    </row>
    <row r="383" spans="3:12">
      <c r="C383">
        <v>2018</v>
      </c>
      <c r="D383">
        <v>47.35</v>
      </c>
      <c r="E383">
        <v>34</v>
      </c>
      <c r="F383">
        <v>60</v>
      </c>
      <c r="G383" s="2">
        <v>61215800000</v>
      </c>
      <c r="H383">
        <v>21.1231</v>
      </c>
      <c r="I383">
        <v>20.064</v>
      </c>
      <c r="J383" t="s">
        <v>498</v>
      </c>
      <c r="K383">
        <v>5.2</v>
      </c>
      <c r="L383">
        <v>4.67708526988275</v>
      </c>
    </row>
    <row r="384" spans="3:12">
      <c r="C384">
        <v>2009</v>
      </c>
      <c r="D384">
        <v>4.17</v>
      </c>
      <c r="E384">
        <v>4.01</v>
      </c>
      <c r="F384">
        <v>10.78</v>
      </c>
      <c r="G384" s="2">
        <v>5156976538.35</v>
      </c>
      <c r="H384">
        <v>7.7721</v>
      </c>
      <c r="I384">
        <v>6.431</v>
      </c>
      <c r="J384" t="s">
        <v>499</v>
      </c>
      <c r="K384">
        <v>0.62</v>
      </c>
      <c r="L384">
        <v>0.501125244350544</v>
      </c>
    </row>
    <row r="385" spans="3:10">
      <c r="C385">
        <v>1980</v>
      </c>
      <c r="D385">
        <v>3.63</v>
      </c>
      <c r="E385">
        <v>2.28</v>
      </c>
      <c r="F385">
        <v>7.72</v>
      </c>
      <c r="G385" s="2">
        <v>5039312472.32</v>
      </c>
      <c r="H385" t="s">
        <v>500</v>
      </c>
      <c r="I385">
        <v>1.88</v>
      </c>
      <c r="J385">
        <v>5.36003806392745</v>
      </c>
    </row>
    <row r="386" spans="3:12">
      <c r="C386">
        <v>1833</v>
      </c>
      <c r="D386">
        <v>5.53</v>
      </c>
      <c r="E386">
        <v>4.2</v>
      </c>
      <c r="F386">
        <v>17.24</v>
      </c>
      <c r="G386" s="2">
        <v>12448099089.8</v>
      </c>
      <c r="H386">
        <v>8.8769</v>
      </c>
      <c r="I386">
        <v>8.288</v>
      </c>
      <c r="J386" t="s">
        <v>501</v>
      </c>
      <c r="K386">
        <v>0.93</v>
      </c>
      <c r="L386">
        <v>1.47416862595122</v>
      </c>
    </row>
    <row r="387" spans="3:12">
      <c r="C387">
        <v>1883</v>
      </c>
      <c r="D387">
        <v>2.47</v>
      </c>
      <c r="E387">
        <v>2.28</v>
      </c>
      <c r="F387">
        <v>4.42</v>
      </c>
      <c r="G387" s="2">
        <v>8388208403.04</v>
      </c>
      <c r="H387">
        <v>11.5902</v>
      </c>
      <c r="I387">
        <v>11.393</v>
      </c>
      <c r="J387" t="s">
        <v>502</v>
      </c>
      <c r="K387">
        <v>1.25</v>
      </c>
      <c r="L387">
        <v>0.960049550944564</v>
      </c>
    </row>
    <row r="388" spans="3:12">
      <c r="C388">
        <v>1813</v>
      </c>
      <c r="D388">
        <v>4.4</v>
      </c>
      <c r="E388">
        <v>4.25</v>
      </c>
      <c r="F388">
        <v>8.7</v>
      </c>
      <c r="G388" s="2">
        <v>14083467881.6</v>
      </c>
      <c r="H388">
        <v>3.4421</v>
      </c>
      <c r="I388">
        <v>3.136</v>
      </c>
      <c r="J388" t="s">
        <v>503</v>
      </c>
      <c r="K388">
        <v>0.55</v>
      </c>
      <c r="L388">
        <v>1.40014841573206</v>
      </c>
    </row>
    <row r="389" spans="3:12">
      <c r="C389">
        <v>1818</v>
      </c>
      <c r="D389">
        <v>4.61</v>
      </c>
      <c r="E389">
        <v>3.4</v>
      </c>
      <c r="F389">
        <v>6.74</v>
      </c>
      <c r="G389" s="2">
        <v>4100682740</v>
      </c>
      <c r="H389">
        <v>24.428</v>
      </c>
      <c r="I389">
        <v>24.01</v>
      </c>
      <c r="J389" t="s">
        <v>504</v>
      </c>
      <c r="K389">
        <v>1.19</v>
      </c>
      <c r="L389">
        <v>1.97546065088774</v>
      </c>
    </row>
    <row r="390" spans="3:12">
      <c r="C390">
        <v>1788</v>
      </c>
      <c r="D390">
        <v>1.83</v>
      </c>
      <c r="E390">
        <v>1.56</v>
      </c>
      <c r="F390">
        <v>5.82</v>
      </c>
      <c r="G390" s="2">
        <v>13521900991.95</v>
      </c>
      <c r="H390">
        <v>16.9068</v>
      </c>
      <c r="I390">
        <v>13.147</v>
      </c>
      <c r="J390" t="s">
        <v>505</v>
      </c>
      <c r="K390">
        <v>1.83</v>
      </c>
      <c r="L390">
        <v>5.54765291607396</v>
      </c>
    </row>
    <row r="391" spans="3:12">
      <c r="C391" t="s">
        <v>506</v>
      </c>
      <c r="D391">
        <v>17.56</v>
      </c>
      <c r="E391">
        <v>14.36</v>
      </c>
      <c r="F391">
        <v>38.32</v>
      </c>
      <c r="G391" s="2">
        <v>70672181997.51</v>
      </c>
      <c r="H391">
        <v>34.1691</v>
      </c>
      <c r="I391">
        <v>9.8574</v>
      </c>
      <c r="J391" t="s">
        <v>507</v>
      </c>
      <c r="K391">
        <v>1.88</v>
      </c>
      <c r="L391">
        <v>4.5618</v>
      </c>
    </row>
    <row r="392" spans="3:12">
      <c r="C392">
        <v>1778</v>
      </c>
      <c r="D392">
        <v>5.02</v>
      </c>
      <c r="E392">
        <v>4.45</v>
      </c>
      <c r="F392">
        <v>13.5</v>
      </c>
      <c r="G392" s="2">
        <v>5030598570</v>
      </c>
      <c r="H392">
        <v>27.5627</v>
      </c>
      <c r="I392">
        <v>24.1</v>
      </c>
      <c r="J392" t="s">
        <v>508</v>
      </c>
      <c r="K392">
        <v>3.58</v>
      </c>
      <c r="L392">
        <v>7.13361039538638</v>
      </c>
    </row>
    <row r="393" spans="3:12">
      <c r="C393">
        <v>1766</v>
      </c>
      <c r="D393">
        <v>6.9</v>
      </c>
      <c r="E393">
        <v>6.56</v>
      </c>
      <c r="F393">
        <v>20.65</v>
      </c>
      <c r="G393" s="2">
        <v>31646518129.6</v>
      </c>
      <c r="H393">
        <v>28.3324</v>
      </c>
      <c r="I393">
        <v>14.33</v>
      </c>
      <c r="J393" t="s">
        <v>509</v>
      </c>
      <c r="K393">
        <v>1.72</v>
      </c>
      <c r="L393">
        <v>0.851966726237105</v>
      </c>
    </row>
    <row r="394" spans="3:12">
      <c r="C394" t="s">
        <v>510</v>
      </c>
      <c r="D394">
        <v>10.44</v>
      </c>
      <c r="E394">
        <v>9.63</v>
      </c>
      <c r="F394">
        <v>39.47</v>
      </c>
      <c r="G394" s="2">
        <v>291171051413.11</v>
      </c>
      <c r="H394">
        <v>54.7832</v>
      </c>
      <c r="I394">
        <v>31.3019</v>
      </c>
      <c r="J394" t="s">
        <v>509</v>
      </c>
      <c r="K394">
        <v>3.01</v>
      </c>
      <c r="L394">
        <v>2.4213</v>
      </c>
    </row>
    <row r="395" spans="3:12">
      <c r="C395" t="s">
        <v>511</v>
      </c>
      <c r="D395">
        <v>5.35</v>
      </c>
      <c r="E395">
        <v>4.88</v>
      </c>
      <c r="F395">
        <v>12.52</v>
      </c>
      <c r="G395" s="2">
        <v>163800000000</v>
      </c>
      <c r="H395">
        <v>7.2574</v>
      </c>
      <c r="I395">
        <v>6.6284</v>
      </c>
      <c r="J395" t="s">
        <v>512</v>
      </c>
      <c r="K395">
        <v>1.02</v>
      </c>
      <c r="L395">
        <v>0.1938</v>
      </c>
    </row>
    <row r="396" spans="3:12">
      <c r="C396">
        <v>1661</v>
      </c>
      <c r="D396">
        <v>3.9</v>
      </c>
      <c r="E396">
        <v>2.64</v>
      </c>
      <c r="F396">
        <v>8.82</v>
      </c>
      <c r="G396" s="2">
        <v>6323546850</v>
      </c>
      <c r="H396">
        <v>18.1918</v>
      </c>
      <c r="I396">
        <v>18.056</v>
      </c>
      <c r="J396" t="s">
        <v>513</v>
      </c>
      <c r="K396">
        <v>4.36</v>
      </c>
      <c r="L396">
        <v>7.98247090013591</v>
      </c>
    </row>
    <row r="397" spans="3:12">
      <c r="C397">
        <v>2722</v>
      </c>
      <c r="D397">
        <v>0.85</v>
      </c>
      <c r="E397">
        <v>0.84</v>
      </c>
      <c r="F397">
        <v>2.11</v>
      </c>
      <c r="G397" s="2">
        <v>935159349.5</v>
      </c>
      <c r="H397">
        <v>4.8926</v>
      </c>
      <c r="I397">
        <v>4.893</v>
      </c>
      <c r="J397" t="s">
        <v>514</v>
      </c>
      <c r="K397">
        <v>0.42</v>
      </c>
      <c r="L397">
        <v>0.265261291953187</v>
      </c>
    </row>
    <row r="398" spans="3:12">
      <c r="C398">
        <v>1666</v>
      </c>
      <c r="D398">
        <v>11.56</v>
      </c>
      <c r="E398">
        <v>9</v>
      </c>
      <c r="F398">
        <v>14.9</v>
      </c>
      <c r="G398" s="2">
        <v>7355836800</v>
      </c>
      <c r="H398">
        <v>25.9296</v>
      </c>
      <c r="I398">
        <v>25.621</v>
      </c>
      <c r="J398" t="s">
        <v>515</v>
      </c>
      <c r="K398">
        <v>3.15</v>
      </c>
      <c r="L398">
        <v>2.57597099905798</v>
      </c>
    </row>
    <row r="399" spans="3:12">
      <c r="C399">
        <v>1639</v>
      </c>
      <c r="D399">
        <v>0.65</v>
      </c>
      <c r="E399">
        <v>0.56</v>
      </c>
      <c r="F399">
        <v>3.8</v>
      </c>
      <c r="G399" s="2">
        <v>602356700</v>
      </c>
      <c r="H399">
        <v>20.3781</v>
      </c>
      <c r="I399">
        <v>20.9</v>
      </c>
      <c r="J399" t="s">
        <v>516</v>
      </c>
      <c r="K399">
        <v>1.15</v>
      </c>
      <c r="L399">
        <v>0.941648656992899</v>
      </c>
    </row>
    <row r="400" spans="3:12">
      <c r="C400">
        <v>1385</v>
      </c>
      <c r="D400">
        <v>4.4</v>
      </c>
      <c r="E400">
        <v>4.18</v>
      </c>
      <c r="F400">
        <v>11.26</v>
      </c>
      <c r="G400" s="2">
        <v>1075945200</v>
      </c>
      <c r="H400">
        <v>13.0508</v>
      </c>
      <c r="I400">
        <v>12.934</v>
      </c>
      <c r="J400" t="s">
        <v>517</v>
      </c>
      <c r="K400">
        <v>2.38</v>
      </c>
      <c r="L400">
        <v>2.46233916031106</v>
      </c>
    </row>
    <row r="401" spans="3:12">
      <c r="C401">
        <v>1515</v>
      </c>
      <c r="D401">
        <v>5.81</v>
      </c>
      <c r="E401">
        <v>5.75</v>
      </c>
      <c r="F401">
        <v>17.2</v>
      </c>
      <c r="G401" s="2">
        <v>5077616670</v>
      </c>
      <c r="H401">
        <v>17.6517</v>
      </c>
      <c r="I401">
        <v>16.782</v>
      </c>
      <c r="J401" t="s">
        <v>518</v>
      </c>
      <c r="K401">
        <v>2.51</v>
      </c>
      <c r="L401">
        <v>3.11538795389053</v>
      </c>
    </row>
    <row r="402" spans="3:10">
      <c r="C402">
        <v>1886</v>
      </c>
      <c r="D402">
        <v>2.97</v>
      </c>
      <c r="E402">
        <v>2.03</v>
      </c>
      <c r="F402">
        <v>5.1</v>
      </c>
      <c r="G402" s="2">
        <v>7766497176.85</v>
      </c>
      <c r="H402" t="s">
        <v>519</v>
      </c>
      <c r="I402">
        <v>0.62</v>
      </c>
      <c r="J402">
        <v>1.13904643872163</v>
      </c>
    </row>
    <row r="403" spans="3:12">
      <c r="C403">
        <v>1363</v>
      </c>
      <c r="D403">
        <v>2.07</v>
      </c>
      <c r="E403">
        <v>1.99</v>
      </c>
      <c r="F403">
        <v>11.98</v>
      </c>
      <c r="G403" s="2">
        <v>13328430773.96</v>
      </c>
      <c r="H403">
        <v>30.7903</v>
      </c>
      <c r="I403">
        <v>27.417</v>
      </c>
      <c r="J403" t="s">
        <v>520</v>
      </c>
      <c r="K403">
        <v>4.98</v>
      </c>
      <c r="L403">
        <v>2.0963735717834</v>
      </c>
    </row>
    <row r="404" spans="3:12">
      <c r="C404">
        <v>1358</v>
      </c>
      <c r="D404">
        <v>1.56</v>
      </c>
      <c r="E404">
        <v>1.34</v>
      </c>
      <c r="F404">
        <v>5.04</v>
      </c>
      <c r="G404" s="2">
        <v>2660105247.12</v>
      </c>
      <c r="H404">
        <v>11.8172</v>
      </c>
      <c r="I404">
        <v>11.8</v>
      </c>
      <c r="J404" t="s">
        <v>521</v>
      </c>
      <c r="K404">
        <v>1</v>
      </c>
      <c r="L404">
        <v>3.20190461369081</v>
      </c>
    </row>
    <row r="405" spans="3:12">
      <c r="C405">
        <v>1349</v>
      </c>
      <c r="D405">
        <v>6.11</v>
      </c>
      <c r="E405">
        <v>5.37</v>
      </c>
      <c r="F405">
        <v>12.64</v>
      </c>
      <c r="G405" s="2">
        <v>2091000000</v>
      </c>
      <c r="H405">
        <v>38.1385</v>
      </c>
      <c r="I405">
        <v>38.14</v>
      </c>
      <c r="J405" t="s">
        <v>522</v>
      </c>
      <c r="K405">
        <v>6.95</v>
      </c>
      <c r="L405">
        <v>9.30787687025894</v>
      </c>
    </row>
    <row r="406" spans="3:12">
      <c r="C406">
        <v>1345</v>
      </c>
      <c r="D406">
        <v>1.74</v>
      </c>
      <c r="E406">
        <v>1.71</v>
      </c>
      <c r="F406">
        <v>7.79</v>
      </c>
      <c r="G406" s="2">
        <v>2440001220</v>
      </c>
      <c r="H406">
        <v>7.0893</v>
      </c>
      <c r="I406">
        <v>7.09</v>
      </c>
      <c r="J406" t="s">
        <v>523</v>
      </c>
      <c r="K406">
        <v>1.9</v>
      </c>
      <c r="L406">
        <v>1.13805457741595</v>
      </c>
    </row>
    <row r="407" spans="3:12">
      <c r="C407">
        <v>1297</v>
      </c>
      <c r="D407">
        <v>3.2</v>
      </c>
      <c r="E407">
        <v>2.47</v>
      </c>
      <c r="F407">
        <v>7.76</v>
      </c>
      <c r="G407" s="2">
        <v>3468386880</v>
      </c>
      <c r="H407">
        <v>20.6188</v>
      </c>
      <c r="I407">
        <v>19.632</v>
      </c>
      <c r="J407" t="s">
        <v>524</v>
      </c>
      <c r="K407">
        <v>3.52</v>
      </c>
      <c r="L407">
        <v>7.59629731148047</v>
      </c>
    </row>
    <row r="408" spans="3:12">
      <c r="C408">
        <v>1314</v>
      </c>
      <c r="D408">
        <v>1.43</v>
      </c>
      <c r="E408">
        <v>1.35</v>
      </c>
      <c r="F408">
        <v>3.41</v>
      </c>
      <c r="G408" s="2">
        <v>1993546054.5</v>
      </c>
      <c r="H408">
        <v>12.6649</v>
      </c>
      <c r="I408">
        <v>12.779</v>
      </c>
      <c r="J408" t="s">
        <v>525</v>
      </c>
      <c r="K408">
        <v>1.63</v>
      </c>
      <c r="L408">
        <v>1.03898017832142</v>
      </c>
    </row>
    <row r="409" spans="3:12">
      <c r="C409">
        <v>1211</v>
      </c>
      <c r="D409">
        <v>34.1</v>
      </c>
      <c r="E409">
        <v>18.7</v>
      </c>
      <c r="F409">
        <v>62.3</v>
      </c>
      <c r="G409" s="2">
        <v>32574000000</v>
      </c>
      <c r="H409">
        <v>162.6064</v>
      </c>
      <c r="I409">
        <v>152.573</v>
      </c>
      <c r="J409" t="s">
        <v>526</v>
      </c>
      <c r="K409">
        <v>2.69</v>
      </c>
      <c r="L409">
        <v>1.13650834672927</v>
      </c>
    </row>
    <row r="410" spans="3:12">
      <c r="C410">
        <v>1112</v>
      </c>
      <c r="D410">
        <v>16.28</v>
      </c>
      <c r="E410">
        <v>11.8</v>
      </c>
      <c r="F410">
        <v>42</v>
      </c>
      <c r="G410" s="2">
        <v>10950797803.88</v>
      </c>
      <c r="H410">
        <v>10.1682</v>
      </c>
      <c r="I410">
        <v>9.721</v>
      </c>
      <c r="J410" t="s">
        <v>527</v>
      </c>
      <c r="K410">
        <v>3.1</v>
      </c>
      <c r="L410">
        <v>2.08463054506657</v>
      </c>
    </row>
    <row r="411" spans="3:10">
      <c r="C411">
        <v>1060</v>
      </c>
      <c r="D411">
        <v>1.61</v>
      </c>
      <c r="E411">
        <v>1.24</v>
      </c>
      <c r="F411">
        <v>4.9</v>
      </c>
      <c r="G411" s="2">
        <v>41132335098.3</v>
      </c>
      <c r="H411" t="s">
        <v>528</v>
      </c>
      <c r="I411">
        <v>2.09</v>
      </c>
      <c r="J411">
        <v>181.082137969036</v>
      </c>
    </row>
    <row r="412" spans="3:12">
      <c r="C412">
        <v>1055</v>
      </c>
      <c r="D412">
        <v>4.5</v>
      </c>
      <c r="E412">
        <v>2.38</v>
      </c>
      <c r="F412">
        <v>10.36</v>
      </c>
      <c r="G412" s="2">
        <v>12577126500</v>
      </c>
      <c r="H412">
        <v>19.8829</v>
      </c>
      <c r="I412">
        <v>19.885</v>
      </c>
      <c r="J412" t="s">
        <v>529</v>
      </c>
      <c r="K412">
        <v>0.9</v>
      </c>
      <c r="L412">
        <v>0.323290917857069</v>
      </c>
    </row>
    <row r="413" spans="3:12">
      <c r="C413">
        <v>1052</v>
      </c>
      <c r="D413">
        <v>4.32</v>
      </c>
      <c r="E413">
        <v>4.28</v>
      </c>
      <c r="F413">
        <v>6.09</v>
      </c>
      <c r="G413" s="2">
        <v>7244792737.35</v>
      </c>
      <c r="H413">
        <v>9.5081</v>
      </c>
      <c r="I413">
        <v>9.486</v>
      </c>
      <c r="J413" t="s">
        <v>530</v>
      </c>
      <c r="K413">
        <v>0.69</v>
      </c>
      <c r="L413">
        <v>2.95188429955187</v>
      </c>
    </row>
    <row r="414" spans="3:12">
      <c r="C414">
        <v>1035</v>
      </c>
      <c r="D414">
        <v>1.7</v>
      </c>
      <c r="E414">
        <v>1.39</v>
      </c>
      <c r="F414">
        <v>5.66</v>
      </c>
      <c r="G414" s="2">
        <v>966374064</v>
      </c>
      <c r="H414">
        <v>21.926</v>
      </c>
      <c r="I414">
        <v>16.098</v>
      </c>
      <c r="J414" t="s">
        <v>531</v>
      </c>
      <c r="K414">
        <v>1.56</v>
      </c>
      <c r="L414">
        <v>2.84764564251998</v>
      </c>
    </row>
    <row r="415" spans="3:12">
      <c r="C415">
        <v>978</v>
      </c>
      <c r="D415">
        <v>1.07</v>
      </c>
      <c r="E415">
        <v>0.91</v>
      </c>
      <c r="F415">
        <v>2.76</v>
      </c>
      <c r="G415" s="2">
        <v>5493888803.2</v>
      </c>
      <c r="H415">
        <v>11.5549</v>
      </c>
      <c r="I415">
        <v>11.042</v>
      </c>
      <c r="J415" t="s">
        <v>532</v>
      </c>
      <c r="K415">
        <v>0.85</v>
      </c>
      <c r="L415">
        <v>1.50716127680674</v>
      </c>
    </row>
    <row r="416" spans="3:12">
      <c r="C416">
        <v>1030</v>
      </c>
      <c r="D416">
        <v>1</v>
      </c>
      <c r="E416">
        <v>0.62</v>
      </c>
      <c r="F416">
        <v>1.87</v>
      </c>
      <c r="G416" s="2">
        <v>5658000000</v>
      </c>
      <c r="H416">
        <v>4.4115</v>
      </c>
      <c r="I416">
        <v>4.419</v>
      </c>
      <c r="J416" t="s">
        <v>533</v>
      </c>
      <c r="K416">
        <v>0.6</v>
      </c>
      <c r="L416">
        <v>0.256978738185672</v>
      </c>
    </row>
    <row r="417" spans="3:12">
      <c r="C417">
        <v>966</v>
      </c>
      <c r="D417">
        <v>16.84</v>
      </c>
      <c r="E417">
        <v>13.66</v>
      </c>
      <c r="F417">
        <v>33.3</v>
      </c>
      <c r="G417" s="2">
        <v>63470367381.08</v>
      </c>
      <c r="H417">
        <v>16.0138</v>
      </c>
      <c r="I417">
        <v>11.68</v>
      </c>
      <c r="J417" t="s">
        <v>534</v>
      </c>
      <c r="K417">
        <v>1</v>
      </c>
      <c r="L417">
        <v>0.44</v>
      </c>
    </row>
    <row r="418" spans="3:12">
      <c r="C418">
        <v>963</v>
      </c>
      <c r="D418">
        <v>15.96</v>
      </c>
      <c r="E418">
        <v>9.6</v>
      </c>
      <c r="F418">
        <v>20.95</v>
      </c>
      <c r="G418" s="2">
        <v>5768671674.28</v>
      </c>
      <c r="H418">
        <v>28.4664</v>
      </c>
      <c r="I418">
        <v>26.16</v>
      </c>
      <c r="J418" t="s">
        <v>535</v>
      </c>
      <c r="K418">
        <v>5.05</v>
      </c>
      <c r="L418">
        <v>6.8872042874818</v>
      </c>
    </row>
    <row r="419" spans="3:12">
      <c r="C419">
        <v>882</v>
      </c>
      <c r="D419">
        <v>3.52</v>
      </c>
      <c r="E419">
        <v>3.5</v>
      </c>
      <c r="F419">
        <v>8.69</v>
      </c>
      <c r="G419" s="2">
        <v>3872700151.25</v>
      </c>
      <c r="H419">
        <v>5.3287</v>
      </c>
      <c r="I419">
        <v>5.302</v>
      </c>
      <c r="J419" t="s">
        <v>536</v>
      </c>
      <c r="K419">
        <v>0.33</v>
      </c>
      <c r="L419">
        <v>0.715659258965565</v>
      </c>
    </row>
    <row r="420" spans="3:12">
      <c r="C420">
        <v>906</v>
      </c>
      <c r="D420">
        <v>3.74</v>
      </c>
      <c r="E420">
        <v>3.5</v>
      </c>
      <c r="F420">
        <v>6.93</v>
      </c>
      <c r="G420" s="2">
        <v>3880508400</v>
      </c>
      <c r="H420">
        <v>8.9732</v>
      </c>
      <c r="I420">
        <v>8.627</v>
      </c>
      <c r="J420" t="s">
        <v>537</v>
      </c>
      <c r="K420">
        <v>0.74</v>
      </c>
      <c r="L420">
        <v>0.580514964766965</v>
      </c>
    </row>
    <row r="421" spans="3:10">
      <c r="C421">
        <v>819</v>
      </c>
      <c r="D421">
        <v>5.3</v>
      </c>
      <c r="E421">
        <v>1.8</v>
      </c>
      <c r="F421">
        <v>7.42</v>
      </c>
      <c r="G421" s="2">
        <v>6199225270</v>
      </c>
      <c r="H421" t="s">
        <v>538</v>
      </c>
      <c r="I421">
        <v>1.73</v>
      </c>
      <c r="J421">
        <v>0.316943111524205</v>
      </c>
    </row>
    <row r="422" spans="3:12">
      <c r="C422">
        <v>816</v>
      </c>
      <c r="D422">
        <v>1.46</v>
      </c>
      <c r="E422">
        <v>1.39</v>
      </c>
      <c r="F422">
        <v>5.01</v>
      </c>
      <c r="G422" s="2">
        <v>3983845836</v>
      </c>
      <c r="H422">
        <v>5.5819</v>
      </c>
      <c r="I422">
        <v>4.99</v>
      </c>
      <c r="J422" t="s">
        <v>539</v>
      </c>
      <c r="K422">
        <v>0.58</v>
      </c>
      <c r="L422">
        <v>0.685806854596151</v>
      </c>
    </row>
    <row r="423" spans="3:12">
      <c r="C423">
        <v>818</v>
      </c>
      <c r="D423">
        <v>1.05</v>
      </c>
      <c r="E423">
        <v>1</v>
      </c>
      <c r="F423">
        <v>4.09</v>
      </c>
      <c r="G423" s="2">
        <v>2998980541.8</v>
      </c>
      <c r="H423">
        <v>7.5528</v>
      </c>
      <c r="I423">
        <v>7.343</v>
      </c>
      <c r="J423" t="s">
        <v>540</v>
      </c>
      <c r="K423">
        <v>0.93</v>
      </c>
      <c r="L423">
        <v>3.10344827586206</v>
      </c>
    </row>
    <row r="424" spans="3:12">
      <c r="C424">
        <v>777</v>
      </c>
      <c r="D424">
        <v>17.56</v>
      </c>
      <c r="E424">
        <v>11.8</v>
      </c>
      <c r="F424">
        <v>42.05</v>
      </c>
      <c r="G424" s="2">
        <v>9007899762</v>
      </c>
      <c r="H424">
        <v>40.7741</v>
      </c>
      <c r="I424">
        <v>40.386</v>
      </c>
      <c r="J424" t="s">
        <v>541</v>
      </c>
      <c r="K424">
        <v>1.71</v>
      </c>
      <c r="L424">
        <v>6.31895569125926</v>
      </c>
    </row>
    <row r="425" spans="3:12">
      <c r="C425">
        <v>750</v>
      </c>
      <c r="D425">
        <v>3.41</v>
      </c>
      <c r="E425">
        <v>3.37</v>
      </c>
      <c r="F425">
        <v>15.28</v>
      </c>
      <c r="G425" s="2">
        <v>2397960436.2</v>
      </c>
      <c r="H425">
        <v>3.2823</v>
      </c>
      <c r="I425">
        <v>3.24</v>
      </c>
      <c r="J425" t="s">
        <v>542</v>
      </c>
      <c r="K425">
        <v>0.6</v>
      </c>
      <c r="L425">
        <v>0.415058579346734</v>
      </c>
    </row>
    <row r="426" spans="3:12">
      <c r="C426">
        <v>700</v>
      </c>
      <c r="D426">
        <v>133.1</v>
      </c>
      <c r="E426">
        <v>104.5</v>
      </c>
      <c r="F426">
        <v>171</v>
      </c>
      <c r="G426" s="2">
        <v>1307145434888</v>
      </c>
      <c r="H426">
        <v>42.0416</v>
      </c>
      <c r="I426">
        <v>41.269</v>
      </c>
      <c r="J426" t="s">
        <v>543</v>
      </c>
      <c r="K426">
        <v>10.11</v>
      </c>
      <c r="L426">
        <v>10.7986417011662</v>
      </c>
    </row>
    <row r="427" spans="3:12">
      <c r="C427">
        <v>699</v>
      </c>
      <c r="D427">
        <v>9.67</v>
      </c>
      <c r="E427">
        <v>9.36</v>
      </c>
      <c r="F427">
        <v>22</v>
      </c>
      <c r="G427" s="2">
        <v>23724379804.85</v>
      </c>
      <c r="H427">
        <v>43.5058</v>
      </c>
      <c r="I427">
        <v>35.551</v>
      </c>
      <c r="J427" t="s">
        <v>544</v>
      </c>
      <c r="K427">
        <v>2.98</v>
      </c>
      <c r="L427">
        <v>3.94858288448219</v>
      </c>
    </row>
    <row r="428" spans="3:12">
      <c r="C428">
        <v>696</v>
      </c>
      <c r="D428">
        <v>10.2</v>
      </c>
      <c r="E428">
        <v>6.76</v>
      </c>
      <c r="F428">
        <v>15.6</v>
      </c>
      <c r="G428" s="2">
        <v>9997064640</v>
      </c>
      <c r="H428">
        <v>15.1805</v>
      </c>
      <c r="I428">
        <v>14.444</v>
      </c>
      <c r="J428" t="s">
        <v>545</v>
      </c>
      <c r="K428">
        <v>2.23</v>
      </c>
      <c r="L428">
        <v>4.03587878165794</v>
      </c>
    </row>
    <row r="429" spans="3:12">
      <c r="C429">
        <v>694</v>
      </c>
      <c r="D429">
        <v>7.13</v>
      </c>
      <c r="E429">
        <v>5.26</v>
      </c>
      <c r="F429">
        <v>9.71</v>
      </c>
      <c r="G429" s="2">
        <v>13493833520</v>
      </c>
      <c r="H429">
        <v>17.8753</v>
      </c>
      <c r="I429">
        <v>17.75</v>
      </c>
      <c r="J429" t="s">
        <v>546</v>
      </c>
      <c r="K429">
        <v>1.45</v>
      </c>
      <c r="L429">
        <v>2.97476489538116</v>
      </c>
    </row>
    <row r="430" spans="3:12">
      <c r="C430">
        <v>665</v>
      </c>
      <c r="D430">
        <v>3.6</v>
      </c>
      <c r="E430">
        <v>2.71</v>
      </c>
      <c r="F430">
        <v>9.2</v>
      </c>
      <c r="G430" s="2">
        <v>19678502753.4</v>
      </c>
      <c r="H430">
        <v>19.3254</v>
      </c>
      <c r="I430">
        <v>9.706</v>
      </c>
      <c r="J430" t="s">
        <v>547</v>
      </c>
      <c r="K430">
        <v>0.92</v>
      </c>
      <c r="L430">
        <v>2.29035833025489</v>
      </c>
    </row>
    <row r="431" spans="3:12">
      <c r="C431">
        <v>579</v>
      </c>
      <c r="D431">
        <v>2.08</v>
      </c>
      <c r="E431">
        <v>1.99</v>
      </c>
      <c r="F431">
        <v>4.19</v>
      </c>
      <c r="G431" s="2">
        <v>5187740800</v>
      </c>
      <c r="H431">
        <v>10.004</v>
      </c>
      <c r="I431">
        <v>9.043</v>
      </c>
      <c r="J431" t="s">
        <v>548</v>
      </c>
      <c r="K431">
        <v>0.81</v>
      </c>
      <c r="L431">
        <v>0.784188255369337</v>
      </c>
    </row>
    <row r="432" spans="3:12">
      <c r="C432">
        <v>570</v>
      </c>
      <c r="D432">
        <v>4</v>
      </c>
      <c r="E432">
        <v>3.15</v>
      </c>
      <c r="F432">
        <v>7.03</v>
      </c>
      <c r="G432" s="2">
        <v>18248852854.1</v>
      </c>
      <c r="H432">
        <v>35.3299</v>
      </c>
      <c r="I432">
        <v>19.627</v>
      </c>
      <c r="J432" t="s">
        <v>549</v>
      </c>
      <c r="K432">
        <v>1.4</v>
      </c>
      <c r="L432">
        <v>4.74975069060441</v>
      </c>
    </row>
    <row r="433" spans="3:12">
      <c r="C433">
        <v>940</v>
      </c>
      <c r="D433">
        <v>5.2</v>
      </c>
      <c r="E433">
        <v>4.3</v>
      </c>
      <c r="F433">
        <v>8.09</v>
      </c>
      <c r="G433" s="2">
        <v>10223147235.6</v>
      </c>
      <c r="H433">
        <v>42.8431</v>
      </c>
      <c r="I433">
        <v>37.599</v>
      </c>
      <c r="J433" t="s">
        <v>550</v>
      </c>
      <c r="K433">
        <v>4.91</v>
      </c>
      <c r="L433">
        <v>8.05899431809904</v>
      </c>
    </row>
    <row r="434" spans="3:12">
      <c r="C434">
        <v>560</v>
      </c>
      <c r="D434">
        <v>1.89</v>
      </c>
      <c r="E434">
        <v>1.6</v>
      </c>
      <c r="F434">
        <v>4.85</v>
      </c>
      <c r="G434" s="2">
        <v>2095200000</v>
      </c>
      <c r="H434">
        <v>9.4691</v>
      </c>
      <c r="I434">
        <v>7.686</v>
      </c>
      <c r="J434" t="s">
        <v>551</v>
      </c>
      <c r="K434">
        <v>0.76</v>
      </c>
      <c r="L434">
        <v>1.07289016701692</v>
      </c>
    </row>
    <row r="435" spans="3:12">
      <c r="C435">
        <v>543</v>
      </c>
      <c r="D435">
        <v>2.03</v>
      </c>
      <c r="E435">
        <v>1.84</v>
      </c>
      <c r="F435">
        <v>5.16</v>
      </c>
      <c r="G435" s="2">
        <v>2364505791.56</v>
      </c>
      <c r="H435">
        <v>8.5478</v>
      </c>
      <c r="I435">
        <v>8.117</v>
      </c>
      <c r="J435" t="s">
        <v>552</v>
      </c>
      <c r="K435">
        <v>2.17</v>
      </c>
      <c r="L435">
        <v>1.90858833519391</v>
      </c>
    </row>
    <row r="436" spans="3:12">
      <c r="C436">
        <v>525</v>
      </c>
      <c r="D436">
        <v>3.37</v>
      </c>
      <c r="E436">
        <v>2.88</v>
      </c>
      <c r="F436">
        <v>5.43</v>
      </c>
      <c r="G436" s="2">
        <v>4766229000</v>
      </c>
      <c r="H436">
        <v>28.4953</v>
      </c>
      <c r="I436">
        <v>28.828</v>
      </c>
      <c r="J436" t="s">
        <v>553</v>
      </c>
      <c r="K436">
        <v>0.69</v>
      </c>
      <c r="L436">
        <v>1.27908846916418</v>
      </c>
    </row>
    <row r="437" spans="3:12">
      <c r="C437">
        <v>510</v>
      </c>
      <c r="D437">
        <v>0.26</v>
      </c>
      <c r="E437">
        <v>0.17</v>
      </c>
      <c r="F437">
        <v>1.13</v>
      </c>
      <c r="G437" s="2">
        <v>1116277088.76</v>
      </c>
      <c r="H437">
        <v>34.163</v>
      </c>
      <c r="I437">
        <v>31.325</v>
      </c>
      <c r="J437" t="s">
        <v>554</v>
      </c>
      <c r="K437">
        <v>1.78</v>
      </c>
      <c r="L437">
        <v>3.71389270976616</v>
      </c>
    </row>
    <row r="438" spans="3:12">
      <c r="C438">
        <v>498</v>
      </c>
      <c r="D438">
        <v>0.105</v>
      </c>
      <c r="E438">
        <v>0.104</v>
      </c>
      <c r="F438">
        <v>0.33</v>
      </c>
      <c r="G438" s="2">
        <v>498932302.35</v>
      </c>
      <c r="H438">
        <v>5.7997</v>
      </c>
      <c r="I438">
        <v>5.585</v>
      </c>
      <c r="J438" t="s">
        <v>555</v>
      </c>
      <c r="K438">
        <v>0.11</v>
      </c>
      <c r="L438">
        <v>0.903814262023217</v>
      </c>
    </row>
    <row r="439" spans="3:12">
      <c r="C439">
        <v>493</v>
      </c>
      <c r="D439">
        <v>1.01</v>
      </c>
      <c r="E439">
        <v>0.96</v>
      </c>
      <c r="F439">
        <v>2.51</v>
      </c>
      <c r="G439" s="2">
        <v>19336193701.08</v>
      </c>
      <c r="H439">
        <v>12.0834</v>
      </c>
      <c r="I439">
        <v>10.677</v>
      </c>
      <c r="J439" t="s">
        <v>556</v>
      </c>
      <c r="K439">
        <v>0.89</v>
      </c>
      <c r="L439">
        <v>0.236311219670734</v>
      </c>
    </row>
    <row r="440" spans="3:12">
      <c r="C440">
        <v>434</v>
      </c>
      <c r="D440">
        <v>2.56</v>
      </c>
      <c r="E440">
        <v>2.34</v>
      </c>
      <c r="F440">
        <v>10.86</v>
      </c>
      <c r="G440" s="2">
        <v>1973873499.84</v>
      </c>
      <c r="H440">
        <v>5.6365</v>
      </c>
      <c r="I440">
        <v>4.867</v>
      </c>
      <c r="J440" t="s">
        <v>557</v>
      </c>
      <c r="K440">
        <v>1.03</v>
      </c>
      <c r="L440">
        <v>1.82126963388668</v>
      </c>
    </row>
    <row r="441" spans="3:10">
      <c r="C441">
        <v>402</v>
      </c>
      <c r="D441">
        <v>0.26</v>
      </c>
      <c r="E441">
        <v>0.16</v>
      </c>
      <c r="F441">
        <v>0.73</v>
      </c>
      <c r="G441" s="2">
        <v>2243114800.03</v>
      </c>
      <c r="H441" t="s">
        <v>558</v>
      </c>
      <c r="I441">
        <v>1.99</v>
      </c>
      <c r="J441">
        <v>6.45539906103286</v>
      </c>
    </row>
    <row r="442" spans="3:12">
      <c r="C442">
        <v>400</v>
      </c>
      <c r="D442">
        <v>8.02</v>
      </c>
      <c r="E442">
        <v>3.23</v>
      </c>
      <c r="F442">
        <v>16.8</v>
      </c>
      <c r="G442" s="2">
        <v>11265910875</v>
      </c>
      <c r="H442">
        <v>46.4143</v>
      </c>
      <c r="I442">
        <v>38.263</v>
      </c>
      <c r="J442" t="s">
        <v>559</v>
      </c>
      <c r="K442">
        <v>5.46</v>
      </c>
      <c r="L442">
        <v>1.0376378995047</v>
      </c>
    </row>
    <row r="443" spans="3:12">
      <c r="C443">
        <v>546</v>
      </c>
      <c r="D443">
        <v>2.6</v>
      </c>
      <c r="E443">
        <v>2.43</v>
      </c>
      <c r="F443">
        <v>6.82</v>
      </c>
      <c r="G443" s="2">
        <v>5380512121.49</v>
      </c>
      <c r="H443">
        <v>6.8692</v>
      </c>
      <c r="I443">
        <v>6.935</v>
      </c>
      <c r="J443" t="s">
        <v>560</v>
      </c>
      <c r="K443">
        <v>0.76</v>
      </c>
      <c r="L443">
        <v>0.374186644688826</v>
      </c>
    </row>
    <row r="444" spans="3:12">
      <c r="C444">
        <v>390</v>
      </c>
      <c r="D444">
        <v>4.23</v>
      </c>
      <c r="E444">
        <v>3.98</v>
      </c>
      <c r="F444">
        <v>12.3</v>
      </c>
      <c r="G444" s="2">
        <v>19353994000</v>
      </c>
      <c r="H444">
        <v>8.1895</v>
      </c>
      <c r="I444">
        <v>7.022</v>
      </c>
      <c r="J444" t="s">
        <v>561</v>
      </c>
      <c r="K444">
        <v>0.75</v>
      </c>
      <c r="L444">
        <v>0.146827589415266</v>
      </c>
    </row>
    <row r="445" spans="3:12">
      <c r="C445">
        <v>368</v>
      </c>
      <c r="D445">
        <v>1.21</v>
      </c>
      <c r="E445">
        <v>1.2</v>
      </c>
      <c r="F445">
        <v>2.55</v>
      </c>
      <c r="G445" s="2">
        <v>4990125000</v>
      </c>
      <c r="H445">
        <v>345.541</v>
      </c>
      <c r="I445">
        <v>336.111</v>
      </c>
      <c r="J445" t="s">
        <v>562</v>
      </c>
      <c r="K445">
        <v>0.31</v>
      </c>
      <c r="L445">
        <v>0.53023528422957</v>
      </c>
    </row>
    <row r="446" spans="3:10">
      <c r="C446">
        <v>338</v>
      </c>
      <c r="D446">
        <v>2.99</v>
      </c>
      <c r="E446">
        <v>2.17</v>
      </c>
      <c r="F446">
        <v>5.35</v>
      </c>
      <c r="G446" s="2">
        <v>10589850000</v>
      </c>
      <c r="H446" t="s">
        <v>563</v>
      </c>
      <c r="I446">
        <v>1.41</v>
      </c>
      <c r="J446">
        <v>0.31015090565303</v>
      </c>
    </row>
    <row r="447" spans="3:12">
      <c r="C447">
        <v>317</v>
      </c>
      <c r="D447">
        <v>10.22</v>
      </c>
      <c r="E447">
        <v>10.06</v>
      </c>
      <c r="F447">
        <v>40</v>
      </c>
      <c r="G447" s="2">
        <v>6252271840.32</v>
      </c>
      <c r="H447">
        <v>76.2583</v>
      </c>
      <c r="I447">
        <v>55.604</v>
      </c>
      <c r="J447" t="s">
        <v>564</v>
      </c>
      <c r="K447">
        <v>1.32</v>
      </c>
      <c r="L447">
        <v>0.534877539377084</v>
      </c>
    </row>
    <row r="448" spans="3:12">
      <c r="C448">
        <v>6198</v>
      </c>
      <c r="D448">
        <v>2.68</v>
      </c>
      <c r="E448">
        <v>2.65</v>
      </c>
      <c r="F448">
        <v>6.07</v>
      </c>
      <c r="G448" s="2">
        <v>2345508500</v>
      </c>
      <c r="H448">
        <v>6.6003</v>
      </c>
      <c r="I448">
        <v>6</v>
      </c>
      <c r="J448" t="s">
        <v>565</v>
      </c>
      <c r="K448">
        <v>0.88</v>
      </c>
      <c r="L448">
        <v>1.40418332656728</v>
      </c>
    </row>
    <row r="449" spans="3:10">
      <c r="C449">
        <v>439</v>
      </c>
      <c r="D449">
        <v>2.61</v>
      </c>
      <c r="E449">
        <v>1.11</v>
      </c>
      <c r="F449">
        <v>6.38</v>
      </c>
      <c r="G449" s="2">
        <v>14772776937.12</v>
      </c>
      <c r="H449" t="s">
        <v>566</v>
      </c>
      <c r="I449">
        <v>8.45</v>
      </c>
      <c r="J449">
        <v>71.5068493150685</v>
      </c>
    </row>
    <row r="450" spans="3:10">
      <c r="C450">
        <v>90</v>
      </c>
      <c r="D450">
        <v>1.15</v>
      </c>
      <c r="E450">
        <v>0.72</v>
      </c>
      <c r="F450">
        <v>3.68</v>
      </c>
      <c r="G450" s="2">
        <v>513632000</v>
      </c>
      <c r="H450" t="s">
        <v>567</v>
      </c>
      <c r="I450">
        <v>0.98</v>
      </c>
      <c r="J450">
        <v>0.863309880441293</v>
      </c>
    </row>
    <row r="451" spans="3:12">
      <c r="C451">
        <v>1328</v>
      </c>
      <c r="D451">
        <v>0.222</v>
      </c>
      <c r="E451">
        <v>0.148</v>
      </c>
      <c r="F451">
        <v>1.13</v>
      </c>
      <c r="G451" s="2">
        <v>2016528120</v>
      </c>
      <c r="H451">
        <v>45.302</v>
      </c>
      <c r="I451">
        <v>45.306</v>
      </c>
      <c r="J451" t="s">
        <v>568</v>
      </c>
      <c r="K451">
        <v>2.76</v>
      </c>
      <c r="L451">
        <v>7.18446601941747</v>
      </c>
    </row>
    <row r="452" spans="3:12">
      <c r="C452">
        <v>1478</v>
      </c>
      <c r="D452">
        <v>1.09</v>
      </c>
      <c r="E452">
        <v>1.01</v>
      </c>
      <c r="F452">
        <v>3.89</v>
      </c>
      <c r="G452" s="2">
        <v>1089621700</v>
      </c>
      <c r="H452">
        <v>4.5834</v>
      </c>
      <c r="I452">
        <v>2.746</v>
      </c>
      <c r="J452" t="s">
        <v>569</v>
      </c>
      <c r="K452">
        <v>0.78</v>
      </c>
      <c r="L452">
        <v>0.487110388202532</v>
      </c>
    </row>
    <row r="453" spans="3:12">
      <c r="C453">
        <v>587</v>
      </c>
      <c r="D453">
        <v>0.82</v>
      </c>
      <c r="E453">
        <v>0.79</v>
      </c>
      <c r="F453">
        <v>2.52</v>
      </c>
      <c r="G453" s="2">
        <v>6209713450.08</v>
      </c>
      <c r="H453">
        <v>9.5738</v>
      </c>
      <c r="I453">
        <v>6.371</v>
      </c>
      <c r="J453" t="s">
        <v>570</v>
      </c>
      <c r="K453">
        <v>0.73</v>
      </c>
      <c r="L453">
        <v>3.30188679245282</v>
      </c>
    </row>
    <row r="454" spans="3:10">
      <c r="C454" t="s">
        <v>571</v>
      </c>
      <c r="D454">
        <v>2.34</v>
      </c>
      <c r="E454">
        <v>0.9</v>
      </c>
      <c r="F454">
        <v>4.49</v>
      </c>
      <c r="G454" s="2">
        <v>52898280</v>
      </c>
      <c r="H454" t="s">
        <v>572</v>
      </c>
      <c r="I454">
        <v>-6.91</v>
      </c>
      <c r="J454">
        <v>5.84</v>
      </c>
    </row>
    <row r="455" spans="3:11">
      <c r="C455" t="s">
        <v>573</v>
      </c>
      <c r="D455">
        <v>1.4</v>
      </c>
      <c r="E455">
        <v>1.23</v>
      </c>
      <c r="F455">
        <v>4.96</v>
      </c>
      <c r="G455" s="2">
        <v>38946639.2</v>
      </c>
      <c r="H455">
        <v>1.3898</v>
      </c>
      <c r="I455">
        <v>0.8642</v>
      </c>
      <c r="J455" t="s">
        <v>574</v>
      </c>
      <c r="K455">
        <v>0.04</v>
      </c>
    </row>
    <row r="456" spans="3:12">
      <c r="C456">
        <v>2196</v>
      </c>
      <c r="D456">
        <v>16.38</v>
      </c>
      <c r="E456">
        <v>16.32</v>
      </c>
      <c r="F456">
        <v>35.15</v>
      </c>
      <c r="G456" s="2">
        <v>6775171200</v>
      </c>
      <c r="H456">
        <v>14.7152</v>
      </c>
      <c r="I456">
        <v>14.227</v>
      </c>
      <c r="J456" t="s">
        <v>575</v>
      </c>
      <c r="K456">
        <v>1.84</v>
      </c>
      <c r="L456">
        <v>2.60600212237156</v>
      </c>
    </row>
    <row r="457" spans="3:12">
      <c r="C457" t="s">
        <v>576</v>
      </c>
      <c r="D457">
        <v>14.99</v>
      </c>
      <c r="E457">
        <v>14.84</v>
      </c>
      <c r="F457">
        <v>33.92</v>
      </c>
      <c r="G457" s="2">
        <v>45292637424.06</v>
      </c>
      <c r="H457">
        <v>18.2794</v>
      </c>
      <c r="I457">
        <v>17.5503</v>
      </c>
      <c r="J457" t="s">
        <v>131</v>
      </c>
      <c r="K457">
        <v>1.76</v>
      </c>
      <c r="L457">
        <v>0.6887</v>
      </c>
    </row>
    <row r="458" spans="3:11">
      <c r="C458" t="s">
        <v>577</v>
      </c>
      <c r="D458">
        <v>12.17</v>
      </c>
      <c r="E458">
        <v>11.69</v>
      </c>
      <c r="F458">
        <v>42.98</v>
      </c>
      <c r="G458" s="2">
        <v>149789980479.35</v>
      </c>
      <c r="H458">
        <v>31.1386</v>
      </c>
      <c r="I458" t="s">
        <v>578</v>
      </c>
      <c r="J458">
        <v>2.87</v>
      </c>
      <c r="K458">
        <v>-5.7513</v>
      </c>
    </row>
    <row r="459" spans="3:12">
      <c r="C459" t="s">
        <v>579</v>
      </c>
      <c r="D459">
        <v>3.52</v>
      </c>
      <c r="E459">
        <v>3.45</v>
      </c>
      <c r="F459">
        <v>7.68</v>
      </c>
      <c r="G459" s="2">
        <v>43655244136.14</v>
      </c>
      <c r="H459">
        <v>13.7142</v>
      </c>
      <c r="I459">
        <v>14.4148</v>
      </c>
      <c r="J459" t="s">
        <v>580</v>
      </c>
      <c r="K459">
        <v>1.81</v>
      </c>
      <c r="L459">
        <v>0.4121</v>
      </c>
    </row>
    <row r="460" spans="3:12">
      <c r="C460" t="s">
        <v>581</v>
      </c>
      <c r="D460">
        <v>17.08</v>
      </c>
      <c r="E460">
        <v>13.09</v>
      </c>
      <c r="F460">
        <v>27.2</v>
      </c>
      <c r="G460" s="2">
        <v>46941883560</v>
      </c>
      <c r="H460">
        <v>25.6558</v>
      </c>
      <c r="I460">
        <v>17.1155</v>
      </c>
      <c r="J460" t="s">
        <v>497</v>
      </c>
      <c r="K460">
        <v>2.93</v>
      </c>
      <c r="L460">
        <v>1.8317</v>
      </c>
    </row>
    <row r="461" spans="3:12">
      <c r="C461" t="s">
        <v>582</v>
      </c>
      <c r="D461">
        <v>31.98</v>
      </c>
      <c r="E461">
        <v>27.6</v>
      </c>
      <c r="F461">
        <v>81.9</v>
      </c>
      <c r="G461" s="2">
        <v>38466371561.55</v>
      </c>
      <c r="H461">
        <v>107.9454</v>
      </c>
      <c r="I461">
        <v>100.6825</v>
      </c>
      <c r="J461" t="s">
        <v>583</v>
      </c>
      <c r="K461">
        <v>8.63</v>
      </c>
      <c r="L461">
        <v>8.4573</v>
      </c>
    </row>
    <row r="462" spans="3:12">
      <c r="C462" t="s">
        <v>584</v>
      </c>
      <c r="D462">
        <v>17.31</v>
      </c>
      <c r="E462">
        <v>8.9</v>
      </c>
      <c r="F462">
        <v>27</v>
      </c>
      <c r="G462" s="2">
        <v>49077321174.3</v>
      </c>
      <c r="H462">
        <v>19.5746</v>
      </c>
      <c r="I462">
        <v>19.3002</v>
      </c>
      <c r="J462" t="s">
        <v>585</v>
      </c>
      <c r="K462">
        <v>2.71</v>
      </c>
      <c r="L462">
        <v>0.4067</v>
      </c>
    </row>
    <row r="463" spans="3:10">
      <c r="C463">
        <v>476</v>
      </c>
      <c r="D463">
        <v>0.234</v>
      </c>
      <c r="E463">
        <v>0.2</v>
      </c>
      <c r="F463">
        <v>1.18</v>
      </c>
      <c r="G463" s="2">
        <v>889451232</v>
      </c>
      <c r="H463" t="s">
        <v>586</v>
      </c>
      <c r="I463">
        <v>0.27</v>
      </c>
      <c r="J463">
        <v>3.6144578313253</v>
      </c>
    </row>
    <row r="464" spans="3:10">
      <c r="C464" t="s">
        <v>587</v>
      </c>
      <c r="D464">
        <v>2.8</v>
      </c>
      <c r="E464">
        <v>1.01</v>
      </c>
      <c r="F464">
        <v>5.7</v>
      </c>
      <c r="G464" s="2">
        <v>19928280</v>
      </c>
      <c r="H464" t="s">
        <v>588</v>
      </c>
      <c r="I464">
        <v>0.23</v>
      </c>
      <c r="J464">
        <v>0.16</v>
      </c>
    </row>
    <row r="465" spans="3:10">
      <c r="C465" t="s">
        <v>589</v>
      </c>
      <c r="D465">
        <v>6.73</v>
      </c>
      <c r="E465">
        <v>2.73</v>
      </c>
      <c r="F465">
        <v>7.53</v>
      </c>
      <c r="G465" s="2">
        <v>49030000</v>
      </c>
      <c r="H465">
        <v>24.9259</v>
      </c>
      <c r="I465" t="s">
        <v>590</v>
      </c>
      <c r="J465">
        <v>0.46</v>
      </c>
    </row>
    <row r="466" spans="3:11">
      <c r="C466" t="s">
        <v>591</v>
      </c>
      <c r="D466">
        <v>1.24</v>
      </c>
      <c r="E466">
        <v>1.01</v>
      </c>
      <c r="F466">
        <v>3.92</v>
      </c>
      <c r="G466">
        <v>4771030</v>
      </c>
      <c r="H466">
        <v>15.125</v>
      </c>
      <c r="I466" t="s">
        <v>592</v>
      </c>
      <c r="J466">
        <v>0.05</v>
      </c>
      <c r="K466">
        <v>0.08</v>
      </c>
    </row>
    <row r="467" spans="3:12">
      <c r="C467" t="s">
        <v>593</v>
      </c>
      <c r="D467">
        <v>7.26</v>
      </c>
      <c r="E467">
        <v>4.41</v>
      </c>
      <c r="F467">
        <v>9.48</v>
      </c>
      <c r="G467" s="2">
        <v>241332896</v>
      </c>
      <c r="H467">
        <v>23.5488</v>
      </c>
      <c r="I467">
        <v>40.2778</v>
      </c>
      <c r="J467" t="s">
        <v>594</v>
      </c>
      <c r="K467">
        <v>3.34</v>
      </c>
      <c r="L467">
        <v>2</v>
      </c>
    </row>
    <row r="468" spans="3:11">
      <c r="C468" t="s">
        <v>595</v>
      </c>
      <c r="D468">
        <v>3.19</v>
      </c>
      <c r="E468">
        <v>2.4</v>
      </c>
      <c r="F468">
        <v>7.88</v>
      </c>
      <c r="G468">
        <v>4478760</v>
      </c>
      <c r="H468">
        <v>1.3517</v>
      </c>
      <c r="I468" t="s">
        <v>596</v>
      </c>
      <c r="J468">
        <v>0.22</v>
      </c>
      <c r="K468">
        <v>0.51</v>
      </c>
    </row>
    <row r="469" spans="3:10">
      <c r="C469" t="s">
        <v>597</v>
      </c>
      <c r="D469">
        <v>1.48</v>
      </c>
      <c r="E469">
        <v>1.35</v>
      </c>
      <c r="F469">
        <v>5.8</v>
      </c>
      <c r="G469">
        <v>6263328</v>
      </c>
      <c r="H469" t="s">
        <v>598</v>
      </c>
      <c r="I469">
        <v>0.07</v>
      </c>
      <c r="J469">
        <v>0.39</v>
      </c>
    </row>
    <row r="470" spans="3:10">
      <c r="C470" t="s">
        <v>599</v>
      </c>
      <c r="D470">
        <v>3.55</v>
      </c>
      <c r="E470">
        <v>2.15</v>
      </c>
      <c r="F470">
        <v>4.19</v>
      </c>
      <c r="G470" s="2">
        <v>126294828.4</v>
      </c>
      <c r="H470" t="s">
        <v>600</v>
      </c>
      <c r="I470">
        <v>1.46</v>
      </c>
      <c r="J470">
        <v>3.53</v>
      </c>
    </row>
    <row r="471" spans="3:10">
      <c r="C471" t="s">
        <v>601</v>
      </c>
      <c r="D471">
        <v>0.775</v>
      </c>
      <c r="E471">
        <v>0.77</v>
      </c>
      <c r="F471">
        <v>2.2</v>
      </c>
      <c r="G471" s="2">
        <v>40984045</v>
      </c>
      <c r="H471" t="s">
        <v>602</v>
      </c>
      <c r="I471">
        <v>-0.11</v>
      </c>
      <c r="J471">
        <v>0.03</v>
      </c>
    </row>
    <row r="472" spans="3:12">
      <c r="C472" t="s">
        <v>603</v>
      </c>
      <c r="D472">
        <v>26.6</v>
      </c>
      <c r="E472">
        <v>22.23</v>
      </c>
      <c r="F472">
        <v>37.77</v>
      </c>
      <c r="G472" s="2">
        <v>1556175738.69</v>
      </c>
      <c r="H472">
        <v>19.3978</v>
      </c>
      <c r="I472">
        <v>19.7687</v>
      </c>
      <c r="J472" t="s">
        <v>604</v>
      </c>
      <c r="K472">
        <v>2.6</v>
      </c>
      <c r="L472">
        <v>5.22</v>
      </c>
    </row>
    <row r="473" spans="3:11">
      <c r="C473" t="s">
        <v>605</v>
      </c>
      <c r="D473">
        <v>6.93</v>
      </c>
      <c r="E473">
        <v>3.71</v>
      </c>
      <c r="F473">
        <v>18.38</v>
      </c>
      <c r="G473" s="2">
        <v>28859855.36</v>
      </c>
      <c r="H473">
        <v>18.8718</v>
      </c>
      <c r="I473" t="s">
        <v>606</v>
      </c>
      <c r="J473">
        <v>1.72</v>
      </c>
      <c r="K473">
        <v>0.99</v>
      </c>
    </row>
    <row r="474" spans="3:11">
      <c r="C474" t="s">
        <v>607</v>
      </c>
      <c r="D474">
        <v>2.26</v>
      </c>
      <c r="E474">
        <v>1.4</v>
      </c>
      <c r="F474">
        <v>3.3</v>
      </c>
      <c r="G474" s="2">
        <v>223115042.2</v>
      </c>
      <c r="H474">
        <v>116.1128</v>
      </c>
      <c r="I474" t="s">
        <v>608</v>
      </c>
      <c r="J474">
        <v>1.77</v>
      </c>
      <c r="K474">
        <v>0.46</v>
      </c>
    </row>
    <row r="475" spans="3:11">
      <c r="C475" t="s">
        <v>609</v>
      </c>
      <c r="D475">
        <v>5.32</v>
      </c>
      <c r="E475">
        <v>2.12</v>
      </c>
      <c r="F475">
        <v>5.45</v>
      </c>
      <c r="G475" s="2">
        <v>334077388.56</v>
      </c>
      <c r="H475">
        <v>42</v>
      </c>
      <c r="I475" t="s">
        <v>610</v>
      </c>
      <c r="J475">
        <v>2.93</v>
      </c>
      <c r="K475">
        <v>0.96</v>
      </c>
    </row>
    <row r="476" spans="3:11">
      <c r="C476" t="s">
        <v>611</v>
      </c>
      <c r="D476">
        <v>0.25</v>
      </c>
      <c r="E476">
        <v>0.2159</v>
      </c>
      <c r="F476">
        <v>1.32</v>
      </c>
      <c r="G476" s="2">
        <v>22432694.31</v>
      </c>
      <c r="H476">
        <v>0.9643</v>
      </c>
      <c r="I476" t="s">
        <v>612</v>
      </c>
      <c r="J476">
        <v>0.1</v>
      </c>
      <c r="K476">
        <v>0.84</v>
      </c>
    </row>
    <row r="477" spans="3:11">
      <c r="C477" t="s">
        <v>613</v>
      </c>
      <c r="D477">
        <v>0.7999</v>
      </c>
      <c r="E477">
        <v>0.62</v>
      </c>
      <c r="F477">
        <v>1.16</v>
      </c>
      <c r="G477" s="2">
        <v>15175243.74</v>
      </c>
      <c r="H477">
        <v>4.5934</v>
      </c>
      <c r="I477" t="s">
        <v>614</v>
      </c>
      <c r="J477">
        <v>0.16</v>
      </c>
      <c r="K477">
        <v>0.1388</v>
      </c>
    </row>
    <row r="478" spans="3:11">
      <c r="C478" t="s">
        <v>615</v>
      </c>
      <c r="D478">
        <v>3.73</v>
      </c>
      <c r="E478">
        <v>2.6</v>
      </c>
      <c r="F478">
        <v>4.42</v>
      </c>
      <c r="G478" s="2">
        <v>48643917.3</v>
      </c>
      <c r="H478">
        <v>9.8421</v>
      </c>
      <c r="I478" t="s">
        <v>616</v>
      </c>
      <c r="J478">
        <v>0.89</v>
      </c>
      <c r="K478">
        <v>1.01</v>
      </c>
    </row>
    <row r="479" spans="3:12">
      <c r="C479" t="s">
        <v>617</v>
      </c>
      <c r="D479">
        <v>4.16</v>
      </c>
      <c r="E479">
        <v>3.75</v>
      </c>
      <c r="F479">
        <v>6.12</v>
      </c>
      <c r="G479" s="2">
        <v>489500000</v>
      </c>
      <c r="H479">
        <v>19.77</v>
      </c>
      <c r="I479">
        <v>14.8333</v>
      </c>
      <c r="J479" t="s">
        <v>618</v>
      </c>
      <c r="K479">
        <v>1.01</v>
      </c>
      <c r="L479">
        <v>0.22</v>
      </c>
    </row>
    <row r="480" spans="3:10">
      <c r="C480" t="s">
        <v>619</v>
      </c>
      <c r="D480">
        <v>16.45</v>
      </c>
      <c r="E480">
        <v>12.62</v>
      </c>
      <c r="F480">
        <v>27.25</v>
      </c>
      <c r="G480" s="2">
        <v>590222335.02</v>
      </c>
      <c r="H480" t="s">
        <v>620</v>
      </c>
      <c r="I480">
        <v>3.21</v>
      </c>
      <c r="J480">
        <v>4.07</v>
      </c>
    </row>
    <row r="481" spans="3:12">
      <c r="C481" t="s">
        <v>621</v>
      </c>
      <c r="D481">
        <v>7</v>
      </c>
      <c r="E481">
        <v>5.56</v>
      </c>
      <c r="F481">
        <v>12.49</v>
      </c>
      <c r="G481" s="2">
        <v>400972216.15</v>
      </c>
      <c r="H481">
        <v>26.0841</v>
      </c>
      <c r="I481">
        <v>13.94</v>
      </c>
      <c r="J481" t="s">
        <v>622</v>
      </c>
      <c r="K481">
        <v>0.82</v>
      </c>
      <c r="L481">
        <v>1.02</v>
      </c>
    </row>
    <row r="482" spans="3:10">
      <c r="C482" t="s">
        <v>623</v>
      </c>
      <c r="D482">
        <v>1.15</v>
      </c>
      <c r="E482">
        <v>0.68</v>
      </c>
      <c r="F482">
        <v>7.35</v>
      </c>
      <c r="G482" s="2">
        <v>41764440</v>
      </c>
      <c r="H482" t="s">
        <v>624</v>
      </c>
      <c r="I482">
        <v>2.07</v>
      </c>
      <c r="J482">
        <v>0.71</v>
      </c>
    </row>
    <row r="483" spans="3:12">
      <c r="C483" t="s">
        <v>625</v>
      </c>
      <c r="D483">
        <v>28.87</v>
      </c>
      <c r="E483">
        <v>18.09</v>
      </c>
      <c r="F483">
        <v>33.56</v>
      </c>
      <c r="G483" s="2">
        <v>4675220000</v>
      </c>
      <c r="H483">
        <v>15.28</v>
      </c>
      <c r="I483">
        <v>22.2481</v>
      </c>
      <c r="J483" t="s">
        <v>626</v>
      </c>
      <c r="K483">
        <v>3.6</v>
      </c>
      <c r="L483">
        <v>3.34</v>
      </c>
    </row>
    <row r="484" spans="3:10">
      <c r="C484" t="s">
        <v>627</v>
      </c>
      <c r="D484">
        <v>8.9</v>
      </c>
      <c r="E484">
        <v>7.34</v>
      </c>
      <c r="F484">
        <v>19.87</v>
      </c>
      <c r="G484" s="2">
        <v>44626938.18</v>
      </c>
      <c r="H484" t="s">
        <v>628</v>
      </c>
      <c r="I484">
        <v>-2.2</v>
      </c>
      <c r="J484">
        <v>0.55</v>
      </c>
    </row>
    <row r="485" spans="3:10">
      <c r="C485" t="s">
        <v>629</v>
      </c>
      <c r="D485">
        <v>19.13</v>
      </c>
      <c r="E485">
        <v>15.03</v>
      </c>
      <c r="F485">
        <v>22.86</v>
      </c>
      <c r="G485" s="2">
        <v>1661549993.64</v>
      </c>
      <c r="H485" t="s">
        <v>630</v>
      </c>
      <c r="I485">
        <v>2.68</v>
      </c>
      <c r="J485">
        <v>3.13</v>
      </c>
    </row>
    <row r="486" spans="3:12">
      <c r="C486" t="s">
        <v>631</v>
      </c>
      <c r="D486">
        <v>159.16</v>
      </c>
      <c r="E486">
        <v>94.17</v>
      </c>
      <c r="F486">
        <v>186.45</v>
      </c>
      <c r="G486" s="2">
        <v>20065638809</v>
      </c>
      <c r="H486">
        <v>28.1976</v>
      </c>
      <c r="I486">
        <v>21.6502</v>
      </c>
      <c r="J486" t="s">
        <v>632</v>
      </c>
      <c r="K486">
        <v>4.92</v>
      </c>
      <c r="L486">
        <v>7.5</v>
      </c>
    </row>
    <row r="487" spans="3:11">
      <c r="C487" t="s">
        <v>633</v>
      </c>
      <c r="D487">
        <v>0.56</v>
      </c>
      <c r="E487">
        <v>0.5</v>
      </c>
      <c r="F487">
        <v>1.65</v>
      </c>
      <c r="G487" s="2">
        <v>15330075</v>
      </c>
      <c r="H487">
        <v>2.5901</v>
      </c>
      <c r="I487" t="s">
        <v>634</v>
      </c>
      <c r="J487">
        <v>0.09</v>
      </c>
      <c r="K487">
        <v>0.187</v>
      </c>
    </row>
    <row r="488" spans="3:10">
      <c r="C488" t="s">
        <v>635</v>
      </c>
      <c r="D488">
        <v>0.6601</v>
      </c>
      <c r="E488">
        <v>0.54</v>
      </c>
      <c r="F488">
        <v>1.6</v>
      </c>
      <c r="G488" s="2">
        <v>36264242.08</v>
      </c>
      <c r="H488" t="s">
        <v>636</v>
      </c>
      <c r="I488">
        <v>-6.91</v>
      </c>
      <c r="J488">
        <v>2.89</v>
      </c>
    </row>
    <row r="489" spans="3:12">
      <c r="C489" t="s">
        <v>637</v>
      </c>
      <c r="D489">
        <v>9.07</v>
      </c>
      <c r="E489">
        <v>7.15</v>
      </c>
      <c r="F489">
        <v>13.33</v>
      </c>
      <c r="G489" s="2">
        <v>874256446.83</v>
      </c>
      <c r="H489">
        <v>11.29</v>
      </c>
      <c r="I489">
        <v>20.1915</v>
      </c>
      <c r="J489" t="s">
        <v>638</v>
      </c>
      <c r="K489">
        <v>0.79</v>
      </c>
      <c r="L489">
        <v>0.28</v>
      </c>
    </row>
    <row r="490" spans="3:11">
      <c r="C490" t="s">
        <v>639</v>
      </c>
      <c r="D490">
        <v>5.15</v>
      </c>
      <c r="E490">
        <v>2.9</v>
      </c>
      <c r="F490">
        <v>6.85</v>
      </c>
      <c r="G490" s="2">
        <v>121411364.4</v>
      </c>
      <c r="H490">
        <v>41.5385</v>
      </c>
      <c r="I490" t="s">
        <v>640</v>
      </c>
      <c r="J490">
        <v>1.57</v>
      </c>
      <c r="K490">
        <v>1.24</v>
      </c>
    </row>
    <row r="491" spans="3:10">
      <c r="C491" t="s">
        <v>641</v>
      </c>
      <c r="D491">
        <v>42.29</v>
      </c>
      <c r="E491">
        <v>26.52</v>
      </c>
      <c r="F491">
        <v>55.93</v>
      </c>
      <c r="G491" s="2">
        <v>5817150000</v>
      </c>
      <c r="H491" t="s">
        <v>642</v>
      </c>
      <c r="I491">
        <v>24.48</v>
      </c>
      <c r="J491">
        <v>10.85</v>
      </c>
    </row>
    <row r="492" spans="3:10">
      <c r="C492" t="s">
        <v>643</v>
      </c>
      <c r="D492">
        <v>6.75</v>
      </c>
      <c r="E492">
        <v>5.56</v>
      </c>
      <c r="F492">
        <v>11.5</v>
      </c>
      <c r="G492" s="2">
        <v>551965917.58</v>
      </c>
      <c r="H492" t="s">
        <v>644</v>
      </c>
      <c r="I492">
        <v>5.73</v>
      </c>
      <c r="J492">
        <v>0.39</v>
      </c>
    </row>
    <row r="493" spans="3:11">
      <c r="C493" t="s">
        <v>645</v>
      </c>
      <c r="D493">
        <v>2.1</v>
      </c>
      <c r="E493">
        <v>1.86</v>
      </c>
      <c r="F493">
        <v>3.82</v>
      </c>
      <c r="G493" s="2">
        <v>263908965.29</v>
      </c>
      <c r="H493">
        <v>6.3939</v>
      </c>
      <c r="I493" t="s">
        <v>646</v>
      </c>
      <c r="J493">
        <v>0.5</v>
      </c>
      <c r="K493">
        <v>0.32</v>
      </c>
    </row>
    <row r="494" spans="3:10">
      <c r="C494" t="s">
        <v>647</v>
      </c>
      <c r="D494">
        <v>3.05</v>
      </c>
      <c r="E494">
        <v>2.35</v>
      </c>
      <c r="F494">
        <v>4.45</v>
      </c>
      <c r="G494" s="2">
        <v>1083537088.19</v>
      </c>
      <c r="H494" t="s">
        <v>648</v>
      </c>
      <c r="I494">
        <v>1.17</v>
      </c>
      <c r="J494">
        <v>18.89</v>
      </c>
    </row>
    <row r="495" spans="3:10">
      <c r="C495" t="s">
        <v>649</v>
      </c>
      <c r="D495">
        <v>6.47</v>
      </c>
      <c r="E495">
        <v>4</v>
      </c>
      <c r="F495">
        <v>14.77</v>
      </c>
      <c r="G495" s="2">
        <v>338249800</v>
      </c>
      <c r="H495" t="s">
        <v>650</v>
      </c>
      <c r="I495">
        <v>1.82</v>
      </c>
      <c r="J495">
        <v>0.94</v>
      </c>
    </row>
    <row r="496" spans="3:10">
      <c r="C496">
        <v>2389</v>
      </c>
      <c r="D496">
        <v>0.49</v>
      </c>
      <c r="E496">
        <v>0.48</v>
      </c>
      <c r="F496">
        <v>1.43</v>
      </c>
      <c r="G496" s="2">
        <v>3115221111</v>
      </c>
      <c r="H496" t="s">
        <v>651</v>
      </c>
      <c r="I496">
        <v>1.14</v>
      </c>
      <c r="J496">
        <v>12.607944732297</v>
      </c>
    </row>
    <row r="497" spans="3:12">
      <c r="C497">
        <v>1280</v>
      </c>
      <c r="D497">
        <v>0.77</v>
      </c>
      <c r="E497">
        <v>0.36</v>
      </c>
      <c r="F497">
        <v>2.7</v>
      </c>
      <c r="G497" s="2">
        <v>1107213612.92</v>
      </c>
      <c r="H497">
        <v>17.9413</v>
      </c>
      <c r="I497">
        <v>13.14</v>
      </c>
      <c r="J497" t="s">
        <v>652</v>
      </c>
      <c r="K497">
        <v>0.8</v>
      </c>
      <c r="L497">
        <v>0.305632345682408</v>
      </c>
    </row>
    <row r="498" spans="3:12">
      <c r="C498">
        <v>1322</v>
      </c>
      <c r="D498">
        <v>2.22</v>
      </c>
      <c r="E498">
        <v>1.7</v>
      </c>
      <c r="F498">
        <v>7.25</v>
      </c>
      <c r="G498" s="2">
        <v>1668063521.04</v>
      </c>
      <c r="H498">
        <v>5.2433</v>
      </c>
      <c r="I498">
        <v>4.495</v>
      </c>
      <c r="J498" t="s">
        <v>653</v>
      </c>
      <c r="K498">
        <v>1.19</v>
      </c>
      <c r="L498">
        <v>0.627298291152931</v>
      </c>
    </row>
    <row r="499" spans="3:12">
      <c r="C499" t="s">
        <v>654</v>
      </c>
      <c r="D499">
        <v>26.81</v>
      </c>
      <c r="E499">
        <v>25.88</v>
      </c>
      <c r="F499">
        <v>56.59</v>
      </c>
      <c r="G499" s="2">
        <v>2972986141.44</v>
      </c>
      <c r="H499">
        <v>40.7156</v>
      </c>
      <c r="I499">
        <v>20.5191</v>
      </c>
      <c r="J499" t="s">
        <v>655</v>
      </c>
      <c r="K499">
        <v>4.42</v>
      </c>
      <c r="L499">
        <v>6.37</v>
      </c>
    </row>
    <row r="500" spans="3:11">
      <c r="C500" t="s">
        <v>656</v>
      </c>
      <c r="D500">
        <v>10.44</v>
      </c>
      <c r="E500">
        <v>8</v>
      </c>
      <c r="F500">
        <v>19</v>
      </c>
      <c r="G500" s="2">
        <v>735574491.3</v>
      </c>
      <c r="H500">
        <v>7.7266</v>
      </c>
      <c r="I500" t="s">
        <v>657</v>
      </c>
      <c r="J500">
        <v>1.23</v>
      </c>
      <c r="K500">
        <v>3.68</v>
      </c>
    </row>
    <row r="501" spans="3:10">
      <c r="C501" t="s">
        <v>658</v>
      </c>
      <c r="D501">
        <v>4.04</v>
      </c>
      <c r="E501">
        <v>2.93</v>
      </c>
      <c r="F501">
        <v>24.7</v>
      </c>
      <c r="G501" s="2">
        <v>82702515.35</v>
      </c>
      <c r="H501" t="s">
        <v>659</v>
      </c>
      <c r="I501">
        <v>-0.12</v>
      </c>
      <c r="J501">
        <v>0.04</v>
      </c>
    </row>
    <row r="502" spans="3:12">
      <c r="C502" t="s">
        <v>660</v>
      </c>
      <c r="D502">
        <v>0.0735</v>
      </c>
      <c r="E502">
        <v>0.0604</v>
      </c>
      <c r="F502">
        <v>0.33</v>
      </c>
      <c r="G502" s="2">
        <v>20420070</v>
      </c>
      <c r="H502" t="s">
        <v>661</v>
      </c>
      <c r="I502" t="s">
        <v>662</v>
      </c>
      <c r="J502" t="s">
        <v>389</v>
      </c>
      <c r="K502">
        <v>0.88</v>
      </c>
      <c r="L502">
        <v>124.6065</v>
      </c>
    </row>
    <row r="503" spans="3:11">
      <c r="C503" t="s">
        <v>663</v>
      </c>
      <c r="D503">
        <v>1</v>
      </c>
      <c r="E503">
        <v>0</v>
      </c>
      <c r="F503">
        <v>0</v>
      </c>
      <c r="G503" s="2">
        <v>128915000</v>
      </c>
      <c r="H503">
        <v>0.709</v>
      </c>
      <c r="I503">
        <v>0.459</v>
      </c>
      <c r="J503" t="s">
        <v>664</v>
      </c>
      <c r="K503">
        <v>0</v>
      </c>
    </row>
    <row r="504" spans="3:11">
      <c r="C504" t="s">
        <v>665</v>
      </c>
      <c r="D504">
        <v>8.85</v>
      </c>
      <c r="E504">
        <v>6.3</v>
      </c>
      <c r="F504">
        <v>10.8</v>
      </c>
      <c r="G504" s="2">
        <v>454648050.83</v>
      </c>
      <c r="H504">
        <v>5.7756</v>
      </c>
      <c r="I504" t="s">
        <v>666</v>
      </c>
      <c r="J504">
        <v>0.51</v>
      </c>
      <c r="K504">
        <v>0.23</v>
      </c>
    </row>
    <row r="505" spans="3:10">
      <c r="C505">
        <v>2188</v>
      </c>
      <c r="D505">
        <v>1.31</v>
      </c>
      <c r="E505">
        <v>0.45</v>
      </c>
      <c r="F505">
        <v>2.16</v>
      </c>
      <c r="G505" s="2">
        <v>1239575040</v>
      </c>
      <c r="H505" t="s">
        <v>667</v>
      </c>
      <c r="I505">
        <v>2.07</v>
      </c>
      <c r="J505">
        <v>6.15993395079775</v>
      </c>
    </row>
    <row r="506" spans="3:12">
      <c r="C506" t="s">
        <v>668</v>
      </c>
      <c r="D506">
        <v>17.16</v>
      </c>
      <c r="E506">
        <v>15</v>
      </c>
      <c r="F506">
        <v>27.06</v>
      </c>
      <c r="G506" s="2">
        <v>1011203004.56</v>
      </c>
      <c r="H506">
        <v>15.01</v>
      </c>
      <c r="I506">
        <v>12.7647</v>
      </c>
      <c r="J506" t="s">
        <v>669</v>
      </c>
      <c r="K506">
        <v>1.74</v>
      </c>
      <c r="L506">
        <v>1.94</v>
      </c>
    </row>
    <row r="507" spans="3:12">
      <c r="C507">
        <v>656</v>
      </c>
      <c r="D507">
        <v>9.67</v>
      </c>
      <c r="E507">
        <v>8.47</v>
      </c>
      <c r="F507">
        <v>22</v>
      </c>
      <c r="G507" s="2">
        <v>85754416194.24</v>
      </c>
      <c r="H507">
        <v>10.0061</v>
      </c>
      <c r="I507">
        <v>7.591</v>
      </c>
      <c r="J507" t="s">
        <v>670</v>
      </c>
      <c r="K507">
        <v>0.97</v>
      </c>
      <c r="L507">
        <v>0.94367881878517</v>
      </c>
    </row>
    <row r="508" spans="3:12">
      <c r="C508" t="s">
        <v>671</v>
      </c>
      <c r="D508">
        <v>11.52</v>
      </c>
      <c r="E508">
        <v>7.85</v>
      </c>
      <c r="F508">
        <v>22</v>
      </c>
      <c r="G508" s="2">
        <v>406571790.86</v>
      </c>
      <c r="H508">
        <v>20.74</v>
      </c>
      <c r="I508">
        <v>16.5507</v>
      </c>
      <c r="J508" t="s">
        <v>672</v>
      </c>
      <c r="K508">
        <v>4.48</v>
      </c>
      <c r="L508">
        <v>3.79</v>
      </c>
    </row>
    <row r="509" spans="3:10">
      <c r="C509">
        <v>2100</v>
      </c>
      <c r="D509">
        <v>0.465</v>
      </c>
      <c r="E509">
        <v>0.4</v>
      </c>
      <c r="F509">
        <v>1.63</v>
      </c>
      <c r="G509" s="2">
        <v>1343575840</v>
      </c>
      <c r="H509" t="s">
        <v>673</v>
      </c>
      <c r="I509">
        <v>0.76</v>
      </c>
      <c r="J509">
        <v>2.46195055418506</v>
      </c>
    </row>
    <row r="510" spans="3:12">
      <c r="C510">
        <v>1022</v>
      </c>
      <c r="D510">
        <v>1.69</v>
      </c>
      <c r="E510">
        <v>1.49</v>
      </c>
      <c r="F510">
        <v>4.47</v>
      </c>
      <c r="G510" s="2">
        <v>2599736085</v>
      </c>
      <c r="H510">
        <v>20.3185</v>
      </c>
      <c r="I510">
        <v>12.003</v>
      </c>
      <c r="J510" t="s">
        <v>674</v>
      </c>
      <c r="K510">
        <v>1.67</v>
      </c>
      <c r="L510">
        <v>5.67428116794795</v>
      </c>
    </row>
    <row r="511" spans="3:12">
      <c r="C511">
        <v>1027</v>
      </c>
      <c r="D511">
        <v>1.48</v>
      </c>
      <c r="E511">
        <v>0.05</v>
      </c>
      <c r="F511">
        <v>3.3</v>
      </c>
      <c r="G511" s="2">
        <v>22050000000</v>
      </c>
      <c r="H511">
        <v>242.6514</v>
      </c>
      <c r="I511">
        <v>242.623</v>
      </c>
      <c r="J511" t="s">
        <v>675</v>
      </c>
      <c r="K511">
        <v>43.62</v>
      </c>
      <c r="L511">
        <v>25.7853480285259</v>
      </c>
    </row>
    <row r="512" spans="3:10">
      <c r="C512">
        <v>360</v>
      </c>
      <c r="D512">
        <v>0.39</v>
      </c>
      <c r="E512">
        <v>0.38</v>
      </c>
      <c r="F512">
        <v>2.42</v>
      </c>
      <c r="G512" s="2">
        <v>1807522484.95</v>
      </c>
      <c r="H512" t="s">
        <v>676</v>
      </c>
      <c r="I512">
        <v>3.76</v>
      </c>
      <c r="J512">
        <v>0.908945477814458</v>
      </c>
    </row>
    <row r="513" spans="3:12">
      <c r="C513">
        <v>2369</v>
      </c>
      <c r="D513">
        <v>1.25</v>
      </c>
      <c r="E513">
        <v>1.08</v>
      </c>
      <c r="F513">
        <v>3.28</v>
      </c>
      <c r="G513" s="2">
        <v>5617167228</v>
      </c>
      <c r="H513">
        <v>10.6131</v>
      </c>
      <c r="I513">
        <v>10.469</v>
      </c>
      <c r="J513" t="s">
        <v>677</v>
      </c>
      <c r="K513">
        <v>0.7</v>
      </c>
      <c r="L513">
        <v>0.241035893794727</v>
      </c>
    </row>
    <row r="514" spans="3:10">
      <c r="C514">
        <v>2488</v>
      </c>
      <c r="D514">
        <v>7</v>
      </c>
      <c r="E514">
        <v>4.86</v>
      </c>
      <c r="F514">
        <v>33.8</v>
      </c>
      <c r="G514" s="2">
        <v>1201651200</v>
      </c>
      <c r="H514" t="s">
        <v>678</v>
      </c>
      <c r="I514">
        <v>2.61</v>
      </c>
      <c r="J514">
        <v>2.63018875607098</v>
      </c>
    </row>
    <row r="515" spans="3:12">
      <c r="C515">
        <v>3818</v>
      </c>
      <c r="D515">
        <v>1.47</v>
      </c>
      <c r="E515">
        <v>1.11</v>
      </c>
      <c r="F515">
        <v>2.41</v>
      </c>
      <c r="G515" s="2">
        <v>8636785560</v>
      </c>
      <c r="H515">
        <v>7.546</v>
      </c>
      <c r="I515">
        <v>7.078</v>
      </c>
      <c r="J515" t="s">
        <v>679</v>
      </c>
      <c r="K515">
        <v>0.76</v>
      </c>
      <c r="L515">
        <v>4.2398924632813</v>
      </c>
    </row>
    <row r="516" spans="3:12">
      <c r="C516">
        <v>717</v>
      </c>
      <c r="D516">
        <v>0.57</v>
      </c>
      <c r="E516">
        <v>0.28</v>
      </c>
      <c r="F516">
        <v>2.03</v>
      </c>
      <c r="G516" s="2">
        <v>3333808519.92</v>
      </c>
      <c r="H516">
        <v>7.7485</v>
      </c>
      <c r="I516">
        <v>5.583</v>
      </c>
      <c r="J516" t="s">
        <v>680</v>
      </c>
      <c r="K516">
        <v>0.92</v>
      </c>
      <c r="L516">
        <v>3.95904436860068</v>
      </c>
    </row>
    <row r="517" spans="3:12">
      <c r="C517">
        <v>1330</v>
      </c>
      <c r="D517">
        <v>3.4</v>
      </c>
      <c r="E517">
        <v>3.32</v>
      </c>
      <c r="F517">
        <v>7.99</v>
      </c>
      <c r="G517" s="2">
        <v>1395041282.4</v>
      </c>
      <c r="H517">
        <v>20.0042</v>
      </c>
      <c r="I517">
        <v>16.915</v>
      </c>
      <c r="J517" t="s">
        <v>681</v>
      </c>
      <c r="K517">
        <v>1.24</v>
      </c>
      <c r="L517">
        <v>2.17373648731366</v>
      </c>
    </row>
    <row r="518" spans="3:12">
      <c r="C518">
        <v>354</v>
      </c>
      <c r="D518">
        <v>2.49</v>
      </c>
      <c r="E518">
        <v>2.12</v>
      </c>
      <c r="F518">
        <v>5.79</v>
      </c>
      <c r="G518" s="2">
        <v>5353032730.36</v>
      </c>
      <c r="H518">
        <v>21.4012</v>
      </c>
      <c r="I518">
        <v>18.582</v>
      </c>
      <c r="J518" t="s">
        <v>682</v>
      </c>
      <c r="K518">
        <v>1.47</v>
      </c>
      <c r="L518">
        <v>0.879316015719318</v>
      </c>
    </row>
    <row r="519" spans="3:12">
      <c r="C519">
        <v>2618</v>
      </c>
      <c r="D519">
        <v>5.6</v>
      </c>
      <c r="E519">
        <v>4.87</v>
      </c>
      <c r="F519">
        <v>10.96</v>
      </c>
      <c r="G519" s="2">
        <v>7330189347.22</v>
      </c>
      <c r="H519">
        <v>6.7095</v>
      </c>
      <c r="I519">
        <v>6.115</v>
      </c>
      <c r="J519" t="s">
        <v>683</v>
      </c>
      <c r="K519">
        <v>1.92</v>
      </c>
      <c r="L519">
        <v>0.261637907620996</v>
      </c>
    </row>
    <row r="520" spans="3:10">
      <c r="C520" t="s">
        <v>684</v>
      </c>
      <c r="D520">
        <v>1.03</v>
      </c>
      <c r="E520">
        <v>0.66</v>
      </c>
      <c r="F520">
        <v>2.74</v>
      </c>
      <c r="G520">
        <v>4034000</v>
      </c>
      <c r="H520" t="s">
        <v>685</v>
      </c>
      <c r="I520">
        <v>0.13</v>
      </c>
      <c r="J520">
        <v>0.01</v>
      </c>
    </row>
    <row r="521" spans="3:12">
      <c r="C521">
        <v>8095</v>
      </c>
      <c r="D521">
        <v>1.49</v>
      </c>
      <c r="E521">
        <v>0.56</v>
      </c>
      <c r="F521">
        <v>3.26</v>
      </c>
      <c r="G521" s="2">
        <v>741744000</v>
      </c>
      <c r="H521">
        <v>14.376</v>
      </c>
      <c r="I521">
        <v>14.004</v>
      </c>
      <c r="J521" t="s">
        <v>686</v>
      </c>
      <c r="K521">
        <v>1.31</v>
      </c>
      <c r="L521">
        <v>1.26846997996663</v>
      </c>
    </row>
    <row r="522" spans="3:12">
      <c r="C522">
        <v>911</v>
      </c>
      <c r="D522">
        <v>0.51</v>
      </c>
      <c r="E522">
        <v>0.15</v>
      </c>
      <c r="F522">
        <v>1.02</v>
      </c>
      <c r="G522" s="2">
        <v>9908019000</v>
      </c>
      <c r="H522">
        <v>49.7108</v>
      </c>
      <c r="I522">
        <v>43.59</v>
      </c>
      <c r="J522" t="s">
        <v>687</v>
      </c>
      <c r="K522">
        <v>6.64</v>
      </c>
      <c r="L522">
        <v>3.82848392036753</v>
      </c>
    </row>
    <row r="523" spans="3:12">
      <c r="C523">
        <v>3333</v>
      </c>
      <c r="D523">
        <v>4.87</v>
      </c>
      <c r="E523">
        <v>2.89</v>
      </c>
      <c r="F523">
        <v>8.4</v>
      </c>
      <c r="G523" s="2">
        <v>72028105485</v>
      </c>
      <c r="H523">
        <v>4.5703</v>
      </c>
      <c r="I523">
        <v>4.562</v>
      </c>
      <c r="J523" t="s">
        <v>688</v>
      </c>
      <c r="K523">
        <v>0.55</v>
      </c>
      <c r="L523">
        <v>0.4096808458931</v>
      </c>
    </row>
    <row r="524" spans="3:12">
      <c r="C524">
        <v>85</v>
      </c>
      <c r="D524">
        <v>2.14</v>
      </c>
      <c r="E524">
        <v>1.47</v>
      </c>
      <c r="F524">
        <v>4.83</v>
      </c>
      <c r="G524" s="2">
        <v>4567212000</v>
      </c>
      <c r="H524">
        <v>26.8489</v>
      </c>
      <c r="I524">
        <v>22.408</v>
      </c>
      <c r="J524" t="s">
        <v>689</v>
      </c>
      <c r="K524">
        <v>3.89</v>
      </c>
      <c r="L524">
        <v>2.94888597640891</v>
      </c>
    </row>
    <row r="525" spans="3:12">
      <c r="C525">
        <v>926</v>
      </c>
      <c r="D525">
        <v>0.81</v>
      </c>
      <c r="E525">
        <v>0.48</v>
      </c>
      <c r="F525">
        <v>1.7</v>
      </c>
      <c r="G525" s="2">
        <v>1253576656</v>
      </c>
      <c r="H525">
        <v>22.2614</v>
      </c>
      <c r="I525">
        <v>22.011</v>
      </c>
      <c r="J525" t="s">
        <v>690</v>
      </c>
      <c r="K525">
        <v>0.87</v>
      </c>
      <c r="L525">
        <v>1.37140509297337</v>
      </c>
    </row>
    <row r="526" spans="3:12">
      <c r="C526">
        <v>812</v>
      </c>
      <c r="D526">
        <v>0.51</v>
      </c>
      <c r="E526">
        <v>0.45</v>
      </c>
      <c r="F526">
        <v>1.77</v>
      </c>
      <c r="G526" s="2">
        <v>1342671224.95</v>
      </c>
      <c r="H526">
        <v>118.9152</v>
      </c>
      <c r="I526">
        <v>80.952</v>
      </c>
      <c r="J526" t="s">
        <v>691</v>
      </c>
      <c r="K526">
        <v>2.54</v>
      </c>
      <c r="L526">
        <v>20.9125475285171</v>
      </c>
    </row>
    <row r="527" spans="3:10">
      <c r="C527" t="s">
        <v>692</v>
      </c>
      <c r="D527">
        <v>5.47</v>
      </c>
      <c r="E527">
        <v>1.83</v>
      </c>
      <c r="F527">
        <v>7.7</v>
      </c>
      <c r="G527" s="2">
        <v>352347274.56</v>
      </c>
      <c r="H527" t="s">
        <v>693</v>
      </c>
      <c r="I527">
        <v>1.6</v>
      </c>
      <c r="J527">
        <v>1.74</v>
      </c>
    </row>
    <row r="528" spans="3:12">
      <c r="C528">
        <v>1816</v>
      </c>
      <c r="D528">
        <v>2.32</v>
      </c>
      <c r="E528">
        <v>2.3</v>
      </c>
      <c r="F528">
        <v>5.53</v>
      </c>
      <c r="G528" s="2">
        <v>27350881250</v>
      </c>
      <c r="H528">
        <v>15.5886</v>
      </c>
      <c r="I528">
        <v>10.816</v>
      </c>
      <c r="J528" t="s">
        <v>694</v>
      </c>
      <c r="K528">
        <v>1.65</v>
      </c>
      <c r="L528">
        <v>3.71504540316203</v>
      </c>
    </row>
    <row r="529" spans="3:12">
      <c r="C529">
        <v>268</v>
      </c>
      <c r="D529">
        <v>2.59</v>
      </c>
      <c r="E529">
        <v>2.18</v>
      </c>
      <c r="F529">
        <v>6.41</v>
      </c>
      <c r="G529" s="2">
        <v>7770654257.38</v>
      </c>
      <c r="H529">
        <v>31.5382</v>
      </c>
      <c r="I529">
        <v>26.923</v>
      </c>
      <c r="J529" t="s">
        <v>695</v>
      </c>
      <c r="K529">
        <v>2.06</v>
      </c>
      <c r="L529">
        <v>3.52378200475005</v>
      </c>
    </row>
    <row r="530" spans="3:10">
      <c r="C530">
        <v>8267</v>
      </c>
      <c r="D530">
        <v>4.49</v>
      </c>
      <c r="E530">
        <v>4.07</v>
      </c>
      <c r="F530">
        <v>16.88</v>
      </c>
      <c r="G530" s="2">
        <v>1611955187.68</v>
      </c>
      <c r="H530" t="s">
        <v>696</v>
      </c>
      <c r="I530">
        <v>1.27</v>
      </c>
      <c r="J530">
        <v>2.75654536967115</v>
      </c>
    </row>
    <row r="531" spans="3:12">
      <c r="C531">
        <v>1668</v>
      </c>
      <c r="D531">
        <v>1.37</v>
      </c>
      <c r="E531">
        <v>1.35</v>
      </c>
      <c r="F531">
        <v>4.27</v>
      </c>
      <c r="G531" s="2">
        <v>10959071138.63</v>
      </c>
      <c r="H531">
        <v>2.9398</v>
      </c>
      <c r="I531">
        <v>2.811</v>
      </c>
      <c r="J531" t="s">
        <v>697</v>
      </c>
      <c r="K531">
        <v>0.46</v>
      </c>
      <c r="L531">
        <v>1.99621156928456</v>
      </c>
    </row>
    <row r="532" spans="3:12">
      <c r="C532" t="s">
        <v>698</v>
      </c>
      <c r="D532">
        <v>5.8</v>
      </c>
      <c r="E532">
        <v>4.65</v>
      </c>
      <c r="F532">
        <v>10.01</v>
      </c>
      <c r="G532" s="2">
        <v>2605196376</v>
      </c>
      <c r="H532">
        <v>13</v>
      </c>
      <c r="I532">
        <v>25.125</v>
      </c>
      <c r="J532" t="s">
        <v>699</v>
      </c>
      <c r="K532">
        <v>4.07</v>
      </c>
      <c r="L532">
        <v>3.11</v>
      </c>
    </row>
    <row r="533" spans="3:11">
      <c r="C533" t="s">
        <v>700</v>
      </c>
      <c r="D533">
        <v>13.2</v>
      </c>
      <c r="E533">
        <v>6.64</v>
      </c>
      <c r="F533">
        <v>15.4</v>
      </c>
      <c r="G533" s="2">
        <v>575651209.12</v>
      </c>
      <c r="H533">
        <v>128.3908</v>
      </c>
      <c r="I533" t="s">
        <v>701</v>
      </c>
      <c r="J533">
        <v>0.84</v>
      </c>
      <c r="K533">
        <v>1.09</v>
      </c>
    </row>
    <row r="534" spans="3:12">
      <c r="C534">
        <v>3699</v>
      </c>
      <c r="D534">
        <v>35.35</v>
      </c>
      <c r="E534">
        <v>35</v>
      </c>
      <c r="F534">
        <v>78</v>
      </c>
      <c r="G534" s="2">
        <v>23981124300</v>
      </c>
      <c r="H534">
        <v>5.357</v>
      </c>
      <c r="I534">
        <v>4.345</v>
      </c>
      <c r="J534" t="s">
        <v>702</v>
      </c>
      <c r="K534">
        <v>0.84</v>
      </c>
      <c r="L534">
        <v>2.07101014904637</v>
      </c>
    </row>
    <row r="535" spans="3:12">
      <c r="C535" t="s">
        <v>703</v>
      </c>
      <c r="D535">
        <v>59</v>
      </c>
      <c r="E535">
        <v>50.52</v>
      </c>
      <c r="F535">
        <v>81.7</v>
      </c>
      <c r="G535" s="2">
        <v>3363172413.42</v>
      </c>
      <c r="H535">
        <v>43.9394</v>
      </c>
      <c r="I535">
        <v>19.9128</v>
      </c>
      <c r="J535" t="s">
        <v>704</v>
      </c>
      <c r="K535">
        <v>7.58</v>
      </c>
      <c r="L535">
        <v>4.12</v>
      </c>
    </row>
    <row r="536" spans="3:12">
      <c r="C536" t="s">
        <v>705</v>
      </c>
      <c r="D536">
        <v>70.72</v>
      </c>
      <c r="E536">
        <v>57.2</v>
      </c>
      <c r="F536">
        <v>105.2</v>
      </c>
      <c r="G536" s="2">
        <v>175608267163.32</v>
      </c>
      <c r="H536">
        <v>47.0373</v>
      </c>
      <c r="I536">
        <v>18.1835</v>
      </c>
      <c r="J536" t="s">
        <v>706</v>
      </c>
      <c r="K536">
        <v>5.96</v>
      </c>
      <c r="L536">
        <v>13.31</v>
      </c>
    </row>
    <row r="537" spans="3:9">
      <c r="C537" t="s">
        <v>707</v>
      </c>
      <c r="D537">
        <v>1282.69</v>
      </c>
      <c r="E537">
        <v>973.19</v>
      </c>
      <c r="F537">
        <v>1626.5</v>
      </c>
      <c r="G537">
        <v>0</v>
      </c>
      <c r="H537" t="s">
        <v>708</v>
      </c>
      <c r="I537">
        <v>0</v>
      </c>
    </row>
    <row r="538" spans="3:9">
      <c r="C538" t="s">
        <v>709</v>
      </c>
      <c r="D538">
        <v>1528.33</v>
      </c>
      <c r="E538">
        <v>1311.38</v>
      </c>
      <c r="F538">
        <v>1641.95</v>
      </c>
      <c r="G538">
        <v>0</v>
      </c>
      <c r="H538" t="s">
        <v>710</v>
      </c>
      <c r="I538">
        <v>0</v>
      </c>
    </row>
    <row r="539" spans="3:9">
      <c r="C539" t="s">
        <v>711</v>
      </c>
      <c r="D539">
        <v>1569.88</v>
      </c>
      <c r="E539">
        <v>1058.82</v>
      </c>
      <c r="F539">
        <v>1756.7</v>
      </c>
      <c r="G539">
        <v>0</v>
      </c>
      <c r="H539" t="s">
        <v>712</v>
      </c>
      <c r="I539">
        <v>0</v>
      </c>
    </row>
    <row r="540" spans="3:9">
      <c r="C540" t="s">
        <v>713</v>
      </c>
      <c r="D540">
        <v>309.39</v>
      </c>
      <c r="E540">
        <v>246.75</v>
      </c>
      <c r="F540">
        <v>520.71</v>
      </c>
      <c r="G540">
        <v>0</v>
      </c>
      <c r="H540" t="s">
        <v>714</v>
      </c>
      <c r="I540">
        <v>0</v>
      </c>
    </row>
    <row r="541" spans="3:12">
      <c r="C541">
        <v>3800</v>
      </c>
      <c r="D541">
        <v>0.95</v>
      </c>
      <c r="E541">
        <v>0.94</v>
      </c>
      <c r="F541">
        <v>3.08</v>
      </c>
      <c r="G541" s="2">
        <v>18029937779.37</v>
      </c>
      <c r="H541">
        <v>9.2222</v>
      </c>
      <c r="I541">
        <v>7.594</v>
      </c>
      <c r="J541" t="s">
        <v>715</v>
      </c>
      <c r="K541">
        <v>0.94</v>
      </c>
      <c r="L541">
        <v>0.405145768941608</v>
      </c>
    </row>
    <row r="542" spans="3:12">
      <c r="C542">
        <v>1811</v>
      </c>
      <c r="D542">
        <v>1.13</v>
      </c>
      <c r="E542">
        <v>1.1</v>
      </c>
      <c r="F542">
        <v>3.6</v>
      </c>
      <c r="G542" s="2">
        <v>4977355840</v>
      </c>
      <c r="H542">
        <v>3.1738</v>
      </c>
      <c r="I542">
        <v>2.439</v>
      </c>
      <c r="J542" t="s">
        <v>716</v>
      </c>
      <c r="K542">
        <v>0.86</v>
      </c>
      <c r="L542">
        <v>0.534792502998387</v>
      </c>
    </row>
    <row r="543" spans="3:12">
      <c r="C543">
        <v>2298</v>
      </c>
      <c r="D543">
        <v>6.43</v>
      </c>
      <c r="E543">
        <v>3.45</v>
      </c>
      <c r="F543">
        <v>9.48</v>
      </c>
      <c r="G543" s="2">
        <v>12620745340</v>
      </c>
      <c r="H543">
        <v>23.0552</v>
      </c>
      <c r="I543">
        <v>20.682</v>
      </c>
      <c r="J543" t="s">
        <v>717</v>
      </c>
      <c r="K543">
        <v>4.2</v>
      </c>
      <c r="L543">
        <v>2.25201070707945</v>
      </c>
    </row>
    <row r="544" spans="3:11">
      <c r="C544" t="s">
        <v>718</v>
      </c>
      <c r="D544">
        <v>26.69</v>
      </c>
      <c r="E544">
        <v>21.55</v>
      </c>
      <c r="F544">
        <v>38</v>
      </c>
      <c r="G544" s="2">
        <v>37280431538.55</v>
      </c>
      <c r="H544">
        <v>2646</v>
      </c>
      <c r="I544" t="s">
        <v>719</v>
      </c>
      <c r="J544">
        <v>6.67</v>
      </c>
      <c r="K544">
        <v>1.49</v>
      </c>
    </row>
    <row r="545" spans="3:12">
      <c r="C545" t="s">
        <v>720</v>
      </c>
      <c r="D545">
        <v>14.27</v>
      </c>
      <c r="E545">
        <v>13.33</v>
      </c>
      <c r="F545">
        <v>36.63</v>
      </c>
      <c r="G545" s="2">
        <v>2064657726</v>
      </c>
      <c r="H545">
        <v>207.9643</v>
      </c>
      <c r="I545">
        <v>85.2941</v>
      </c>
      <c r="J545" t="s">
        <v>721</v>
      </c>
      <c r="K545">
        <v>4.87</v>
      </c>
      <c r="L545">
        <v>4.14</v>
      </c>
    </row>
    <row r="546" spans="3:11">
      <c r="C546" t="s">
        <v>722</v>
      </c>
      <c r="D546">
        <v>55.57</v>
      </c>
      <c r="E546">
        <v>37.15</v>
      </c>
      <c r="F546">
        <v>83.71</v>
      </c>
      <c r="G546" s="2">
        <v>7854841259.72</v>
      </c>
      <c r="H546">
        <v>344.36</v>
      </c>
      <c r="I546" t="s">
        <v>723</v>
      </c>
      <c r="J546">
        <v>2.8</v>
      </c>
      <c r="K546">
        <v>14.33</v>
      </c>
    </row>
    <row r="547" spans="3:11">
      <c r="C547" t="s">
        <v>724</v>
      </c>
      <c r="D547">
        <v>13.43</v>
      </c>
      <c r="E547">
        <v>5.6</v>
      </c>
      <c r="F547">
        <v>16.49</v>
      </c>
      <c r="G547" s="2">
        <v>346363111.22</v>
      </c>
      <c r="H547">
        <v>41.3</v>
      </c>
      <c r="I547">
        <v>58.3913</v>
      </c>
      <c r="J547" t="s">
        <v>725</v>
      </c>
      <c r="K547">
        <v>3.37</v>
      </c>
    </row>
    <row r="548" spans="3:12">
      <c r="C548" t="s">
        <v>726</v>
      </c>
      <c r="D548">
        <v>21.05</v>
      </c>
      <c r="E548">
        <v>19.58</v>
      </c>
      <c r="F548">
        <v>74.8</v>
      </c>
      <c r="G548" s="2">
        <v>1259261637.66</v>
      </c>
      <c r="H548">
        <v>32.6311</v>
      </c>
      <c r="I548">
        <v>221</v>
      </c>
      <c r="J548" t="s">
        <v>727</v>
      </c>
      <c r="K548">
        <v>0.9</v>
      </c>
      <c r="L548">
        <v>2.23</v>
      </c>
    </row>
    <row r="549" spans="3:10">
      <c r="C549" t="s">
        <v>728</v>
      </c>
      <c r="D549">
        <v>2.18</v>
      </c>
      <c r="E549">
        <v>2.07</v>
      </c>
      <c r="F549">
        <v>6.46</v>
      </c>
      <c r="G549" s="2">
        <v>109660689.98</v>
      </c>
      <c r="H549" t="s">
        <v>729</v>
      </c>
      <c r="I549">
        <v>113.5</v>
      </c>
      <c r="J549">
        <v>0.3</v>
      </c>
    </row>
    <row r="550" spans="3:12">
      <c r="C550" t="s">
        <v>730</v>
      </c>
      <c r="D550">
        <v>23.8</v>
      </c>
      <c r="E550">
        <v>17.31</v>
      </c>
      <c r="F550">
        <v>37.96</v>
      </c>
      <c r="G550" s="2">
        <v>1350582238.28</v>
      </c>
      <c r="H550">
        <v>15.45</v>
      </c>
      <c r="I550">
        <v>16.0467</v>
      </c>
      <c r="J550" t="s">
        <v>731</v>
      </c>
      <c r="K550">
        <v>3.53</v>
      </c>
      <c r="L550">
        <v>4.31</v>
      </c>
    </row>
    <row r="551" spans="3:10">
      <c r="C551" t="s">
        <v>732</v>
      </c>
      <c r="D551">
        <v>12.48</v>
      </c>
      <c r="E551">
        <v>9.5</v>
      </c>
      <c r="F551">
        <v>19.89</v>
      </c>
      <c r="G551" s="2">
        <v>2363061787.6</v>
      </c>
      <c r="H551" t="s">
        <v>733</v>
      </c>
      <c r="I551">
        <v>4.77</v>
      </c>
      <c r="J551">
        <v>19.44</v>
      </c>
    </row>
    <row r="552" spans="3:10">
      <c r="C552" t="b">
        <v>1</v>
      </c>
      <c r="D552">
        <v>6.19</v>
      </c>
      <c r="E552">
        <v>4.01</v>
      </c>
      <c r="F552">
        <v>21</v>
      </c>
      <c r="G552" s="2">
        <v>532500976.28</v>
      </c>
      <c r="H552" t="s">
        <v>734</v>
      </c>
      <c r="I552">
        <v>2.19</v>
      </c>
      <c r="J552">
        <v>2.03</v>
      </c>
    </row>
    <row r="553" spans="3:9">
      <c r="C553" t="s">
        <v>735</v>
      </c>
      <c r="D553">
        <v>1107.1</v>
      </c>
      <c r="E553">
        <v>862.79</v>
      </c>
      <c r="F553">
        <v>1443.72</v>
      </c>
      <c r="G553">
        <v>0</v>
      </c>
      <c r="H553" t="s">
        <v>736</v>
      </c>
      <c r="I553">
        <v>0</v>
      </c>
    </row>
    <row r="554" spans="3:12">
      <c r="C554" t="s">
        <v>737</v>
      </c>
      <c r="D554">
        <v>20.98</v>
      </c>
      <c r="E554">
        <v>18.94</v>
      </c>
      <c r="F554">
        <v>57.7</v>
      </c>
      <c r="G554" s="2">
        <v>1640111233.41</v>
      </c>
      <c r="H554">
        <v>225.55</v>
      </c>
      <c r="I554">
        <v>80.4815</v>
      </c>
      <c r="J554" t="s">
        <v>738</v>
      </c>
      <c r="K554">
        <v>2.35</v>
      </c>
      <c r="L554">
        <v>3.13</v>
      </c>
    </row>
    <row r="555" spans="3:12">
      <c r="C555" t="s">
        <v>739</v>
      </c>
      <c r="D555">
        <v>29.31</v>
      </c>
      <c r="E555">
        <v>27.2</v>
      </c>
      <c r="F555">
        <v>50.32</v>
      </c>
      <c r="G555" s="2">
        <v>28094565534</v>
      </c>
      <c r="H555">
        <v>47.71</v>
      </c>
      <c r="I555">
        <v>119</v>
      </c>
      <c r="J555" t="s">
        <v>740</v>
      </c>
      <c r="K555">
        <v>0.99</v>
      </c>
      <c r="L555">
        <v>5.59</v>
      </c>
    </row>
    <row r="556" spans="3:13">
      <c r="C556" t="s">
        <v>741</v>
      </c>
      <c r="D556">
        <v>29.09</v>
      </c>
      <c r="E556">
        <v>28.25</v>
      </c>
      <c r="F556">
        <v>57.57</v>
      </c>
      <c r="G556" s="2">
        <v>10381372560</v>
      </c>
      <c r="H556">
        <v>31.12</v>
      </c>
      <c r="I556">
        <v>20.5541</v>
      </c>
      <c r="J556" t="s">
        <v>742</v>
      </c>
      <c r="K556" t="s">
        <v>743</v>
      </c>
      <c r="L556">
        <v>2.82</v>
      </c>
      <c r="M556">
        <v>0.65</v>
      </c>
    </row>
    <row r="557" spans="3:11">
      <c r="C557" t="s">
        <v>744</v>
      </c>
      <c r="D557">
        <v>6.28</v>
      </c>
      <c r="E557">
        <v>5.93</v>
      </c>
      <c r="F557">
        <v>14.34</v>
      </c>
      <c r="G557" s="2">
        <v>434075803.43</v>
      </c>
      <c r="H557">
        <v>63.92</v>
      </c>
      <c r="I557" t="s">
        <v>745</v>
      </c>
      <c r="J557">
        <v>0.96</v>
      </c>
      <c r="K557">
        <v>2.73</v>
      </c>
    </row>
    <row r="558" spans="3:12">
      <c r="C558">
        <v>206</v>
      </c>
      <c r="D558">
        <v>1.18</v>
      </c>
      <c r="E558">
        <v>1.15</v>
      </c>
      <c r="F558">
        <v>4.28</v>
      </c>
      <c r="G558" s="2">
        <v>834401840.72</v>
      </c>
      <c r="H558">
        <v>5.2474</v>
      </c>
      <c r="I558">
        <v>5.126</v>
      </c>
      <c r="J558" t="s">
        <v>746</v>
      </c>
      <c r="K558">
        <v>0.47</v>
      </c>
      <c r="L558">
        <v>0.448350088771417</v>
      </c>
    </row>
    <row r="559" spans="3:12">
      <c r="C559" t="s">
        <v>747</v>
      </c>
      <c r="D559">
        <v>58.8</v>
      </c>
      <c r="E559">
        <v>28.22</v>
      </c>
      <c r="F559">
        <v>179.03</v>
      </c>
      <c r="G559" s="2">
        <v>109133691290.4</v>
      </c>
      <c r="H559">
        <v>299.7935</v>
      </c>
      <c r="I559">
        <v>208.6981</v>
      </c>
      <c r="J559" t="s">
        <v>748</v>
      </c>
      <c r="K559">
        <v>30.52</v>
      </c>
      <c r="L559">
        <v>10.4446</v>
      </c>
    </row>
    <row r="560" spans="3:12">
      <c r="C560" t="s">
        <v>749</v>
      </c>
      <c r="D560">
        <v>34.56</v>
      </c>
      <c r="E560">
        <v>20.05</v>
      </c>
      <c r="F560">
        <v>39.93</v>
      </c>
      <c r="G560" s="2">
        <v>26264124251.2</v>
      </c>
      <c r="H560">
        <v>18.12</v>
      </c>
      <c r="I560">
        <v>24.2703</v>
      </c>
      <c r="J560" t="s">
        <v>750</v>
      </c>
      <c r="K560">
        <v>3.29</v>
      </c>
      <c r="L560">
        <v>5.17</v>
      </c>
    </row>
    <row r="561" spans="3:12">
      <c r="C561" t="s">
        <v>751</v>
      </c>
      <c r="D561">
        <v>43.93</v>
      </c>
      <c r="E561">
        <v>26.48</v>
      </c>
      <c r="F561">
        <v>48.84</v>
      </c>
      <c r="G561" s="2">
        <v>3516213272</v>
      </c>
      <c r="H561">
        <v>30.37</v>
      </c>
      <c r="I561">
        <v>35.2</v>
      </c>
      <c r="J561" t="s">
        <v>752</v>
      </c>
      <c r="K561">
        <v>8.66</v>
      </c>
      <c r="L561">
        <v>6.69</v>
      </c>
    </row>
    <row r="562" spans="3:10">
      <c r="C562" t="s">
        <v>753</v>
      </c>
      <c r="D562">
        <v>12.5</v>
      </c>
      <c r="E562">
        <v>11.1</v>
      </c>
      <c r="F562">
        <v>20.85</v>
      </c>
      <c r="G562" s="2">
        <v>1292279434.2</v>
      </c>
      <c r="H562" t="s">
        <v>754</v>
      </c>
      <c r="I562">
        <v>2.18</v>
      </c>
      <c r="J562">
        <v>1.15</v>
      </c>
    </row>
    <row r="563" spans="3:10">
      <c r="C563" t="s">
        <v>755</v>
      </c>
      <c r="D563">
        <v>31.77</v>
      </c>
      <c r="E563">
        <v>24.07</v>
      </c>
      <c r="F563">
        <v>63.79</v>
      </c>
      <c r="G563" s="2">
        <v>3126738583.8</v>
      </c>
      <c r="H563" t="s">
        <v>756</v>
      </c>
      <c r="I563">
        <v>3.84</v>
      </c>
      <c r="J563">
        <v>8.71</v>
      </c>
    </row>
    <row r="564" spans="3:10">
      <c r="C564">
        <v>8161</v>
      </c>
      <c r="D564">
        <v>0.19</v>
      </c>
      <c r="E564">
        <v>0.09</v>
      </c>
      <c r="F564">
        <v>0.22</v>
      </c>
      <c r="G564" s="2">
        <v>1522139880</v>
      </c>
      <c r="H564">
        <v>22.418</v>
      </c>
      <c r="I564" t="s">
        <v>757</v>
      </c>
      <c r="J564">
        <v>1.41</v>
      </c>
    </row>
    <row r="565" spans="3:11">
      <c r="C565" t="s">
        <v>758</v>
      </c>
      <c r="D565">
        <v>15.84</v>
      </c>
      <c r="E565">
        <v>8.78</v>
      </c>
      <c r="F565">
        <v>20.7</v>
      </c>
      <c r="G565" s="2">
        <v>3301296714.93</v>
      </c>
      <c r="H565">
        <v>162.1</v>
      </c>
      <c r="I565" t="s">
        <v>759</v>
      </c>
      <c r="J565">
        <v>5.69</v>
      </c>
      <c r="K565">
        <v>7.56</v>
      </c>
    </row>
    <row r="566" spans="3:12">
      <c r="C566" t="s">
        <v>760</v>
      </c>
      <c r="D566">
        <v>4.32</v>
      </c>
      <c r="E566">
        <v>4.14</v>
      </c>
      <c r="F566">
        <v>11.6</v>
      </c>
      <c r="G566" s="2">
        <v>619533538.4</v>
      </c>
      <c r="H566">
        <v>14.41</v>
      </c>
      <c r="I566">
        <v>13.5294</v>
      </c>
      <c r="J566" t="s">
        <v>761</v>
      </c>
      <c r="K566">
        <v>1.5</v>
      </c>
      <c r="L566">
        <v>1.4</v>
      </c>
    </row>
    <row r="567" spans="3:12">
      <c r="C567" t="s">
        <v>762</v>
      </c>
      <c r="D567">
        <v>6.34</v>
      </c>
      <c r="E567">
        <v>6.02</v>
      </c>
      <c r="F567">
        <v>28.17</v>
      </c>
      <c r="G567" s="2">
        <v>958353844.8</v>
      </c>
      <c r="H567">
        <v>23.29</v>
      </c>
      <c r="I567">
        <v>34.7368</v>
      </c>
      <c r="J567" t="s">
        <v>763</v>
      </c>
      <c r="K567">
        <v>1.76</v>
      </c>
      <c r="L567">
        <v>0.92</v>
      </c>
    </row>
    <row r="568" spans="3:12">
      <c r="C568" t="s">
        <v>764</v>
      </c>
      <c r="D568">
        <v>7.02</v>
      </c>
      <c r="E568">
        <v>4.88</v>
      </c>
      <c r="F568">
        <v>8.58</v>
      </c>
      <c r="G568" s="2">
        <v>333126928.08</v>
      </c>
      <c r="H568">
        <v>9.71</v>
      </c>
      <c r="I568">
        <v>15.7333</v>
      </c>
      <c r="J568" t="s">
        <v>765</v>
      </c>
      <c r="K568">
        <v>1.1</v>
      </c>
      <c r="L568">
        <v>1.66</v>
      </c>
    </row>
    <row r="569" spans="3:12">
      <c r="C569">
        <v>182</v>
      </c>
      <c r="D569">
        <v>0.33</v>
      </c>
      <c r="E569">
        <v>0.325</v>
      </c>
      <c r="F569">
        <v>0.77</v>
      </c>
      <c r="G569" s="2">
        <v>2972356163.28</v>
      </c>
      <c r="H569">
        <v>9.371</v>
      </c>
      <c r="I569">
        <v>9.116</v>
      </c>
      <c r="J569" t="s">
        <v>766</v>
      </c>
      <c r="K569">
        <v>0.51</v>
      </c>
      <c r="L569">
        <v>0.682837342030167</v>
      </c>
    </row>
    <row r="570" spans="3:12">
      <c r="C570">
        <v>111</v>
      </c>
      <c r="D570">
        <v>0.82</v>
      </c>
      <c r="E570">
        <v>0.7</v>
      </c>
      <c r="F570">
        <v>2.44</v>
      </c>
      <c r="G570" s="2">
        <v>538612704</v>
      </c>
      <c r="H570">
        <v>19.0794</v>
      </c>
      <c r="I570">
        <v>18.636</v>
      </c>
      <c r="J570" t="s">
        <v>767</v>
      </c>
      <c r="K570">
        <v>0.71</v>
      </c>
      <c r="L570">
        <v>2.71142672692059</v>
      </c>
    </row>
    <row r="571" spans="3:12">
      <c r="C571" t="s">
        <v>768</v>
      </c>
      <c r="D571">
        <v>94.16</v>
      </c>
      <c r="E571">
        <v>72</v>
      </c>
      <c r="F571">
        <v>110.65</v>
      </c>
      <c r="G571" s="2">
        <v>276973737550.82</v>
      </c>
      <c r="H571">
        <v>38.19</v>
      </c>
      <c r="I571">
        <v>98.9293</v>
      </c>
      <c r="J571" t="s">
        <v>769</v>
      </c>
      <c r="K571">
        <v>6.65</v>
      </c>
      <c r="L571">
        <v>16.71</v>
      </c>
    </row>
    <row r="572" spans="3:12">
      <c r="C572" t="s">
        <v>770</v>
      </c>
      <c r="D572">
        <v>20.33</v>
      </c>
      <c r="E572">
        <v>10.2</v>
      </c>
      <c r="F572">
        <v>22.67</v>
      </c>
      <c r="G572" s="2">
        <v>1364845714.74</v>
      </c>
      <c r="H572">
        <v>26.18</v>
      </c>
      <c r="I572">
        <v>46.2889</v>
      </c>
      <c r="J572" t="s">
        <v>771</v>
      </c>
      <c r="K572">
        <v>4.1</v>
      </c>
      <c r="L572">
        <v>3.91</v>
      </c>
    </row>
    <row r="573" spans="3:10">
      <c r="C573" t="s">
        <v>772</v>
      </c>
      <c r="D573">
        <v>51.13</v>
      </c>
      <c r="E573">
        <v>40.2</v>
      </c>
      <c r="F573">
        <v>71.78</v>
      </c>
      <c r="G573" s="2">
        <v>1985171731.76</v>
      </c>
      <c r="H573" t="s">
        <v>773</v>
      </c>
      <c r="I573">
        <v>1.32</v>
      </c>
      <c r="J573">
        <v>0.86</v>
      </c>
    </row>
    <row r="574" spans="3:12">
      <c r="C574" t="s">
        <v>774</v>
      </c>
      <c r="D574">
        <v>9.26</v>
      </c>
      <c r="E574">
        <v>6.65</v>
      </c>
      <c r="F574">
        <v>14.83</v>
      </c>
      <c r="G574" s="2">
        <v>498059186.7</v>
      </c>
      <c r="H574">
        <v>24.96</v>
      </c>
      <c r="I574">
        <v>24.7297</v>
      </c>
      <c r="J574" t="s">
        <v>775</v>
      </c>
      <c r="K574">
        <v>2.61</v>
      </c>
      <c r="L574">
        <v>3.02</v>
      </c>
    </row>
    <row r="575" spans="3:10">
      <c r="C575">
        <v>2331</v>
      </c>
      <c r="D575">
        <v>3.61</v>
      </c>
      <c r="E575">
        <v>2.67</v>
      </c>
      <c r="F575">
        <v>5.55</v>
      </c>
      <c r="G575" s="2">
        <v>6844329520.38</v>
      </c>
      <c r="H575" t="s">
        <v>776</v>
      </c>
      <c r="I575">
        <v>1.83</v>
      </c>
      <c r="J575">
        <v>0.744782720105298</v>
      </c>
    </row>
    <row r="576" spans="3:10">
      <c r="C576">
        <v>8325</v>
      </c>
      <c r="D576">
        <v>1.45</v>
      </c>
      <c r="E576">
        <v>0.9</v>
      </c>
      <c r="F576">
        <v>4.77</v>
      </c>
      <c r="G576" s="2">
        <v>2237064304.86</v>
      </c>
      <c r="H576" t="s">
        <v>777</v>
      </c>
      <c r="I576">
        <v>1.74</v>
      </c>
      <c r="J576">
        <v>4.32949114422266</v>
      </c>
    </row>
    <row r="577" spans="3:12">
      <c r="C577">
        <v>8100</v>
      </c>
      <c r="D577">
        <v>0.148</v>
      </c>
      <c r="E577">
        <v>0.08</v>
      </c>
      <c r="F577">
        <v>1.19</v>
      </c>
      <c r="G577" s="2">
        <v>193828923.25</v>
      </c>
      <c r="H577">
        <v>3.6754</v>
      </c>
      <c r="I577">
        <v>0.983</v>
      </c>
      <c r="J577" t="s">
        <v>778</v>
      </c>
      <c r="K577">
        <v>0.18</v>
      </c>
      <c r="L577">
        <v>0.50841968911917</v>
      </c>
    </row>
    <row r="578" spans="3:12">
      <c r="C578" t="s">
        <v>779</v>
      </c>
      <c r="D578">
        <v>12.93</v>
      </c>
      <c r="E578">
        <v>11.5</v>
      </c>
      <c r="F578">
        <v>45.8</v>
      </c>
      <c r="G578" s="2">
        <v>4189280480</v>
      </c>
      <c r="H578">
        <v>67.4774</v>
      </c>
      <c r="I578">
        <v>175.9323</v>
      </c>
      <c r="J578" t="s">
        <v>780</v>
      </c>
      <c r="K578">
        <v>4.08</v>
      </c>
      <c r="L578">
        <v>6.9864</v>
      </c>
    </row>
    <row r="579" spans="3:10">
      <c r="C579">
        <v>82</v>
      </c>
      <c r="D579">
        <v>0.39</v>
      </c>
      <c r="E579">
        <v>0.39</v>
      </c>
      <c r="F579">
        <v>1.11</v>
      </c>
      <c r="G579" s="2">
        <v>1302680478.49</v>
      </c>
      <c r="H579" t="s">
        <v>781</v>
      </c>
      <c r="I579">
        <v>0.41</v>
      </c>
      <c r="J579">
        <v>0.638126009693053</v>
      </c>
    </row>
    <row r="580" spans="3:12">
      <c r="C580" t="s">
        <v>782</v>
      </c>
      <c r="D580">
        <v>30.58</v>
      </c>
      <c r="E580">
        <v>28.47</v>
      </c>
      <c r="F580">
        <v>36.46</v>
      </c>
      <c r="G580" s="2">
        <v>193473000000</v>
      </c>
      <c r="H580">
        <v>15.87</v>
      </c>
      <c r="I580">
        <v>13.9591</v>
      </c>
      <c r="J580" t="s">
        <v>783</v>
      </c>
      <c r="K580">
        <v>2.84</v>
      </c>
      <c r="L580">
        <v>3.94</v>
      </c>
    </row>
    <row r="581" spans="3:12">
      <c r="C581" t="s">
        <v>784</v>
      </c>
      <c r="D581">
        <v>42.92</v>
      </c>
      <c r="E581">
        <v>21.54</v>
      </c>
      <c r="F581">
        <v>57.36</v>
      </c>
      <c r="G581" s="2">
        <v>12070879498.08</v>
      </c>
      <c r="H581">
        <v>75.5337</v>
      </c>
      <c r="I581">
        <v>47.1758</v>
      </c>
      <c r="J581" t="s">
        <v>785</v>
      </c>
      <c r="K581">
        <v>6.76</v>
      </c>
      <c r="L581">
        <v>8.04</v>
      </c>
    </row>
    <row r="582" spans="3:11">
      <c r="C582" t="s">
        <v>786</v>
      </c>
      <c r="D582">
        <v>18.87</v>
      </c>
      <c r="E582">
        <v>7.31</v>
      </c>
      <c r="F582">
        <v>30.67</v>
      </c>
      <c r="G582" s="2">
        <v>805621293.09</v>
      </c>
      <c r="H582">
        <v>47.4633</v>
      </c>
      <c r="I582" t="s">
        <v>787</v>
      </c>
      <c r="J582">
        <v>2.91</v>
      </c>
      <c r="K582">
        <v>21.2</v>
      </c>
    </row>
    <row r="583" spans="3:12">
      <c r="C583" t="s">
        <v>788</v>
      </c>
      <c r="D583">
        <v>5.7</v>
      </c>
      <c r="E583">
        <v>4.86</v>
      </c>
      <c r="F583">
        <v>7.88</v>
      </c>
      <c r="G583" s="2">
        <v>834328199.25</v>
      </c>
      <c r="H583">
        <v>13.42</v>
      </c>
      <c r="I583">
        <v>65</v>
      </c>
      <c r="J583" t="s">
        <v>789</v>
      </c>
      <c r="K583">
        <v>0.88</v>
      </c>
      <c r="L583">
        <v>0.8</v>
      </c>
    </row>
    <row r="584" spans="3:12">
      <c r="C584" t="s">
        <v>790</v>
      </c>
      <c r="D584">
        <v>16.58</v>
      </c>
      <c r="E584">
        <v>11.91</v>
      </c>
      <c r="F584">
        <v>20.12</v>
      </c>
      <c r="G584" s="2">
        <v>317482083483.3</v>
      </c>
      <c r="H584">
        <v>6.7512</v>
      </c>
      <c r="I584">
        <v>6.4282</v>
      </c>
      <c r="J584" t="s">
        <v>791</v>
      </c>
      <c r="K584">
        <v>1.06</v>
      </c>
      <c r="L584">
        <v>2.2352</v>
      </c>
    </row>
    <row r="585" spans="3:11">
      <c r="C585" t="s">
        <v>792</v>
      </c>
      <c r="D585">
        <v>3.38</v>
      </c>
      <c r="E585">
        <v>2.72</v>
      </c>
      <c r="F585">
        <v>6.54</v>
      </c>
      <c r="G585" s="2">
        <v>305083662.4</v>
      </c>
      <c r="H585">
        <v>11.7</v>
      </c>
      <c r="I585" t="s">
        <v>793</v>
      </c>
      <c r="J585">
        <v>0.74</v>
      </c>
      <c r="K585">
        <v>0.86</v>
      </c>
    </row>
    <row r="586" spans="3:12">
      <c r="C586" t="s">
        <v>794</v>
      </c>
      <c r="D586">
        <v>13.76</v>
      </c>
      <c r="E586">
        <v>12.02</v>
      </c>
      <c r="F586">
        <v>30.72</v>
      </c>
      <c r="G586" s="2">
        <v>8044111626</v>
      </c>
      <c r="H586">
        <v>76.53</v>
      </c>
      <c r="I586">
        <v>36.3947</v>
      </c>
      <c r="J586" t="s">
        <v>795</v>
      </c>
      <c r="K586">
        <v>13.97</v>
      </c>
      <c r="L586">
        <v>1.48</v>
      </c>
    </row>
    <row r="587" spans="3:10">
      <c r="C587" t="s">
        <v>796</v>
      </c>
      <c r="D587">
        <v>1.72</v>
      </c>
      <c r="E587">
        <v>1.3</v>
      </c>
      <c r="F587">
        <v>3.38</v>
      </c>
      <c r="G587" s="2">
        <v>327572578.06</v>
      </c>
      <c r="H587" t="s">
        <v>797</v>
      </c>
      <c r="I587">
        <v>2.19</v>
      </c>
      <c r="J587">
        <v>3.59</v>
      </c>
    </row>
    <row r="588" spans="3:10">
      <c r="C588" t="s">
        <v>798</v>
      </c>
      <c r="D588">
        <v>27.16</v>
      </c>
      <c r="E588">
        <v>11.85</v>
      </c>
      <c r="F588">
        <v>31.5</v>
      </c>
      <c r="G588" s="2">
        <v>5325759913.04</v>
      </c>
      <c r="H588" t="s">
        <v>799</v>
      </c>
      <c r="I588">
        <v>2.6</v>
      </c>
      <c r="J588">
        <v>5.94</v>
      </c>
    </row>
    <row r="589" spans="3:12">
      <c r="C589">
        <v>2318</v>
      </c>
      <c r="D589">
        <v>33.55</v>
      </c>
      <c r="E589">
        <v>33.55</v>
      </c>
      <c r="F589">
        <v>125.8</v>
      </c>
      <c r="G589" s="2">
        <v>258430918846.4</v>
      </c>
      <c r="H589">
        <v>12.9152</v>
      </c>
      <c r="I589">
        <v>10.878</v>
      </c>
      <c r="J589" t="s">
        <v>800</v>
      </c>
      <c r="K589">
        <v>1.59</v>
      </c>
      <c r="L589">
        <v>5.96</v>
      </c>
    </row>
    <row r="590" spans="3:12">
      <c r="C590">
        <v>794</v>
      </c>
      <c r="D590">
        <v>0.64</v>
      </c>
      <c r="E590">
        <v>0.6</v>
      </c>
      <c r="F590">
        <v>1.36</v>
      </c>
      <c r="G590" s="2">
        <v>239118000</v>
      </c>
      <c r="H590">
        <v>4.2991</v>
      </c>
      <c r="I590">
        <v>4.298</v>
      </c>
      <c r="J590" t="s">
        <v>801</v>
      </c>
      <c r="K590">
        <v>0.42</v>
      </c>
      <c r="L590">
        <v>0.273099681383705</v>
      </c>
    </row>
    <row r="591" spans="3:11">
      <c r="C591" t="s">
        <v>802</v>
      </c>
      <c r="D591">
        <v>22.9</v>
      </c>
      <c r="E591">
        <v>14.54</v>
      </c>
      <c r="F591">
        <v>99.83</v>
      </c>
      <c r="G591" s="2">
        <v>21038867123.8</v>
      </c>
      <c r="H591">
        <v>223.6961</v>
      </c>
      <c r="I591" t="s">
        <v>803</v>
      </c>
      <c r="J591">
        <v>14.51</v>
      </c>
      <c r="K591">
        <v>15.8711</v>
      </c>
    </row>
    <row r="592" spans="3:12">
      <c r="C592">
        <v>536</v>
      </c>
      <c r="D592">
        <v>1.58</v>
      </c>
      <c r="E592">
        <v>1.4</v>
      </c>
      <c r="F592">
        <v>2.13</v>
      </c>
      <c r="G592" s="2">
        <v>1286632204.2</v>
      </c>
      <c r="H592">
        <v>17.344</v>
      </c>
      <c r="I592">
        <v>16.809</v>
      </c>
      <c r="J592" t="s">
        <v>804</v>
      </c>
      <c r="K592">
        <v>3.66</v>
      </c>
      <c r="L592">
        <v>5.46374367622259</v>
      </c>
    </row>
    <row r="593" spans="3:12">
      <c r="C593">
        <v>1371</v>
      </c>
      <c r="D593">
        <v>0.24</v>
      </c>
      <c r="E593">
        <v>0.238</v>
      </c>
      <c r="F593">
        <v>1.01</v>
      </c>
      <c r="G593" s="2">
        <v>2175610869.92</v>
      </c>
      <c r="H593">
        <v>21.7539</v>
      </c>
      <c r="I593">
        <v>18.898</v>
      </c>
      <c r="J593" t="s">
        <v>757</v>
      </c>
      <c r="K593">
        <v>1.33</v>
      </c>
      <c r="L593">
        <v>2.01421800947867</v>
      </c>
    </row>
    <row r="594" spans="3:10">
      <c r="C594">
        <v>596</v>
      </c>
      <c r="D594">
        <v>1.3</v>
      </c>
      <c r="E594">
        <v>1.24</v>
      </c>
      <c r="F594">
        <v>2.93</v>
      </c>
      <c r="G594" s="2">
        <v>1162981866.99</v>
      </c>
      <c r="H594" t="s">
        <v>805</v>
      </c>
      <c r="I594">
        <v>0.64</v>
      </c>
      <c r="J594">
        <v>1.07679465776293</v>
      </c>
    </row>
    <row r="595" spans="3:10">
      <c r="C595">
        <v>1101</v>
      </c>
      <c r="D595">
        <v>0.153</v>
      </c>
      <c r="E595">
        <v>0.147</v>
      </c>
      <c r="F595">
        <v>1.78</v>
      </c>
      <c r="G595" s="2">
        <v>1672125460.39</v>
      </c>
      <c r="H595" t="s">
        <v>806</v>
      </c>
      <c r="I595">
        <v>82.05</v>
      </c>
      <c r="J595">
        <v>1.58126176063434</v>
      </c>
    </row>
    <row r="596" spans="3:12">
      <c r="C596" t="s">
        <v>807</v>
      </c>
      <c r="D596">
        <v>63.23</v>
      </c>
      <c r="E596">
        <v>40.25</v>
      </c>
      <c r="F596">
        <v>72.12</v>
      </c>
      <c r="G596" s="2">
        <v>6705132440.6</v>
      </c>
      <c r="H596">
        <v>16.93</v>
      </c>
      <c r="I596">
        <v>11.8431</v>
      </c>
      <c r="J596" t="s">
        <v>808</v>
      </c>
      <c r="K596">
        <v>1.24</v>
      </c>
      <c r="L596">
        <v>1.75</v>
      </c>
    </row>
    <row r="597" spans="3:10">
      <c r="C597">
        <v>241</v>
      </c>
      <c r="D597">
        <v>4.01</v>
      </c>
      <c r="E597">
        <v>3.81</v>
      </c>
      <c r="F597">
        <v>14.32</v>
      </c>
      <c r="G597" s="2">
        <v>33834748805.46</v>
      </c>
      <c r="H597" t="s">
        <v>809</v>
      </c>
      <c r="I597">
        <v>22.04</v>
      </c>
      <c r="J597">
        <v>537.662337662337</v>
      </c>
    </row>
    <row r="598" spans="3:12">
      <c r="C598" t="s">
        <v>810</v>
      </c>
      <c r="D598">
        <v>16.18</v>
      </c>
      <c r="E598">
        <v>13.91</v>
      </c>
      <c r="F598">
        <v>62.14</v>
      </c>
      <c r="G598" s="2">
        <v>9084024276.05</v>
      </c>
      <c r="H598">
        <v>37.5757</v>
      </c>
      <c r="I598">
        <v>37.3038</v>
      </c>
      <c r="J598" t="s">
        <v>811</v>
      </c>
      <c r="K598">
        <v>3.68</v>
      </c>
      <c r="L598">
        <v>2.3016</v>
      </c>
    </row>
    <row r="599" spans="3:10">
      <c r="C599">
        <v>8083</v>
      </c>
      <c r="D599">
        <v>0.305</v>
      </c>
      <c r="E599">
        <v>0.305</v>
      </c>
      <c r="F599">
        <v>1.46</v>
      </c>
      <c r="G599" s="2">
        <v>1864887601.67</v>
      </c>
      <c r="H599" t="s">
        <v>812</v>
      </c>
      <c r="I599">
        <v>1.63</v>
      </c>
      <c r="J599">
        <v>17.9190751445086</v>
      </c>
    </row>
    <row r="600" spans="3:12">
      <c r="C600" t="s">
        <v>813</v>
      </c>
      <c r="D600">
        <v>10.7</v>
      </c>
      <c r="E600">
        <v>9.23</v>
      </c>
      <c r="F600">
        <v>23.93</v>
      </c>
      <c r="G600" s="2">
        <v>8261151140</v>
      </c>
      <c r="H600">
        <v>44.3416</v>
      </c>
      <c r="I600">
        <v>37.415</v>
      </c>
      <c r="J600" t="s">
        <v>814</v>
      </c>
      <c r="K600">
        <v>2.12</v>
      </c>
      <c r="L600">
        <v>4.0588</v>
      </c>
    </row>
    <row r="601" spans="3:12">
      <c r="C601" t="s">
        <v>815</v>
      </c>
      <c r="D601">
        <v>18.01</v>
      </c>
      <c r="E601">
        <v>16.01</v>
      </c>
      <c r="F601">
        <v>78.89</v>
      </c>
      <c r="G601" s="2">
        <v>17233099883.28</v>
      </c>
      <c r="H601">
        <v>62.4925</v>
      </c>
      <c r="I601">
        <v>46.2247</v>
      </c>
      <c r="J601" t="s">
        <v>816</v>
      </c>
      <c r="K601">
        <v>8.06</v>
      </c>
      <c r="L601">
        <v>6.1255</v>
      </c>
    </row>
    <row r="602" spans="3:12">
      <c r="C602" t="s">
        <v>817</v>
      </c>
      <c r="D602">
        <v>51.46</v>
      </c>
      <c r="E602">
        <v>35.77</v>
      </c>
      <c r="F602">
        <v>110.88</v>
      </c>
      <c r="G602" s="2">
        <v>37224361706.7</v>
      </c>
      <c r="H602">
        <v>76.9575</v>
      </c>
      <c r="I602">
        <v>50.5852</v>
      </c>
      <c r="J602" t="s">
        <v>818</v>
      </c>
      <c r="K602">
        <v>16.99</v>
      </c>
      <c r="L602">
        <v>14.5713</v>
      </c>
    </row>
    <row r="603" spans="3:12">
      <c r="C603" t="s">
        <v>819</v>
      </c>
      <c r="D603">
        <v>71.51</v>
      </c>
      <c r="E603">
        <v>41.64</v>
      </c>
      <c r="F603">
        <v>73.33</v>
      </c>
      <c r="G603" s="2">
        <v>9237563992.44</v>
      </c>
      <c r="H603">
        <v>25.3</v>
      </c>
      <c r="I603">
        <v>25.8628</v>
      </c>
      <c r="J603" t="s">
        <v>820</v>
      </c>
      <c r="K603">
        <v>8.1</v>
      </c>
      <c r="L603">
        <v>5.41</v>
      </c>
    </row>
    <row r="604" spans="3:10">
      <c r="C604" t="s">
        <v>821</v>
      </c>
      <c r="D604">
        <v>7.07</v>
      </c>
      <c r="E604">
        <v>4.69</v>
      </c>
      <c r="F604">
        <v>15.69</v>
      </c>
      <c r="G604" s="2">
        <v>191678466.96</v>
      </c>
      <c r="H604" t="s">
        <v>822</v>
      </c>
      <c r="I604">
        <v>1.59</v>
      </c>
      <c r="J604">
        <v>0.89</v>
      </c>
    </row>
    <row r="605" spans="3:10">
      <c r="C605" t="s">
        <v>823</v>
      </c>
      <c r="D605">
        <v>18542.15</v>
      </c>
      <c r="E605">
        <v>18534.3</v>
      </c>
      <c r="F605">
        <v>28588.52</v>
      </c>
      <c r="G605" s="2">
        <v>8097674600</v>
      </c>
      <c r="H605" t="s">
        <v>824</v>
      </c>
      <c r="I605">
        <v>122.53</v>
      </c>
      <c r="J605" t="s">
        <v>45</v>
      </c>
    </row>
    <row r="606" spans="3:12">
      <c r="C606" t="s">
        <v>825</v>
      </c>
      <c r="D606">
        <v>45.19</v>
      </c>
      <c r="E606">
        <v>31.92</v>
      </c>
      <c r="F606">
        <v>61.25</v>
      </c>
      <c r="G606" s="2">
        <v>2731566474</v>
      </c>
      <c r="H606">
        <v>50.02</v>
      </c>
      <c r="I606">
        <v>42.5234</v>
      </c>
      <c r="J606" t="s">
        <v>826</v>
      </c>
      <c r="K606">
        <v>1.32</v>
      </c>
      <c r="L606">
        <v>3.16</v>
      </c>
    </row>
    <row r="607" spans="3:12">
      <c r="C607" t="s">
        <v>827</v>
      </c>
      <c r="D607">
        <v>56.02</v>
      </c>
      <c r="E607">
        <v>35.91</v>
      </c>
      <c r="F607">
        <v>87.6</v>
      </c>
      <c r="G607" s="2">
        <v>136576160000</v>
      </c>
      <c r="H607">
        <v>315.0364</v>
      </c>
      <c r="I607">
        <v>68.0846</v>
      </c>
      <c r="J607" t="s">
        <v>828</v>
      </c>
      <c r="K607">
        <v>4.71</v>
      </c>
      <c r="L607">
        <v>2.0606</v>
      </c>
    </row>
  </sheetData>
  <pageMargins left="0.699305555555556" right="0.699305555555556" top="0.75" bottom="0.75" header="0.3" footer="0.3"/>
  <pageSetup paperSize="9" orientation="portrait" horizontalDpi="1200" verticalDpi="12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1" codeName="Sheet2"/>
  <dimension ref="A1:AH666"/>
  <sheetViews>
    <sheetView tabSelected="1" zoomScale="85" zoomScaleNormal="85" workbookViewId="0">
      <pane ySplit="1" topLeftCell="A2" activePane="bottomLeft" state="frozen"/>
      <selection/>
      <selection pane="bottomLeft" activeCell="J6" sqref="J6"/>
    </sheetView>
  </sheetViews>
  <sheetFormatPr defaultColWidth="5.5" defaultRowHeight="13.5"/>
  <cols>
    <col min="1" max="1" width="5.44166666666667" style="4" customWidth="1"/>
    <col min="2" max="2" width="6.75833333333333" style="4" customWidth="1"/>
    <col min="3" max="3" width="6.90833333333333" style="4" customWidth="1"/>
    <col min="4" max="4" width="6.46666666666667" style="4" customWidth="1"/>
    <col min="5" max="5" width="9.25833333333333" style="4" customWidth="1"/>
    <col min="6" max="6" width="12.125" style="44" customWidth="1"/>
    <col min="7" max="7" width="10.75" style="14" customWidth="1"/>
    <col min="8" max="8" width="9.125" customWidth="1"/>
    <col min="9" max="9" width="7.64166666666667" style="14" customWidth="1"/>
    <col min="10" max="10" width="7.25" style="4" customWidth="1"/>
    <col min="11" max="16" width="9.125" style="4" hidden="1" customWidth="1"/>
    <col min="17" max="17" width="6.325" style="4" customWidth="1"/>
    <col min="18" max="18" width="6.61666666666667" style="4" customWidth="1"/>
    <col min="19" max="19" width="8.51666666666667" style="4" customWidth="1"/>
    <col min="20" max="20" width="7.64166666666667" style="14" customWidth="1"/>
    <col min="21" max="21" width="7.79166666666667" style="14" customWidth="1"/>
    <col min="22" max="22" width="10" style="14" customWidth="1"/>
    <col min="23" max="23" width="10.4333333333333" style="4" customWidth="1"/>
    <col min="24" max="24" width="7.35" style="4" customWidth="1"/>
    <col min="25" max="25" width="6.025" style="4" customWidth="1"/>
    <col min="26" max="26" width="3.525" style="4" customWidth="1"/>
    <col min="27" max="27" width="6.61666666666667" style="4" customWidth="1"/>
    <col min="28" max="28" width="7.49166666666667" style="4" customWidth="1"/>
    <col min="29" max="29" width="12.6416666666667" style="4" customWidth="1"/>
    <col min="30" max="30" width="11.6083333333333" style="4" customWidth="1"/>
    <col min="31" max="31" width="12.65" style="4" customWidth="1"/>
    <col min="32" max="16384" width="5.5" style="4"/>
  </cols>
  <sheetData>
    <row r="1" ht="15" spans="1:34">
      <c r="A1" s="4" t="s">
        <v>0</v>
      </c>
      <c r="B1" s="4" t="s">
        <v>829</v>
      </c>
      <c r="C1" s="4" t="s">
        <v>2</v>
      </c>
      <c r="D1" s="4" t="s">
        <v>3</v>
      </c>
      <c r="E1" s="4" t="s">
        <v>4</v>
      </c>
      <c r="F1" s="44" t="s">
        <v>830</v>
      </c>
      <c r="G1" s="14" t="s">
        <v>831</v>
      </c>
      <c r="H1" s="21" t="s">
        <v>832</v>
      </c>
      <c r="I1" s="14" t="s">
        <v>833</v>
      </c>
      <c r="J1" s="4" t="s">
        <v>834</v>
      </c>
      <c r="K1" s="4" t="s">
        <v>835</v>
      </c>
      <c r="L1" s="4" t="s">
        <v>836</v>
      </c>
      <c r="M1" s="4" t="s">
        <v>837</v>
      </c>
      <c r="Q1" s="4" t="s">
        <v>1</v>
      </c>
      <c r="R1" s="30" t="s">
        <v>838</v>
      </c>
      <c r="S1" s="4" t="s">
        <v>839</v>
      </c>
      <c r="T1" s="14" t="s">
        <v>840</v>
      </c>
      <c r="U1" s="14" t="s">
        <v>841</v>
      </c>
      <c r="V1" s="14" t="s">
        <v>842</v>
      </c>
      <c r="W1" s="4" t="s">
        <v>830</v>
      </c>
      <c r="X1" s="14" t="s">
        <v>843</v>
      </c>
      <c r="Y1" s="14" t="s">
        <v>844</v>
      </c>
      <c r="AA1" s="4" t="s">
        <v>845</v>
      </c>
      <c r="AF1" s="4">
        <v>3.5</v>
      </c>
      <c r="AG1" s="4">
        <v>7.8</v>
      </c>
      <c r="AH1" s="4">
        <v>1.19</v>
      </c>
    </row>
    <row r="2" s="10" customFormat="1" ht="15" hidden="1" spans="1:34">
      <c r="A2" s="43">
        <v>8301</v>
      </c>
      <c r="B2" s="4">
        <v>0.66</v>
      </c>
      <c r="C2" s="4">
        <v>0.19</v>
      </c>
      <c r="D2" s="4">
        <v>3</v>
      </c>
      <c r="E2" s="13">
        <v>536000000</v>
      </c>
      <c r="F2" s="45" t="s">
        <v>846</v>
      </c>
      <c r="G2">
        <v>41.6671527737269</v>
      </c>
      <c r="H2" s="26">
        <v>354.545454545455</v>
      </c>
      <c r="I2" s="14">
        <f>H2/G2</f>
        <v>8.50899163834905</v>
      </c>
      <c r="J2" s="4">
        <v>131.25</v>
      </c>
      <c r="K2" s="4">
        <v>12.7465386774221</v>
      </c>
      <c r="L2" s="4"/>
      <c r="M2" s="4"/>
      <c r="N2" s="4"/>
      <c r="O2" s="4"/>
      <c r="P2" s="4"/>
      <c r="Q2" s="4"/>
      <c r="R2" s="6">
        <f>B2</f>
        <v>0.66</v>
      </c>
      <c r="S2" s="18" t="e">
        <f>B2/Q2-1</f>
        <v>#DIV/0!</v>
      </c>
      <c r="T2" s="14">
        <v>-0.363636363636364</v>
      </c>
      <c r="U2" s="14">
        <v>-0.730769230769231</v>
      </c>
      <c r="V2" s="14">
        <v>-0.142857142857143</v>
      </c>
      <c r="W2" s="31" t="s">
        <v>846</v>
      </c>
      <c r="X2" s="4">
        <v>-2.94</v>
      </c>
      <c r="Y2" s="4"/>
      <c r="Z2" s="4"/>
      <c r="AA2" s="4"/>
      <c r="AB2" s="4"/>
      <c r="AC2" s="4"/>
      <c r="AD2" s="4"/>
      <c r="AE2" s="4"/>
      <c r="AF2" s="10">
        <v>2.20589</v>
      </c>
      <c r="AG2" s="10">
        <v>2</v>
      </c>
      <c r="AH2" s="10">
        <v>1.88</v>
      </c>
    </row>
    <row r="3" s="6" customFormat="1" ht="15" hidden="1" spans="1:34">
      <c r="A3" s="43">
        <v>8006</v>
      </c>
      <c r="B3" s="4">
        <v>0.355</v>
      </c>
      <c r="C3" s="4">
        <v>0.018</v>
      </c>
      <c r="D3" s="4">
        <v>4.2</v>
      </c>
      <c r="E3" s="13">
        <v>119000000</v>
      </c>
      <c r="F3" s="46" t="s">
        <v>362</v>
      </c>
      <c r="G3">
        <v>25.3519654827488</v>
      </c>
      <c r="H3" s="25">
        <v>170.423754022553</v>
      </c>
      <c r="I3" s="14">
        <f>H3/G3</f>
        <v>6.7223093270035</v>
      </c>
      <c r="J3" s="4">
        <v>0.51</v>
      </c>
      <c r="K3" s="14">
        <v>1.81818181818181</v>
      </c>
      <c r="L3" s="4">
        <v>38.7141</v>
      </c>
      <c r="M3" s="4">
        <v>36</v>
      </c>
      <c r="N3" s="4"/>
      <c r="O3" s="4"/>
      <c r="P3" s="4"/>
      <c r="Q3" s="4">
        <v>0.018</v>
      </c>
      <c r="R3" s="4">
        <f>B3</f>
        <v>0.355</v>
      </c>
      <c r="S3" s="60">
        <f>B3/Q3-1</f>
        <v>18.7222222222222</v>
      </c>
      <c r="T3" s="14">
        <v>0</v>
      </c>
      <c r="U3" s="14">
        <v>0</v>
      </c>
      <c r="V3" s="14">
        <v>0</v>
      </c>
      <c r="W3" s="31" t="s">
        <v>362</v>
      </c>
      <c r="X3" s="6">
        <v>0</v>
      </c>
      <c r="Y3" s="6"/>
      <c r="Z3" s="6"/>
      <c r="AA3" s="4"/>
      <c r="AB3" s="4"/>
      <c r="AC3" s="4"/>
      <c r="AD3" s="4">
        <v>0.19047619047619</v>
      </c>
      <c r="AE3" s="4">
        <v>0.369047619047619</v>
      </c>
      <c r="AF3" s="6">
        <v>0.19</v>
      </c>
      <c r="AG3" s="6">
        <v>0.205</v>
      </c>
      <c r="AH3" s="6">
        <v>0.9</v>
      </c>
    </row>
    <row r="4" ht="15" hidden="1" spans="1:34">
      <c r="A4" s="43">
        <v>1246</v>
      </c>
      <c r="B4" s="4">
        <v>0.141</v>
      </c>
      <c r="C4" s="4">
        <v>0.014</v>
      </c>
      <c r="D4" s="4">
        <v>1.26</v>
      </c>
      <c r="E4" s="13">
        <v>1087600000</v>
      </c>
      <c r="F4" s="45" t="s">
        <v>14</v>
      </c>
      <c r="G4">
        <v>8.51036577555763</v>
      </c>
      <c r="H4" s="28">
        <v>259.221208420145</v>
      </c>
      <c r="I4" s="14">
        <f>H4/G4</f>
        <v>30.4594673433011</v>
      </c>
      <c r="J4" s="4">
        <v>1.32</v>
      </c>
      <c r="K4" s="4">
        <v>0.869565217391304</v>
      </c>
      <c r="L4" s="4">
        <v>4.3992</v>
      </c>
      <c r="M4" s="4">
        <v>3.182</v>
      </c>
      <c r="N4" s="4"/>
      <c r="O4" s="4"/>
      <c r="P4" s="4"/>
      <c r="Q4" s="4">
        <v>0.014</v>
      </c>
      <c r="R4" s="4">
        <f>B4</f>
        <v>0.141</v>
      </c>
      <c r="S4" s="18">
        <f>B4/Q4-1</f>
        <v>9.07142857142857</v>
      </c>
      <c r="T4" s="14">
        <v>-0.0723257361503909</v>
      </c>
      <c r="U4" s="14">
        <v>0.575545666454757</v>
      </c>
      <c r="V4" s="16">
        <v>-0.211297915265636</v>
      </c>
      <c r="W4" s="31" t="s">
        <v>14</v>
      </c>
      <c r="X4" s="4">
        <v>2.92</v>
      </c>
      <c r="Y4" s="4"/>
      <c r="Z4" s="4"/>
      <c r="AA4" s="4"/>
      <c r="AB4" s="4"/>
      <c r="AC4" s="4"/>
      <c r="AD4" s="4">
        <v>0.180722891566265</v>
      </c>
      <c r="AE4" s="4">
        <v>0.927710843373494</v>
      </c>
      <c r="AF4" s="4">
        <v>0.79</v>
      </c>
      <c r="AG4" s="4">
        <v>0.8</v>
      </c>
      <c r="AH4" s="4">
        <v>1.43</v>
      </c>
    </row>
    <row r="5" ht="15" hidden="1" spans="1:34">
      <c r="A5" s="38">
        <v>1082</v>
      </c>
      <c r="B5" s="4">
        <v>1.07</v>
      </c>
      <c r="C5" s="4">
        <v>0.08</v>
      </c>
      <c r="D5" s="4">
        <v>0.909</v>
      </c>
      <c r="E5" s="13">
        <v>342000000</v>
      </c>
      <c r="F5" s="46" t="s">
        <v>283</v>
      </c>
      <c r="G5">
        <v>73.8315800491966</v>
      </c>
      <c r="H5" s="23">
        <v>14.0250855188141</v>
      </c>
      <c r="I5" s="14">
        <f>H5/G5</f>
        <v>0.189960522441328</v>
      </c>
      <c r="J5" s="4">
        <v>0.41</v>
      </c>
      <c r="K5" s="4">
        <v>0.192221054212344</v>
      </c>
      <c r="L5" s="4">
        <v>8.7041</v>
      </c>
      <c r="M5" s="4">
        <v>1.915</v>
      </c>
      <c r="Q5" s="4">
        <v>0.126</v>
      </c>
      <c r="R5" s="4">
        <f>B5</f>
        <v>1.07</v>
      </c>
      <c r="S5" s="18">
        <f>B5/Q5-1</f>
        <v>7.49206349206349</v>
      </c>
      <c r="T5" s="16">
        <v>-0.933325139802126</v>
      </c>
      <c r="U5" s="14">
        <v>-0.970100308641975</v>
      </c>
      <c r="V5" s="14">
        <v>-0.847004608294931</v>
      </c>
      <c r="W5" s="31" t="s">
        <v>283</v>
      </c>
      <c r="X5" s="4">
        <v>-1.83</v>
      </c>
      <c r="AC5" s="6"/>
      <c r="AD5" s="6">
        <v>0.276595744680851</v>
      </c>
      <c r="AE5" s="6">
        <v>0.404255319148936</v>
      </c>
      <c r="AH5" s="4">
        <v>5.37</v>
      </c>
    </row>
    <row r="6" ht="15" spans="1:34">
      <c r="A6" s="38">
        <v>1046</v>
      </c>
      <c r="B6" s="4">
        <v>0.73</v>
      </c>
      <c r="C6" s="4">
        <v>0.053</v>
      </c>
      <c r="D6" s="4">
        <v>2.13</v>
      </c>
      <c r="E6" s="13">
        <v>363000000</v>
      </c>
      <c r="F6" s="45" t="s">
        <v>847</v>
      </c>
      <c r="G6">
        <v>39.6426846933848</v>
      </c>
      <c r="H6" s="23">
        <v>140.211386019697</v>
      </c>
      <c r="I6" s="14">
        <f>H6/G6</f>
        <v>3.53687917718384</v>
      </c>
      <c r="J6" s="4">
        <v>0.26</v>
      </c>
      <c r="K6" s="4">
        <v>0.495662949194547</v>
      </c>
      <c r="L6" s="4">
        <v>1.0977</v>
      </c>
      <c r="M6" s="4">
        <v>0.19</v>
      </c>
      <c r="N6" s="4"/>
      <c r="O6" s="4"/>
      <c r="P6" s="4"/>
      <c r="Q6" s="32">
        <v>0.087</v>
      </c>
      <c r="R6" s="6">
        <f>B6</f>
        <v>0.73</v>
      </c>
      <c r="S6" s="19">
        <f>B6/Q6-1</f>
        <v>7.39080459770115</v>
      </c>
      <c r="T6" s="14">
        <v>-0.964165334630621</v>
      </c>
      <c r="U6" s="14">
        <v>-0.959453880632225</v>
      </c>
      <c r="V6" s="14">
        <v>24.5454545454545</v>
      </c>
      <c r="W6" s="31" t="s">
        <v>847</v>
      </c>
      <c r="X6" s="4">
        <v>8.96</v>
      </c>
      <c r="Y6" s="4" t="s">
        <v>848</v>
      </c>
      <c r="Z6" s="4"/>
      <c r="AA6" s="4"/>
      <c r="AB6" s="4"/>
      <c r="AC6" s="4"/>
      <c r="AD6" s="4">
        <v>0.175002016616923</v>
      </c>
      <c r="AE6" s="4">
        <v>0.475034282487699</v>
      </c>
      <c r="AF6" s="4">
        <v>1.92</v>
      </c>
      <c r="AG6" s="4">
        <v>2</v>
      </c>
      <c r="AH6" s="4">
        <v>2.04</v>
      </c>
    </row>
    <row r="7" ht="15" hidden="1" spans="1:34">
      <c r="A7" s="37">
        <v>735</v>
      </c>
      <c r="B7" s="6">
        <v>4.55</v>
      </c>
      <c r="C7" s="6">
        <v>0.38</v>
      </c>
      <c r="D7" s="6">
        <v>0.84</v>
      </c>
      <c r="E7" s="15">
        <v>5352000000</v>
      </c>
      <c r="F7" s="47" t="s">
        <v>273</v>
      </c>
      <c r="G7">
        <v>14.0671994500301</v>
      </c>
      <c r="H7" s="26">
        <v>82.4151769427216</v>
      </c>
      <c r="I7" s="16">
        <f>H7/G7</f>
        <v>5.85867693391846</v>
      </c>
      <c r="J7" s="6">
        <v>0.7</v>
      </c>
      <c r="K7" s="6">
        <v>2.19601904179277</v>
      </c>
      <c r="L7" s="6">
        <v>20.3759</v>
      </c>
      <c r="M7" s="6">
        <v>19.661</v>
      </c>
      <c r="N7" s="6"/>
      <c r="O7" s="6"/>
      <c r="P7" s="6"/>
      <c r="Q7" s="6">
        <v>0.58</v>
      </c>
      <c r="R7" s="6">
        <f>B7</f>
        <v>4.55</v>
      </c>
      <c r="S7" s="19">
        <f>B7/Q7-1</f>
        <v>6.8448275862069</v>
      </c>
      <c r="T7" s="14">
        <v>0.0662236480293308</v>
      </c>
      <c r="U7" s="16">
        <v>-0.00831202046035806</v>
      </c>
      <c r="V7" s="16">
        <v>-0.1250805931657</v>
      </c>
      <c r="W7" s="31" t="s">
        <v>273</v>
      </c>
      <c r="X7" s="6">
        <v>0.89</v>
      </c>
      <c r="Y7" s="4"/>
      <c r="Z7" s="4"/>
      <c r="AA7" s="4"/>
      <c r="AB7" s="4"/>
      <c r="AC7" s="4"/>
      <c r="AD7" s="4">
        <v>0.190476190476191</v>
      </c>
      <c r="AE7" s="6">
        <v>0.404761904761905</v>
      </c>
      <c r="AF7" s="4">
        <v>8.44</v>
      </c>
      <c r="AG7" s="4">
        <v>7.64</v>
      </c>
      <c r="AH7" s="4">
        <v>4.28</v>
      </c>
    </row>
    <row r="8" s="6" customFormat="1" ht="15" hidden="1" spans="1:34">
      <c r="A8" s="38">
        <v>471</v>
      </c>
      <c r="B8" s="4">
        <v>0.57</v>
      </c>
      <c r="C8" s="4">
        <v>0.076</v>
      </c>
      <c r="D8" s="4">
        <v>0.55</v>
      </c>
      <c r="E8" s="13">
        <v>553400000</v>
      </c>
      <c r="F8" s="48" t="s">
        <v>380</v>
      </c>
      <c r="G8">
        <v>56.140350877193</v>
      </c>
      <c r="H8" s="23">
        <v>163.921879123779</v>
      </c>
      <c r="I8" s="14">
        <f>H8/G8</f>
        <v>2.91985847189232</v>
      </c>
      <c r="J8" s="4">
        <v>1.15</v>
      </c>
      <c r="K8" s="4">
        <v>34.3988373192986</v>
      </c>
      <c r="L8" s="4"/>
      <c r="M8" s="4"/>
      <c r="N8" s="4"/>
      <c r="O8" s="4"/>
      <c r="P8" s="4"/>
      <c r="Q8" s="4">
        <v>0.078</v>
      </c>
      <c r="R8" s="4">
        <f>B8</f>
        <v>0.57</v>
      </c>
      <c r="S8" s="18">
        <f>B8/Q8-1</f>
        <v>6.30769230769231</v>
      </c>
      <c r="T8" s="14">
        <v>-0.272853447957483</v>
      </c>
      <c r="U8" s="14">
        <v>-0.462367211035358</v>
      </c>
      <c r="V8" s="14">
        <v>-0.727841101788637</v>
      </c>
      <c r="W8" s="31" t="s">
        <v>380</v>
      </c>
      <c r="X8" s="4">
        <v>-1.72</v>
      </c>
      <c r="Y8" s="4"/>
      <c r="Z8" s="4"/>
      <c r="AA8" s="4"/>
      <c r="AB8" s="4"/>
      <c r="AC8" s="4"/>
      <c r="AD8" s="4">
        <v>0.227848101265823</v>
      </c>
      <c r="AE8" s="4">
        <v>0.322784810126582</v>
      </c>
      <c r="AF8" s="6">
        <v>1.122</v>
      </c>
      <c r="AG8" s="6">
        <v>1.2</v>
      </c>
      <c r="AH8" s="6">
        <v>0.92</v>
      </c>
    </row>
    <row r="9" ht="15" hidden="1" spans="1:34">
      <c r="A9" s="38">
        <v>975</v>
      </c>
      <c r="B9" s="4">
        <v>0.3</v>
      </c>
      <c r="C9" s="4">
        <v>0.026</v>
      </c>
      <c r="D9" s="4">
        <v>0.836</v>
      </c>
      <c r="E9" s="13">
        <v>2639800000</v>
      </c>
      <c r="F9" s="45" t="s">
        <v>849</v>
      </c>
      <c r="G9">
        <v>91.3333622221259</v>
      </c>
      <c r="H9" s="49">
        <v>48.3239394838327</v>
      </c>
      <c r="I9" s="14">
        <f>H9/G9</f>
        <v>0.529094060572381</v>
      </c>
      <c r="J9" s="4">
        <v>0.17</v>
      </c>
      <c r="K9" s="4">
        <v>0.342395834428203</v>
      </c>
      <c r="L9" s="4"/>
      <c r="M9" s="4"/>
      <c r="N9" s="4"/>
      <c r="O9" s="4"/>
      <c r="P9" s="4"/>
      <c r="Q9" s="4">
        <v>0.045</v>
      </c>
      <c r="R9" s="61">
        <f>B9</f>
        <v>0.3</v>
      </c>
      <c r="S9" s="18">
        <f>B9/Q9-1</f>
        <v>5.66666666666667</v>
      </c>
      <c r="T9" s="14">
        <v>-0.496855769360247</v>
      </c>
      <c r="U9" s="14">
        <v>-0.393415477523986</v>
      </c>
      <c r="V9" s="14">
        <v>-0.262545162585307</v>
      </c>
      <c r="W9" s="31" t="s">
        <v>849</v>
      </c>
      <c r="X9" s="4">
        <v>-3.23</v>
      </c>
      <c r="Y9" s="4"/>
      <c r="Z9" s="4"/>
      <c r="AA9" s="4"/>
      <c r="AB9" s="4"/>
      <c r="AC9" s="4"/>
      <c r="AD9" s="4"/>
      <c r="AE9" s="4"/>
      <c r="AF9" s="4">
        <v>1.45</v>
      </c>
      <c r="AG9" s="4">
        <v>1.29</v>
      </c>
      <c r="AH9" s="4">
        <v>1.09</v>
      </c>
    </row>
    <row r="10" s="6" customFormat="1" ht="15" hidden="1" spans="1:34">
      <c r="A10" s="38">
        <v>1380</v>
      </c>
      <c r="B10" s="4">
        <v>0.32</v>
      </c>
      <c r="C10" s="4">
        <v>0.038</v>
      </c>
      <c r="D10" s="4">
        <v>0.33</v>
      </c>
      <c r="E10" s="13">
        <v>172300000</v>
      </c>
      <c r="F10" s="50" t="s">
        <v>850</v>
      </c>
      <c r="G10">
        <v>3.1289353869999</v>
      </c>
      <c r="H10" s="49">
        <v>587.285223367698</v>
      </c>
      <c r="I10" s="14">
        <f>H10/G10</f>
        <v>187.694902811912</v>
      </c>
      <c r="J10" s="4">
        <v>0.62</v>
      </c>
      <c r="K10" s="4">
        <v>35.4943209086546</v>
      </c>
      <c r="L10" s="4"/>
      <c r="M10" s="4"/>
      <c r="N10" s="4"/>
      <c r="O10" s="4"/>
      <c r="P10" s="4"/>
      <c r="Q10" s="4">
        <v>0.074</v>
      </c>
      <c r="R10" s="61">
        <f>B10</f>
        <v>0.32</v>
      </c>
      <c r="S10" s="18">
        <f>B10/Q10-1</f>
        <v>3.32432432432432</v>
      </c>
      <c r="T10" s="14">
        <v>0</v>
      </c>
      <c r="U10" s="14">
        <v>0</v>
      </c>
      <c r="V10" s="14">
        <v>0</v>
      </c>
      <c r="W10" s="31" t="s">
        <v>850</v>
      </c>
      <c r="X10" s="4">
        <v>0</v>
      </c>
      <c r="Y10" s="4"/>
      <c r="Z10" s="4"/>
      <c r="AA10" s="4"/>
      <c r="AB10" s="4"/>
      <c r="AC10" s="4"/>
      <c r="AD10" s="4"/>
      <c r="AE10" s="4"/>
      <c r="AF10" s="6">
        <v>0.91</v>
      </c>
      <c r="AG10" s="6">
        <v>0.69</v>
      </c>
      <c r="AH10" s="6">
        <v>0.9</v>
      </c>
    </row>
    <row r="11" s="10" customFormat="1" ht="15" spans="1:34">
      <c r="A11" s="38">
        <v>8127</v>
      </c>
      <c r="B11" s="4">
        <v>14.7</v>
      </c>
      <c r="C11" s="4">
        <v>1.52</v>
      </c>
      <c r="D11" s="4">
        <v>4.2</v>
      </c>
      <c r="E11" s="13">
        <v>8440000000</v>
      </c>
      <c r="F11" s="45" t="s">
        <v>322</v>
      </c>
      <c r="G11">
        <v>82.0408749685715</v>
      </c>
      <c r="H11" s="51">
        <v>0.684655658477648</v>
      </c>
      <c r="I11" s="17">
        <f>H11/G11</f>
        <v>0.00834529932475645</v>
      </c>
      <c r="J11" s="4">
        <v>100</v>
      </c>
      <c r="K11" s="14">
        <v>16.9857633775159</v>
      </c>
      <c r="L11" s="4">
        <v>234.1001</v>
      </c>
      <c r="M11" s="4"/>
      <c r="N11" s="4"/>
      <c r="O11" s="4"/>
      <c r="P11" s="4"/>
      <c r="Q11" s="4">
        <v>3.4</v>
      </c>
      <c r="R11" s="4">
        <f>B11</f>
        <v>14.7</v>
      </c>
      <c r="S11" s="18">
        <f>B11/Q11-1</f>
        <v>3.32352941176471</v>
      </c>
      <c r="T11" s="16">
        <v>0.241379310344828</v>
      </c>
      <c r="U11" s="16">
        <v>0.333333333333333</v>
      </c>
      <c r="V11" s="14">
        <v>-0.5</v>
      </c>
      <c r="W11" s="62" t="s">
        <v>322</v>
      </c>
      <c r="X11" s="6">
        <v>5.15</v>
      </c>
      <c r="Y11" s="4" t="s">
        <v>851</v>
      </c>
      <c r="Z11" s="4"/>
      <c r="AA11" s="4"/>
      <c r="AB11" s="4"/>
      <c r="AC11" s="4"/>
      <c r="AD11" s="6">
        <v>0</v>
      </c>
      <c r="AE11" s="4">
        <v>0</v>
      </c>
      <c r="AF11" s="10">
        <v>6.5</v>
      </c>
      <c r="AG11" s="10">
        <v>4.15</v>
      </c>
      <c r="AH11" s="10">
        <v>3.38</v>
      </c>
    </row>
    <row r="12" ht="15" hidden="1" spans="1:34">
      <c r="A12" s="38">
        <v>8018</v>
      </c>
      <c r="B12" s="4">
        <v>0.222</v>
      </c>
      <c r="C12" s="4">
        <v>0.05</v>
      </c>
      <c r="D12" s="4">
        <v>3.41</v>
      </c>
      <c r="E12" s="13">
        <v>205600000</v>
      </c>
      <c r="F12" s="45" t="s">
        <v>449</v>
      </c>
      <c r="G12">
        <v>32.4324324324324</v>
      </c>
      <c r="H12" s="28">
        <v>327.935638479973</v>
      </c>
      <c r="I12" s="14">
        <f>H12/G12</f>
        <v>10.1113488531325</v>
      </c>
      <c r="J12" s="4">
        <v>3.72</v>
      </c>
      <c r="K12" s="14">
        <v>7.43243243243243</v>
      </c>
      <c r="L12" s="4">
        <v>19.083</v>
      </c>
      <c r="M12" s="4">
        <v>19.286</v>
      </c>
      <c r="Q12" s="4">
        <v>0.054</v>
      </c>
      <c r="R12" s="4">
        <f>B12</f>
        <v>0.222</v>
      </c>
      <c r="S12" s="18">
        <f>B12/Q12-1</f>
        <v>3.11111111111111</v>
      </c>
      <c r="T12" s="14">
        <v>-0.978204050299751</v>
      </c>
      <c r="U12" s="16">
        <v>-0.594387755102041</v>
      </c>
      <c r="V12" s="14">
        <v>0.479245283018868</v>
      </c>
      <c r="W12" s="31" t="s">
        <v>449</v>
      </c>
      <c r="X12" s="6">
        <v>-0.893</v>
      </c>
      <c r="Y12" s="6"/>
      <c r="Z12" s="6"/>
      <c r="AC12" s="6"/>
      <c r="AD12" s="6">
        <v>0.3</v>
      </c>
      <c r="AE12" s="4">
        <v>0.275</v>
      </c>
      <c r="AH12" s="4">
        <v>1.44</v>
      </c>
    </row>
    <row r="13" ht="15" hidden="1" spans="1:34">
      <c r="A13" s="22">
        <v>8100</v>
      </c>
      <c r="B13" s="6">
        <v>0.59</v>
      </c>
      <c r="C13" s="6">
        <v>0.08</v>
      </c>
      <c r="D13" s="6">
        <v>1.19</v>
      </c>
      <c r="E13" s="15">
        <v>181000000</v>
      </c>
      <c r="F13" s="52" t="s">
        <v>778</v>
      </c>
      <c r="G13">
        <v>29.6616726454245</v>
      </c>
      <c r="H13" s="29">
        <v>222.061191626409</v>
      </c>
      <c r="I13" s="16">
        <f>H13/G13</f>
        <v>7.4864689621832</v>
      </c>
      <c r="J13" s="6">
        <v>0.18</v>
      </c>
      <c r="K13" s="16">
        <v>0.50841968911917</v>
      </c>
      <c r="L13" s="6">
        <v>3.6754</v>
      </c>
      <c r="M13" s="6">
        <v>0.983</v>
      </c>
      <c r="N13" s="6"/>
      <c r="O13" s="6"/>
      <c r="P13" s="6"/>
      <c r="Q13" s="6">
        <v>0.148</v>
      </c>
      <c r="R13" s="6">
        <f>B13</f>
        <v>0.59</v>
      </c>
      <c r="S13" s="19">
        <f>B13/Q13-1</f>
        <v>2.98648648648649</v>
      </c>
      <c r="T13" s="16">
        <v>-1</v>
      </c>
      <c r="U13" s="14">
        <v>-1</v>
      </c>
      <c r="V13" s="16">
        <v>0</v>
      </c>
      <c r="W13" s="31" t="s">
        <v>778</v>
      </c>
      <c r="X13" s="6">
        <v>0</v>
      </c>
      <c r="AA13" s="6"/>
      <c r="AB13" s="6"/>
      <c r="AD13" s="4">
        <v>0.471698113207547</v>
      </c>
      <c r="AE13" s="6">
        <v>0.69811320754717</v>
      </c>
      <c r="AF13" s="4">
        <v>25.801</v>
      </c>
      <c r="AG13" s="4">
        <v>27.441</v>
      </c>
      <c r="AH13" s="4">
        <v>21.05</v>
      </c>
    </row>
    <row r="14" s="6" customFormat="1" ht="14.25" hidden="1" spans="1:34">
      <c r="A14" s="38">
        <v>572</v>
      </c>
      <c r="B14" s="4">
        <v>0.63</v>
      </c>
      <c r="C14" s="4">
        <v>0.052</v>
      </c>
      <c r="D14" s="4">
        <v>1.38</v>
      </c>
      <c r="E14" s="13">
        <v>4540000000</v>
      </c>
      <c r="F14" s="47" t="s">
        <v>852</v>
      </c>
      <c r="G14">
        <v>79.8411482481958</v>
      </c>
      <c r="H14" s="23">
        <v>41.2628902387343</v>
      </c>
      <c r="I14" s="14">
        <f>H14/G14</f>
        <v>0.516812334793378</v>
      </c>
      <c r="J14" s="4">
        <v>3.26</v>
      </c>
      <c r="K14" s="4">
        <v>6.96356275303643</v>
      </c>
      <c r="L14" s="4">
        <v>366.0203</v>
      </c>
      <c r="M14" s="4">
        <v>145</v>
      </c>
      <c r="N14" s="4"/>
      <c r="O14" s="4"/>
      <c r="P14" s="4"/>
      <c r="Q14" s="32">
        <v>0.17</v>
      </c>
      <c r="R14" s="6">
        <f>B14</f>
        <v>0.63</v>
      </c>
      <c r="S14" s="19">
        <f>B14/Q14-1</f>
        <v>2.70588235294118</v>
      </c>
      <c r="T14" s="14">
        <v>-0.362768086931656</v>
      </c>
      <c r="U14" s="14">
        <v>-0.409257197391443</v>
      </c>
      <c r="V14" s="14">
        <v>-0.135702746365105</v>
      </c>
      <c r="W14" s="31" t="s">
        <v>852</v>
      </c>
      <c r="X14" s="4">
        <v>0</v>
      </c>
      <c r="Y14" s="4"/>
      <c r="Z14" s="4"/>
      <c r="AA14" s="4"/>
      <c r="AB14" s="4"/>
      <c r="AC14" s="6"/>
      <c r="AD14" s="4">
        <v>0.375</v>
      </c>
      <c r="AE14" s="4">
        <v>1.109375</v>
      </c>
      <c r="AF14" s="6">
        <v>5.69</v>
      </c>
      <c r="AG14" s="6">
        <v>5.5</v>
      </c>
      <c r="AH14" s="6">
        <v>4.42</v>
      </c>
    </row>
    <row r="15" ht="14.25" hidden="1" spans="1:34">
      <c r="A15" s="38">
        <v>704</v>
      </c>
      <c r="B15" s="4">
        <v>0.21</v>
      </c>
      <c r="C15" s="4">
        <v>0.04</v>
      </c>
      <c r="D15" s="4">
        <v>0.21</v>
      </c>
      <c r="E15" s="13">
        <v>226800000</v>
      </c>
      <c r="F15" s="46" t="s">
        <v>853</v>
      </c>
      <c r="G15">
        <v>26.1883672866844</v>
      </c>
      <c r="H15" s="25">
        <v>161.917234154007</v>
      </c>
      <c r="I15" s="14">
        <f>H15/G15</f>
        <v>6.18279224441514</v>
      </c>
      <c r="J15" s="4">
        <v>1.74</v>
      </c>
      <c r="K15" s="4">
        <v>0.403005464480874</v>
      </c>
      <c r="L15" s="4"/>
      <c r="M15" s="4"/>
      <c r="N15" s="4"/>
      <c r="O15" s="4"/>
      <c r="P15" s="4"/>
      <c r="Q15" s="33">
        <v>0.059</v>
      </c>
      <c r="R15" s="4">
        <f>B15</f>
        <v>0.21</v>
      </c>
      <c r="S15" s="18">
        <f>B15/Q15-1</f>
        <v>2.5593220338983</v>
      </c>
      <c r="T15" s="14">
        <v>0.720441988950276</v>
      </c>
      <c r="U15" s="14">
        <v>1.53170731707317</v>
      </c>
      <c r="V15" s="14">
        <v>-0.460500963391137</v>
      </c>
      <c r="W15" s="34" t="s">
        <v>853</v>
      </c>
      <c r="X15" s="4">
        <v>-2.78</v>
      </c>
      <c r="Y15" s="4"/>
      <c r="Z15" s="4"/>
      <c r="AA15" s="4"/>
      <c r="AB15" s="4"/>
      <c r="AC15" s="4"/>
      <c r="AD15" s="4">
        <v>0.384615384615385</v>
      </c>
      <c r="AE15" s="4">
        <v>0.492307692307692</v>
      </c>
      <c r="AF15" s="4">
        <v>2.46204</v>
      </c>
      <c r="AG15" s="4">
        <v>2.81342</v>
      </c>
      <c r="AH15" s="4">
        <v>2.59223</v>
      </c>
    </row>
    <row r="16" ht="15" hidden="1" spans="1:34">
      <c r="A16" s="37">
        <v>1478</v>
      </c>
      <c r="B16" s="6">
        <v>3.84</v>
      </c>
      <c r="C16" s="6">
        <v>1.01</v>
      </c>
      <c r="D16" s="6">
        <v>3.89</v>
      </c>
      <c r="E16" s="15">
        <v>4084000000</v>
      </c>
      <c r="F16" s="53" t="s">
        <v>569</v>
      </c>
      <c r="G16">
        <v>75</v>
      </c>
      <c r="H16" s="27">
        <v>14.3249113981937</v>
      </c>
      <c r="I16" s="16">
        <f>H16/G16</f>
        <v>0.190998818642582</v>
      </c>
      <c r="J16" s="6">
        <v>0.78</v>
      </c>
      <c r="K16" s="6">
        <v>0.487110388202532</v>
      </c>
      <c r="L16" s="6">
        <v>4.5834</v>
      </c>
      <c r="M16" s="6">
        <v>2.746</v>
      </c>
      <c r="N16" s="6"/>
      <c r="O16" s="6"/>
      <c r="P16" s="6"/>
      <c r="Q16" s="6">
        <v>1.09</v>
      </c>
      <c r="R16" s="6">
        <f>B16</f>
        <v>3.84</v>
      </c>
      <c r="S16" s="63">
        <f>B16/Q16-1</f>
        <v>2.52293577981651</v>
      </c>
      <c r="T16" s="14">
        <v>0.221416300820767</v>
      </c>
      <c r="U16" s="14">
        <v>0.94705613874943</v>
      </c>
      <c r="V16" s="16">
        <v>-0.824071729957806</v>
      </c>
      <c r="W16" s="31" t="s">
        <v>569</v>
      </c>
      <c r="X16" s="6">
        <v>0.26</v>
      </c>
      <c r="Y16" s="6"/>
      <c r="Z16" s="6"/>
      <c r="AD16" s="4">
        <v>0.190751445086705</v>
      </c>
      <c r="AE16" s="6">
        <v>0.254335260115607</v>
      </c>
      <c r="AF16" s="4">
        <v>1.6</v>
      </c>
      <c r="AG16" s="4">
        <v>1.5</v>
      </c>
      <c r="AH16" s="4">
        <v>1.27</v>
      </c>
    </row>
    <row r="17" s="6" customFormat="1" ht="15" spans="1:34">
      <c r="A17" s="37">
        <v>1101</v>
      </c>
      <c r="B17" s="6">
        <v>0.51</v>
      </c>
      <c r="C17" s="6">
        <v>0.147</v>
      </c>
      <c r="D17" s="6">
        <v>1.78</v>
      </c>
      <c r="E17" s="15">
        <v>1042400000</v>
      </c>
      <c r="F17" s="54" t="s">
        <v>806</v>
      </c>
      <c r="G17">
        <v>15.6829679595278</v>
      </c>
      <c r="H17" s="55">
        <v>218.674314850223</v>
      </c>
      <c r="I17" s="16">
        <f>H17/G17</f>
        <v>13.9434267426002</v>
      </c>
      <c r="J17" s="6">
        <v>82.05</v>
      </c>
      <c r="K17" s="6">
        <v>1.58126176063434</v>
      </c>
      <c r="L17" s="6"/>
      <c r="M17" s="6"/>
      <c r="N17" s="6"/>
      <c r="O17" s="6"/>
      <c r="P17" s="6"/>
      <c r="Q17" s="6">
        <v>0.153</v>
      </c>
      <c r="R17" s="43">
        <f>B17</f>
        <v>0.51</v>
      </c>
      <c r="S17" s="63">
        <f>B17/Q17-1</f>
        <v>2.33333333333333</v>
      </c>
      <c r="T17" s="14">
        <v>0.429078873526861</v>
      </c>
      <c r="U17" s="16">
        <v>3.7684008937121</v>
      </c>
      <c r="V17" s="14">
        <v>-0.800902312007176</v>
      </c>
      <c r="W17" s="31" t="s">
        <v>806</v>
      </c>
      <c r="X17" s="4">
        <v>0</v>
      </c>
      <c r="Y17" s="4" t="s">
        <v>854</v>
      </c>
      <c r="Z17" s="4"/>
      <c r="AA17" s="6"/>
      <c r="AB17" s="6"/>
      <c r="AC17" s="6"/>
      <c r="AD17" s="4">
        <v>0.295774647887324</v>
      </c>
      <c r="AE17" s="4">
        <v>0.661971830985915</v>
      </c>
      <c r="AF17" s="6">
        <v>1.61</v>
      </c>
      <c r="AG17" s="6">
        <v>0.8</v>
      </c>
      <c r="AH17" s="6">
        <v>1.09</v>
      </c>
    </row>
    <row r="18" ht="15" hidden="1" spans="1:34">
      <c r="A18" s="38">
        <v>1613</v>
      </c>
      <c r="B18" s="4">
        <v>0.176</v>
      </c>
      <c r="C18" s="4">
        <v>0.04</v>
      </c>
      <c r="D18" s="4">
        <v>0.89</v>
      </c>
      <c r="E18" s="13">
        <v>616200000</v>
      </c>
      <c r="F18" s="45" t="s">
        <v>855</v>
      </c>
      <c r="G18">
        <v>28.9772727272727</v>
      </c>
      <c r="H18" s="49">
        <v>223.918113500907</v>
      </c>
      <c r="I18" s="14">
        <f>H18/G18</f>
        <v>7.72737019140385</v>
      </c>
      <c r="J18" s="4">
        <v>0.58</v>
      </c>
      <c r="K18" s="4">
        <v>4.63414634146341</v>
      </c>
      <c r="L18" s="4">
        <v>2.8288</v>
      </c>
      <c r="M18" s="4">
        <v>10.755</v>
      </c>
      <c r="Q18" s="4">
        <v>0.057</v>
      </c>
      <c r="R18" s="61">
        <f>B18</f>
        <v>0.176</v>
      </c>
      <c r="S18" s="18">
        <f>B18/Q18-1</f>
        <v>2.08771929824561</v>
      </c>
      <c r="T18" s="14">
        <v>-0.0694523188570133</v>
      </c>
      <c r="U18" s="14">
        <v>0.404621309370988</v>
      </c>
      <c r="V18" s="14">
        <v>-0.904953390605008</v>
      </c>
      <c r="W18" s="5" t="s">
        <v>855</v>
      </c>
      <c r="X18" s="4">
        <v>1.149</v>
      </c>
      <c r="AF18" s="4">
        <v>2.0693</v>
      </c>
      <c r="AG18" s="4">
        <v>0.1428</v>
      </c>
      <c r="AH18" s="4">
        <v>2.15</v>
      </c>
    </row>
    <row r="19" s="6" customFormat="1" ht="14.25" spans="1:34">
      <c r="A19" s="38">
        <v>8340</v>
      </c>
      <c r="B19" s="4">
        <v>1.54</v>
      </c>
      <c r="C19" s="4">
        <v>0.16</v>
      </c>
      <c r="D19" s="4">
        <v>0.88</v>
      </c>
      <c r="E19" s="13">
        <v>864000000</v>
      </c>
      <c r="F19" s="46" t="s">
        <v>856</v>
      </c>
      <c r="G19">
        <v>78.8962751925715</v>
      </c>
      <c r="H19" s="23">
        <v>25.9763164525069</v>
      </c>
      <c r="I19" s="14">
        <f>H19/G19</f>
        <v>0.329246423726639</v>
      </c>
      <c r="J19" s="4">
        <v>12.92</v>
      </c>
      <c r="K19" s="4">
        <v>12.9533678756476</v>
      </c>
      <c r="L19" s="4"/>
      <c r="M19" s="4"/>
      <c r="N19" s="4"/>
      <c r="O19" s="4"/>
      <c r="P19" s="4"/>
      <c r="Q19" s="32">
        <v>0.52</v>
      </c>
      <c r="R19" s="6">
        <f>B19</f>
        <v>1.54</v>
      </c>
      <c r="S19" s="19">
        <f>B19/Q19-1</f>
        <v>1.96153846153846</v>
      </c>
      <c r="T19" s="14">
        <v>0.701030927835052</v>
      </c>
      <c r="U19" s="14">
        <v>0.486486486486487</v>
      </c>
      <c r="V19" s="14">
        <v>-0.436363636363636</v>
      </c>
      <c r="W19" s="31" t="s">
        <v>856</v>
      </c>
      <c r="X19" s="6">
        <v>10</v>
      </c>
      <c r="Y19" s="4" t="s">
        <v>857</v>
      </c>
      <c r="Z19" s="4"/>
      <c r="AA19" s="6"/>
      <c r="AB19" s="6"/>
      <c r="AC19" s="4"/>
      <c r="AD19" s="4">
        <v>0.144578313253012</v>
      </c>
      <c r="AE19" s="4">
        <v>0.626506024096386</v>
      </c>
      <c r="AF19" s="6">
        <v>2.77</v>
      </c>
      <c r="AG19" s="6">
        <v>2.04</v>
      </c>
      <c r="AH19" s="6">
        <v>1.82</v>
      </c>
    </row>
    <row r="20" ht="15" hidden="1" spans="1:34">
      <c r="A20" s="4">
        <v>1979</v>
      </c>
      <c r="B20" s="4">
        <v>1.51</v>
      </c>
      <c r="C20" s="4">
        <v>0.33</v>
      </c>
      <c r="D20" s="4">
        <v>1.42</v>
      </c>
      <c r="E20" s="13">
        <v>1540000000</v>
      </c>
      <c r="F20" s="45" t="s">
        <v>858</v>
      </c>
      <c r="G20">
        <v>78.4770349963411</v>
      </c>
      <c r="H20" s="25">
        <v>14.5737855178735</v>
      </c>
      <c r="I20" s="14">
        <f>H20/G20</f>
        <v>0.185707647065833</v>
      </c>
      <c r="J20" s="4">
        <v>1.08</v>
      </c>
      <c r="K20" s="4">
        <v>9.1379</v>
      </c>
      <c r="L20" s="4"/>
      <c r="M20" s="4"/>
      <c r="N20" s="4"/>
      <c r="O20" s="4"/>
      <c r="P20" s="4"/>
      <c r="Q20" s="4">
        <v>0.53</v>
      </c>
      <c r="R20" s="4">
        <f>B20</f>
        <v>1.51</v>
      </c>
      <c r="S20" s="18">
        <f>B20/Q20-1</f>
        <v>1.84905660377358</v>
      </c>
      <c r="T20" s="14">
        <v>0.346047156726768</v>
      </c>
      <c r="U20" s="14">
        <v>0.200371057513915</v>
      </c>
      <c r="V20" s="14">
        <v>1.16537867078825</v>
      </c>
      <c r="W20" s="31" t="s">
        <v>858</v>
      </c>
      <c r="X20" s="4">
        <v>-5.63</v>
      </c>
      <c r="Y20" s="4"/>
      <c r="Z20" s="4"/>
      <c r="AA20" s="4"/>
      <c r="AB20" s="4"/>
      <c r="AC20" s="4"/>
      <c r="AD20" s="4"/>
      <c r="AE20" s="4"/>
      <c r="AF20" s="4">
        <v>2.611</v>
      </c>
      <c r="AG20" s="4">
        <v>2.3</v>
      </c>
      <c r="AH20" s="4">
        <v>3.21</v>
      </c>
    </row>
    <row r="21" s="6" customFormat="1" ht="15" hidden="1" spans="1:34">
      <c r="A21" s="38">
        <v>986</v>
      </c>
      <c r="B21" s="4">
        <v>0.5</v>
      </c>
      <c r="C21" s="4">
        <v>0.082</v>
      </c>
      <c r="D21" s="4">
        <v>1.345</v>
      </c>
      <c r="E21" s="13">
        <v>235800000</v>
      </c>
      <c r="F21" s="41" t="s">
        <v>859</v>
      </c>
      <c r="G21">
        <v>1.99921599372795</v>
      </c>
      <c r="H21" s="56">
        <v>364.037122969838</v>
      </c>
      <c r="I21" s="14">
        <f>H21/G21</f>
        <v>182.089941312952</v>
      </c>
      <c r="J21" s="4">
        <v>0.49</v>
      </c>
      <c r="K21" s="4">
        <v>8.23255813953488</v>
      </c>
      <c r="L21" s="4"/>
      <c r="M21" s="4"/>
      <c r="N21" s="4"/>
      <c r="O21" s="4"/>
      <c r="P21" s="4"/>
      <c r="Q21" s="4">
        <v>0.177</v>
      </c>
      <c r="R21" s="61">
        <f>B21</f>
        <v>0.5</v>
      </c>
      <c r="S21" s="18">
        <f>B21/Q21-1</f>
        <v>1.82485875706215</v>
      </c>
      <c r="T21" s="14">
        <v>0</v>
      </c>
      <c r="U21" s="14">
        <v>0</v>
      </c>
      <c r="V21" s="14">
        <v>0</v>
      </c>
      <c r="W21" s="31" t="s">
        <v>859</v>
      </c>
      <c r="X21" s="4">
        <v>-3.85</v>
      </c>
      <c r="Y21" s="4"/>
      <c r="Z21" s="4"/>
      <c r="AA21" s="4"/>
      <c r="AB21" s="4"/>
      <c r="AC21" s="4"/>
      <c r="AD21" s="4"/>
      <c r="AE21" s="4"/>
      <c r="AF21" s="6">
        <v>0.35</v>
      </c>
      <c r="AG21" s="6">
        <v>0.385</v>
      </c>
      <c r="AH21" s="6">
        <v>0.45</v>
      </c>
    </row>
    <row r="22" s="6" customFormat="1" ht="15" hidden="1" spans="1:34">
      <c r="A22" s="38">
        <v>1561</v>
      </c>
      <c r="B22" s="4">
        <v>2.79</v>
      </c>
      <c r="C22" s="4">
        <v>0.85</v>
      </c>
      <c r="D22" s="4">
        <v>1.27</v>
      </c>
      <c r="E22" s="13">
        <v>1530000000</v>
      </c>
      <c r="F22" s="45" t="s">
        <v>25</v>
      </c>
      <c r="G22">
        <v>73.1182795698925</v>
      </c>
      <c r="H22" s="25">
        <v>11.1111111111111</v>
      </c>
      <c r="I22" s="17">
        <f>H22/G22</f>
        <v>0.151960784313725</v>
      </c>
      <c r="J22" s="4">
        <v>0.92</v>
      </c>
      <c r="K22" s="4">
        <v>14.3371</v>
      </c>
      <c r="L22" s="4"/>
      <c r="M22" s="4"/>
      <c r="N22" s="4"/>
      <c r="O22" s="4"/>
      <c r="P22" s="4"/>
      <c r="Q22" s="4">
        <v>0.99</v>
      </c>
      <c r="R22" s="4">
        <f>B22</f>
        <v>2.79</v>
      </c>
      <c r="S22" s="18">
        <f>B22/Q22-1</f>
        <v>1.81818181818182</v>
      </c>
      <c r="T22" s="16">
        <v>0</v>
      </c>
      <c r="U22" s="16">
        <v>0</v>
      </c>
      <c r="V22" s="14">
        <v>0</v>
      </c>
      <c r="W22" s="31" t="s">
        <v>25</v>
      </c>
      <c r="X22" s="4">
        <v>-0.36</v>
      </c>
      <c r="Y22" s="4"/>
      <c r="Z22" s="4"/>
      <c r="AA22" s="6"/>
      <c r="AB22" s="6"/>
      <c r="AC22" s="4"/>
      <c r="AD22" s="4">
        <v>0</v>
      </c>
      <c r="AE22" s="4">
        <v>0</v>
      </c>
      <c r="AF22" s="6">
        <v>3.956</v>
      </c>
      <c r="AG22" s="6">
        <v>3.63</v>
      </c>
      <c r="AH22" s="6">
        <v>2.55</v>
      </c>
    </row>
    <row r="23" ht="14.25" hidden="1" spans="1:34">
      <c r="A23" s="41">
        <v>1053</v>
      </c>
      <c r="B23" s="4">
        <v>2.47</v>
      </c>
      <c r="C23" s="4">
        <v>0.81</v>
      </c>
      <c r="D23" s="4">
        <v>2.94</v>
      </c>
      <c r="E23" s="13">
        <v>10780000000</v>
      </c>
      <c r="F23" s="47" t="s">
        <v>860</v>
      </c>
      <c r="G23">
        <v>67.2066636059553</v>
      </c>
      <c r="H23" s="23">
        <v>6.47359454855196</v>
      </c>
      <c r="I23" s="14">
        <f>H23/G23</f>
        <v>0.0963237006750968</v>
      </c>
      <c r="J23" s="4">
        <v>0.48</v>
      </c>
      <c r="K23" s="4">
        <v>0.365397707553246</v>
      </c>
      <c r="L23" s="4">
        <v>62.0815</v>
      </c>
      <c r="M23" s="4">
        <v>66.207</v>
      </c>
      <c r="Q23" s="32">
        <v>0.91</v>
      </c>
      <c r="R23" s="6">
        <f>B23</f>
        <v>2.47</v>
      </c>
      <c r="S23" s="19">
        <f>B23/Q23-1</f>
        <v>1.71428571428571</v>
      </c>
      <c r="T23" s="14">
        <v>-0.41174515603709</v>
      </c>
      <c r="U23" s="14">
        <v>-0.597242132568776</v>
      </c>
      <c r="V23" s="16">
        <v>-0.644067796610169</v>
      </c>
      <c r="W23" s="31" t="s">
        <v>860</v>
      </c>
      <c r="X23" s="6">
        <v>-1.2</v>
      </c>
      <c r="AC23" s="6"/>
      <c r="AD23" s="6">
        <v>0.155038759689922</v>
      </c>
      <c r="AE23" s="4">
        <v>0.325581395348837</v>
      </c>
      <c r="AF23" s="4">
        <v>3.99</v>
      </c>
      <c r="AG23" s="4">
        <v>3.92</v>
      </c>
      <c r="AH23" s="4">
        <v>4</v>
      </c>
    </row>
    <row r="24" hidden="1" spans="1:34">
      <c r="A24" s="37">
        <v>8078</v>
      </c>
      <c r="B24" s="6">
        <v>0.91</v>
      </c>
      <c r="C24" s="6">
        <v>0.29</v>
      </c>
      <c r="D24" s="6">
        <v>19.5</v>
      </c>
      <c r="E24" s="15">
        <v>4479000000</v>
      </c>
      <c r="F24" s="57" t="s">
        <v>288</v>
      </c>
      <c r="G24">
        <v>65.384748520198</v>
      </c>
      <c r="H24" s="23">
        <v>6.59844366272252</v>
      </c>
      <c r="I24" s="16">
        <f>H24/G24</f>
        <v>0.100917168178512</v>
      </c>
      <c r="J24" s="6">
        <v>2.89</v>
      </c>
      <c r="K24" s="16">
        <v>3.17460317460317</v>
      </c>
      <c r="L24" s="6"/>
      <c r="M24" s="6"/>
      <c r="N24" s="6"/>
      <c r="O24" s="6"/>
      <c r="P24" s="6"/>
      <c r="Q24" s="6">
        <v>0.345</v>
      </c>
      <c r="R24" s="6">
        <f>B24</f>
        <v>0.91</v>
      </c>
      <c r="S24" s="63">
        <f>B24/Q24-1</f>
        <v>1.63768115942029</v>
      </c>
      <c r="T24" s="14">
        <v>-0.462368868597343</v>
      </c>
      <c r="U24" s="14">
        <v>-0.572761356700671</v>
      </c>
      <c r="V24" s="14">
        <v>-0.702473469387755</v>
      </c>
      <c r="W24" s="5" t="s">
        <v>288</v>
      </c>
      <c r="X24" s="4">
        <v>-1.09</v>
      </c>
      <c r="Y24" s="6"/>
      <c r="Z24" s="6"/>
      <c r="AD24" s="6">
        <v>0.16</v>
      </c>
      <c r="AE24" s="4">
        <v>0.22</v>
      </c>
      <c r="AF24" s="4">
        <v>4.7721</v>
      </c>
      <c r="AG24" s="4">
        <v>3.47</v>
      </c>
      <c r="AH24" s="4">
        <v>2.39</v>
      </c>
    </row>
    <row r="25" ht="14.25" spans="1:34">
      <c r="A25" s="4">
        <v>921</v>
      </c>
      <c r="B25" s="4">
        <v>6.7</v>
      </c>
      <c r="C25" s="4">
        <v>2.51</v>
      </c>
      <c r="D25" s="4">
        <v>10.7</v>
      </c>
      <c r="E25" s="13">
        <v>9539000000</v>
      </c>
      <c r="F25" s="47" t="s">
        <v>861</v>
      </c>
      <c r="G25">
        <v>62.5369947177163</v>
      </c>
      <c r="H25" s="25">
        <v>10.1442890186144</v>
      </c>
      <c r="I25" s="14">
        <f>H25/G25</f>
        <v>0.162212608143458</v>
      </c>
      <c r="J25" s="4">
        <v>0.75</v>
      </c>
      <c r="K25" s="4">
        <v>0.108658936963336</v>
      </c>
      <c r="L25" s="4">
        <v>4.4567</v>
      </c>
      <c r="M25" s="4">
        <v>4.921</v>
      </c>
      <c r="Q25" s="4">
        <v>2.64</v>
      </c>
      <c r="R25" s="4">
        <f>B25</f>
        <v>6.7</v>
      </c>
      <c r="S25" s="18">
        <f>B25/Q25-1</f>
        <v>1.53787878787879</v>
      </c>
      <c r="T25" s="14">
        <v>0.0893920171757588</v>
      </c>
      <c r="U25" s="14">
        <v>0.110746268656716</v>
      </c>
      <c r="V25" s="14">
        <v>-0.553883364686912</v>
      </c>
      <c r="W25" s="62" t="s">
        <v>861</v>
      </c>
      <c r="X25" s="4">
        <v>-0.3</v>
      </c>
      <c r="Y25" s="61" t="s">
        <v>862</v>
      </c>
      <c r="AH25" s="4">
        <v>11.06</v>
      </c>
    </row>
    <row r="26" s="6" customFormat="1" ht="15" hidden="1" spans="1:34">
      <c r="A26" s="37">
        <v>6108</v>
      </c>
      <c r="B26" s="6">
        <v>0.435</v>
      </c>
      <c r="C26" s="6">
        <v>0.168</v>
      </c>
      <c r="D26" s="6">
        <v>1</v>
      </c>
      <c r="E26" s="15">
        <v>191600000</v>
      </c>
      <c r="F26" s="53" t="s">
        <v>435</v>
      </c>
      <c r="G26">
        <v>20.6896825207991</v>
      </c>
      <c r="H26" s="29">
        <v>193.100416202591</v>
      </c>
      <c r="I26" s="16">
        <f>H26/G26</f>
        <v>9.33317444617476</v>
      </c>
      <c r="J26" s="6">
        <v>0.49</v>
      </c>
      <c r="K26" s="16">
        <v>0.777676120768527</v>
      </c>
      <c r="L26" s="6">
        <v>8.2821</v>
      </c>
      <c r="M26" s="6">
        <v>4.778</v>
      </c>
      <c r="N26" s="6"/>
      <c r="O26" s="6"/>
      <c r="P26" s="6"/>
      <c r="Q26" s="6">
        <v>0.172</v>
      </c>
      <c r="R26" s="4">
        <f>B26</f>
        <v>0.435</v>
      </c>
      <c r="S26" s="19">
        <f>B26/Q26-1</f>
        <v>1.52906976744186</v>
      </c>
      <c r="T26" s="14">
        <v>-0.238721804511278</v>
      </c>
      <c r="U26" s="16">
        <v>-0.140127388535032</v>
      </c>
      <c r="V26" s="14">
        <v>1.7037037037037</v>
      </c>
      <c r="W26" s="31" t="s">
        <v>435</v>
      </c>
      <c r="X26" s="4">
        <v>2.353</v>
      </c>
      <c r="Y26" s="4"/>
      <c r="Z26" s="4"/>
      <c r="AA26" s="4"/>
      <c r="AB26" s="4"/>
      <c r="AC26" s="4"/>
      <c r="AD26" s="4">
        <v>0.290322580645161</v>
      </c>
      <c r="AE26" s="6">
        <v>0.5</v>
      </c>
      <c r="AF26" s="6">
        <v>0.014</v>
      </c>
      <c r="AG26" s="6">
        <v>0.018</v>
      </c>
      <c r="AH26" s="6">
        <v>0.029</v>
      </c>
    </row>
    <row r="27" ht="15" hidden="1" spans="1:34">
      <c r="A27" s="38">
        <v>8037</v>
      </c>
      <c r="B27" s="4">
        <v>0.27</v>
      </c>
      <c r="C27" s="4">
        <v>0.062</v>
      </c>
      <c r="D27" s="4">
        <v>1.11</v>
      </c>
      <c r="E27" s="13">
        <v>268000000</v>
      </c>
      <c r="F27" s="45" t="s">
        <v>863</v>
      </c>
      <c r="G27">
        <v>54.0736658399926</v>
      </c>
      <c r="H27" s="29">
        <v>140.731824747232</v>
      </c>
      <c r="I27" s="14">
        <f>H27/G27</f>
        <v>2.60259448959251</v>
      </c>
      <c r="J27" s="4">
        <v>0.67</v>
      </c>
      <c r="K27" s="4">
        <v>1.12568306010928</v>
      </c>
      <c r="Q27" s="32">
        <v>0.107</v>
      </c>
      <c r="R27" s="6">
        <f>B27</f>
        <v>0.27</v>
      </c>
      <c r="S27" s="19">
        <f>B27/Q27-1</f>
        <v>1.52336448598131</v>
      </c>
      <c r="T27" s="14">
        <v>-0.575155279503106</v>
      </c>
      <c r="U27" s="14">
        <v>4.5609756097561</v>
      </c>
      <c r="V27" s="14">
        <v>-0.93859649122807</v>
      </c>
      <c r="W27" s="5" t="s">
        <v>863</v>
      </c>
      <c r="X27" s="4">
        <v>-1.82</v>
      </c>
      <c r="AD27" s="4">
        <v>0.22271345675601</v>
      </c>
      <c r="AE27" s="6">
        <v>0.33185962973197</v>
      </c>
      <c r="AF27" s="4">
        <v>0.803</v>
      </c>
      <c r="AG27" s="4">
        <v>0.79</v>
      </c>
      <c r="AH27" s="4">
        <v>1.12</v>
      </c>
    </row>
    <row r="28" s="6" customFormat="1" ht="15" spans="1:34">
      <c r="A28" s="37">
        <v>585</v>
      </c>
      <c r="B28" s="6">
        <v>0.24</v>
      </c>
      <c r="C28" s="6">
        <v>0.087</v>
      </c>
      <c r="D28" s="6">
        <v>0.47</v>
      </c>
      <c r="E28" s="15">
        <v>1127900000</v>
      </c>
      <c r="F28" s="53" t="s">
        <v>280</v>
      </c>
      <c r="G28">
        <v>20.8359721342622</v>
      </c>
      <c r="H28" s="29">
        <v>160.416666666667</v>
      </c>
      <c r="I28" s="16">
        <f>H28/G28</f>
        <v>7.69902482269504</v>
      </c>
      <c r="J28" s="6">
        <v>1.03</v>
      </c>
      <c r="K28" s="6">
        <v>86.3636363636363</v>
      </c>
      <c r="L28" s="6">
        <v>274.1063</v>
      </c>
      <c r="M28" s="6">
        <v>320</v>
      </c>
      <c r="N28" s="6"/>
      <c r="O28" s="6"/>
      <c r="P28" s="6"/>
      <c r="Q28" s="6">
        <v>0.096</v>
      </c>
      <c r="R28" s="6">
        <f>B28</f>
        <v>0.24</v>
      </c>
      <c r="S28" s="19">
        <f>B28/Q28-1</f>
        <v>1.5</v>
      </c>
      <c r="T28" s="16">
        <v>0.309492693358679</v>
      </c>
      <c r="U28" s="14">
        <v>-0.132057642334042</v>
      </c>
      <c r="V28" s="14">
        <v>-0.444166439847578</v>
      </c>
      <c r="W28" s="31" t="s">
        <v>280</v>
      </c>
      <c r="X28" s="6">
        <v>2.56</v>
      </c>
      <c r="Y28" s="6">
        <v>0.09</v>
      </c>
      <c r="Z28" s="6"/>
      <c r="AA28" s="4"/>
      <c r="AB28" s="4"/>
      <c r="AC28" s="4"/>
      <c r="AD28" s="4">
        <v>0.555555555555556</v>
      </c>
      <c r="AE28" s="6">
        <v>0.770833333333333</v>
      </c>
      <c r="AF28" s="6">
        <v>14.52</v>
      </c>
      <c r="AG28" s="6">
        <v>12.8</v>
      </c>
      <c r="AH28" s="6">
        <v>12.46</v>
      </c>
    </row>
    <row r="29" s="6" customFormat="1" ht="15" hidden="1" spans="1:34">
      <c r="A29" s="38">
        <v>8051</v>
      </c>
      <c r="B29" s="4">
        <v>0.76</v>
      </c>
      <c r="C29" s="4">
        <v>0.2</v>
      </c>
      <c r="D29" s="4">
        <v>45.4</v>
      </c>
      <c r="E29" s="13">
        <v>644000000</v>
      </c>
      <c r="F29" s="45" t="s">
        <v>366</v>
      </c>
      <c r="G29">
        <v>61.842255885832</v>
      </c>
      <c r="H29" s="28">
        <v>121.0433244916</v>
      </c>
      <c r="I29" s="14">
        <f>H29/G29</f>
        <v>1.95729154374737</v>
      </c>
      <c r="J29" s="4">
        <v>3.45</v>
      </c>
      <c r="K29" s="14">
        <v>10.3174603174603</v>
      </c>
      <c r="L29" s="4"/>
      <c r="M29" s="4"/>
      <c r="N29" s="4"/>
      <c r="O29" s="4"/>
      <c r="P29" s="4"/>
      <c r="Q29" s="4">
        <v>0.31</v>
      </c>
      <c r="R29" s="4">
        <f>B29</f>
        <v>0.76</v>
      </c>
      <c r="S29" s="18">
        <f>B29/Q29-1</f>
        <v>1.45161290322581</v>
      </c>
      <c r="T29" s="14">
        <v>-0.571428571428571</v>
      </c>
      <c r="U29" s="14">
        <v>-0.768</v>
      </c>
      <c r="V29" s="14">
        <v>-0.793103448275862</v>
      </c>
      <c r="W29" s="31" t="s">
        <v>366</v>
      </c>
      <c r="X29" s="6">
        <v>0</v>
      </c>
      <c r="Y29" s="4"/>
      <c r="Z29" s="4"/>
      <c r="AA29" s="6"/>
      <c r="AB29" s="6"/>
      <c r="AC29" s="6"/>
      <c r="AD29" s="4">
        <v>0.552816901408451</v>
      </c>
      <c r="AE29" s="6">
        <v>0.549295774647887</v>
      </c>
      <c r="AF29" s="6">
        <v>6.196</v>
      </c>
      <c r="AG29" s="6">
        <v>5.08</v>
      </c>
      <c r="AH29" s="6">
        <v>3.98</v>
      </c>
    </row>
    <row r="30" ht="14.25" hidden="1" spans="1:34">
      <c r="A30" s="38">
        <v>15</v>
      </c>
      <c r="B30" s="4">
        <v>1.25</v>
      </c>
      <c r="C30" s="4">
        <v>0.49</v>
      </c>
      <c r="D30" s="4">
        <v>0.94</v>
      </c>
      <c r="E30" s="13">
        <v>2540000000</v>
      </c>
      <c r="F30" s="46" t="s">
        <v>74</v>
      </c>
      <c r="G30">
        <v>60.7996863974912</v>
      </c>
      <c r="H30" s="25">
        <v>28.0081925243216</v>
      </c>
      <c r="I30" s="17">
        <f>H30/G30</f>
        <v>0.460663437327816</v>
      </c>
      <c r="J30" s="4">
        <v>0.39</v>
      </c>
      <c r="K30" s="4">
        <v>0.262096774193548</v>
      </c>
      <c r="L30" s="4">
        <v>6.7529</v>
      </c>
      <c r="M30" s="4">
        <v>6.623</v>
      </c>
      <c r="N30" s="4"/>
      <c r="O30" s="4"/>
      <c r="P30" s="4"/>
      <c r="Q30" s="4">
        <v>0.51</v>
      </c>
      <c r="R30" s="4">
        <f>B30</f>
        <v>1.25</v>
      </c>
      <c r="S30" s="18">
        <f>B30/Q30-1</f>
        <v>1.45098039215686</v>
      </c>
      <c r="T30" s="14">
        <v>-0.307473982970672</v>
      </c>
      <c r="U30" s="14">
        <v>-0.533460803059273</v>
      </c>
      <c r="V30" s="14">
        <v>-0.200819672131148</v>
      </c>
      <c r="W30" s="31" t="s">
        <v>74</v>
      </c>
      <c r="X30" s="4">
        <v>0</v>
      </c>
      <c r="Y30" s="6"/>
      <c r="Z30" s="6"/>
      <c r="AA30" s="4"/>
      <c r="AB30" s="4"/>
      <c r="AC30" s="4"/>
      <c r="AD30" s="6">
        <v>0.116033755274262</v>
      </c>
      <c r="AE30" s="4">
        <v>0.213080168776371</v>
      </c>
      <c r="AF30" s="4">
        <v>0.687</v>
      </c>
      <c r="AG30" s="4">
        <v>3.155</v>
      </c>
      <c r="AH30" s="4">
        <v>7.99</v>
      </c>
    </row>
    <row r="31" s="6" customFormat="1" ht="14.25" hidden="1" spans="1:34">
      <c r="A31" s="38">
        <v>381</v>
      </c>
      <c r="B31" s="4">
        <v>0.122</v>
      </c>
      <c r="C31" s="4">
        <v>0.039</v>
      </c>
      <c r="D31" s="4">
        <v>0.65</v>
      </c>
      <c r="E31" s="13">
        <v>517800000</v>
      </c>
      <c r="F31" s="46" t="s">
        <v>864</v>
      </c>
      <c r="G31">
        <v>68.0328366701724</v>
      </c>
      <c r="H31" s="56">
        <v>18.8523615964249</v>
      </c>
      <c r="I31" s="14">
        <f>H31/G31</f>
        <v>0.277106798997996</v>
      </c>
      <c r="J31" s="4">
        <v>0.73</v>
      </c>
      <c r="K31" s="4">
        <v>0.951008645533141</v>
      </c>
      <c r="L31" s="4"/>
      <c r="M31" s="4"/>
      <c r="N31" s="4"/>
      <c r="O31" s="4"/>
      <c r="P31" s="4"/>
      <c r="Q31" s="4">
        <v>0.05</v>
      </c>
      <c r="R31" s="61">
        <f>B31</f>
        <v>0.122</v>
      </c>
      <c r="S31" s="18">
        <f>B31/Q31-1</f>
        <v>1.44</v>
      </c>
      <c r="T31" s="14">
        <v>-0.842743565557203</v>
      </c>
      <c r="U31" s="14">
        <v>-0.881762917933131</v>
      </c>
      <c r="V31" s="14">
        <v>0.499228791773779</v>
      </c>
      <c r="W31" s="31" t="s">
        <v>864</v>
      </c>
      <c r="X31" s="4">
        <v>0.826</v>
      </c>
      <c r="Y31" s="4"/>
      <c r="Z31" s="4"/>
      <c r="AA31" s="4"/>
      <c r="AB31" s="4"/>
      <c r="AC31" s="4"/>
      <c r="AD31" s="4"/>
      <c r="AE31" s="4"/>
      <c r="AF31" s="6">
        <v>5.155</v>
      </c>
      <c r="AG31" s="6">
        <v>4.51</v>
      </c>
      <c r="AH31" s="6">
        <v>5.55</v>
      </c>
    </row>
    <row r="32" ht="15" hidden="1" spans="1:34">
      <c r="A32" s="37">
        <v>1532</v>
      </c>
      <c r="B32" s="6">
        <v>1.19</v>
      </c>
      <c r="C32" s="6">
        <v>0.49</v>
      </c>
      <c r="D32" s="6">
        <v>1.26</v>
      </c>
      <c r="E32" s="15">
        <v>794000000</v>
      </c>
      <c r="F32" s="53" t="s">
        <v>290</v>
      </c>
      <c r="G32">
        <v>65.5457552370452</v>
      </c>
      <c r="H32" s="27">
        <v>17.6470588235294</v>
      </c>
      <c r="I32" s="16">
        <f>H32/G32</f>
        <v>0.269232672042745</v>
      </c>
      <c r="J32" s="6">
        <v>1.18</v>
      </c>
      <c r="K32" s="6">
        <v>5.2654</v>
      </c>
      <c r="L32" s="6"/>
      <c r="M32" s="6"/>
      <c r="N32" s="6"/>
      <c r="O32" s="6"/>
      <c r="P32" s="6"/>
      <c r="Q32" s="6">
        <v>0.5</v>
      </c>
      <c r="R32" s="6">
        <f>B32</f>
        <v>1.19</v>
      </c>
      <c r="S32" s="19">
        <f>B32/Q32-1</f>
        <v>1.38</v>
      </c>
      <c r="T32" s="16">
        <v>-0.0225281602002503</v>
      </c>
      <c r="U32" s="16">
        <v>1.24425287356322</v>
      </c>
      <c r="V32" s="16">
        <v>-0.918907383696116</v>
      </c>
      <c r="W32" s="31" t="s">
        <v>290</v>
      </c>
      <c r="X32" s="4">
        <v>1.71</v>
      </c>
      <c r="Y32" s="4"/>
      <c r="Z32" s="4"/>
      <c r="AA32" s="6"/>
      <c r="AB32" s="6"/>
      <c r="AC32" s="6"/>
      <c r="AD32" s="4">
        <v>0</v>
      </c>
      <c r="AE32" s="4">
        <v>0</v>
      </c>
      <c r="AF32" s="4">
        <v>11.399</v>
      </c>
      <c r="AG32" s="4">
        <v>10.02</v>
      </c>
      <c r="AH32" s="4">
        <v>5.33</v>
      </c>
    </row>
    <row r="33" ht="15" hidden="1" spans="1:34">
      <c r="A33" s="38">
        <v>692</v>
      </c>
      <c r="B33" s="4">
        <v>0.245</v>
      </c>
      <c r="C33" s="4">
        <v>0.07</v>
      </c>
      <c r="D33" s="4">
        <v>1.01</v>
      </c>
      <c r="E33" s="13">
        <v>508300000</v>
      </c>
      <c r="F33" s="47" t="s">
        <v>865</v>
      </c>
      <c r="G33">
        <v>71.4285714285714</v>
      </c>
      <c r="H33" s="23">
        <v>10.203766764748</v>
      </c>
      <c r="I33" s="14">
        <f>H33/G33</f>
        <v>0.142852734706472</v>
      </c>
      <c r="J33" s="4">
        <v>0.22</v>
      </c>
      <c r="K33" s="4">
        <v>0.207382828701783</v>
      </c>
      <c r="L33" s="4"/>
      <c r="M33" s="4"/>
      <c r="N33" s="4"/>
      <c r="O33" s="4"/>
      <c r="P33" s="4"/>
      <c r="Q33" s="32">
        <v>0.103</v>
      </c>
      <c r="R33" s="6">
        <f>B33</f>
        <v>0.245</v>
      </c>
      <c r="S33" s="19">
        <f>B33/Q33-1</f>
        <v>1.37864077669903</v>
      </c>
      <c r="T33" s="14">
        <v>-0.0828602496366595</v>
      </c>
      <c r="U33" s="14">
        <v>-0.00204045915046893</v>
      </c>
      <c r="V33" s="16">
        <v>-0.372433709635075</v>
      </c>
      <c r="W33" s="5" t="s">
        <v>865</v>
      </c>
      <c r="X33" s="6">
        <v>2.083</v>
      </c>
      <c r="Y33" s="4"/>
      <c r="Z33" s="4"/>
      <c r="AA33" s="4"/>
      <c r="AB33" s="4"/>
      <c r="AC33" s="6"/>
      <c r="AD33" s="6">
        <v>0.103448275862069</v>
      </c>
      <c r="AE33" s="4">
        <v>0.310344827586207</v>
      </c>
      <c r="AH33" s="4">
        <v>1.04</v>
      </c>
    </row>
    <row r="34" ht="15" spans="1:34">
      <c r="A34" s="58">
        <v>2382</v>
      </c>
      <c r="B34" s="4">
        <v>39.05</v>
      </c>
      <c r="C34" s="4">
        <v>9.32</v>
      </c>
      <c r="D34" s="4">
        <v>19.94</v>
      </c>
      <c r="E34" s="13">
        <v>44538000000</v>
      </c>
      <c r="F34" s="53" t="s">
        <v>866</v>
      </c>
      <c r="G34">
        <v>61.997415824276</v>
      </c>
      <c r="H34" s="25">
        <v>9.85389432055366</v>
      </c>
      <c r="I34" s="14">
        <f>H34/G34</f>
        <v>0.158940404040118</v>
      </c>
      <c r="J34" s="4">
        <v>4.52</v>
      </c>
      <c r="K34" s="4">
        <v>1.66166345974039</v>
      </c>
      <c r="L34" s="4">
        <v>27.5239</v>
      </c>
      <c r="M34" s="4">
        <v>23.942</v>
      </c>
      <c r="Q34" s="33">
        <v>16.88</v>
      </c>
      <c r="R34" s="4">
        <f>B34</f>
        <v>39.05</v>
      </c>
      <c r="S34" s="18">
        <f>B34/Q34-1</f>
        <v>1.31338862559242</v>
      </c>
      <c r="T34" s="14">
        <v>-0.246881716521336</v>
      </c>
      <c r="U34" s="14">
        <v>-0.384784133806973</v>
      </c>
      <c r="V34" s="14">
        <v>-0.280223360544464</v>
      </c>
      <c r="W34" s="34" t="s">
        <v>866</v>
      </c>
      <c r="X34" s="4">
        <v>0.77</v>
      </c>
      <c r="Y34" s="4" t="s">
        <v>867</v>
      </c>
      <c r="AD34" s="6">
        <v>0.0839260312944523</v>
      </c>
      <c r="AE34" s="6">
        <v>0.207681365576102</v>
      </c>
      <c r="AF34" s="4">
        <v>2.33</v>
      </c>
      <c r="AG34" s="4">
        <v>1.97</v>
      </c>
      <c r="AH34" s="4">
        <v>1.73</v>
      </c>
    </row>
    <row r="35" ht="15" hidden="1" spans="1:34">
      <c r="A35" s="38">
        <v>276</v>
      </c>
      <c r="B35" s="4">
        <v>0.42</v>
      </c>
      <c r="C35" s="4">
        <v>0.107</v>
      </c>
      <c r="D35" s="4">
        <v>1.06</v>
      </c>
      <c r="E35" s="13">
        <v>893400000</v>
      </c>
      <c r="F35" s="45" t="s">
        <v>868</v>
      </c>
      <c r="G35">
        <v>74.5235911545908</v>
      </c>
      <c r="H35" s="56">
        <v>54.7508511296812</v>
      </c>
      <c r="I35" s="14">
        <f>H35/G35</f>
        <v>0.734678110400057</v>
      </c>
      <c r="J35" s="4">
        <v>0.25</v>
      </c>
      <c r="K35" s="4">
        <v>1.55187445510026</v>
      </c>
      <c r="Q35" s="4">
        <v>0.182</v>
      </c>
      <c r="R35" s="61">
        <f>B35</f>
        <v>0.42</v>
      </c>
      <c r="S35" s="18">
        <f>B35/Q35-1</f>
        <v>1.30769230769231</v>
      </c>
      <c r="T35" s="14">
        <v>0.640935072788262</v>
      </c>
      <c r="U35" s="14">
        <v>0.819180595189564</v>
      </c>
      <c r="V35" s="14">
        <v>-0.789054592581803</v>
      </c>
      <c r="W35" s="31" t="s">
        <v>868</v>
      </c>
      <c r="X35" s="4">
        <v>-1.18</v>
      </c>
      <c r="AF35" s="4">
        <v>0.177</v>
      </c>
      <c r="AG35" s="4">
        <v>0.13</v>
      </c>
      <c r="AH35" s="4">
        <v>0.205</v>
      </c>
    </row>
    <row r="36" s="6" customFormat="1" ht="15" hidden="1" spans="1:34">
      <c r="A36" s="38">
        <v>1899</v>
      </c>
      <c r="B36" s="4">
        <v>3.1</v>
      </c>
      <c r="C36" s="4">
        <v>1.32</v>
      </c>
      <c r="D36" s="4">
        <v>3.35</v>
      </c>
      <c r="E36" s="13">
        <v>4797000000</v>
      </c>
      <c r="F36" s="45" t="s">
        <v>48</v>
      </c>
      <c r="G36">
        <v>61.2898230944915</v>
      </c>
      <c r="H36" s="28">
        <v>10.3265666372462</v>
      </c>
      <c r="I36" s="17">
        <f>H36/G36</f>
        <v>0.16848746032968</v>
      </c>
      <c r="J36" s="4">
        <v>0.33</v>
      </c>
      <c r="K36" s="4">
        <v>0.334072516326172</v>
      </c>
      <c r="L36" s="4">
        <v>4.972</v>
      </c>
      <c r="M36" s="4">
        <v>5.093</v>
      </c>
      <c r="N36" s="4"/>
      <c r="O36" s="4"/>
      <c r="P36" s="4"/>
      <c r="Q36" s="4">
        <v>1.37</v>
      </c>
      <c r="R36" s="4">
        <f>B36</f>
        <v>3.1</v>
      </c>
      <c r="S36" s="18">
        <f>B36/Q36-1</f>
        <v>1.26277372262774</v>
      </c>
      <c r="T36" s="14">
        <v>0.244870041039672</v>
      </c>
      <c r="U36" s="14">
        <v>0.733333333333333</v>
      </c>
      <c r="V36" s="16">
        <v>-0.646703296703297</v>
      </c>
      <c r="W36" s="31" t="s">
        <v>48</v>
      </c>
      <c r="X36" s="4">
        <v>-0.32</v>
      </c>
      <c r="Y36" s="4"/>
      <c r="Z36" s="4"/>
      <c r="AA36" s="4"/>
      <c r="AB36" s="4"/>
      <c r="AC36" s="6"/>
      <c r="AD36" s="6">
        <v>0.0935672514619884</v>
      </c>
      <c r="AE36" s="6">
        <v>0.210526315789474</v>
      </c>
      <c r="AF36" s="6">
        <v>1.431</v>
      </c>
      <c r="AG36" s="6">
        <v>1.017</v>
      </c>
      <c r="AH36" s="6">
        <v>0.105</v>
      </c>
    </row>
    <row r="37" s="6" customFormat="1" ht="15" hidden="1" spans="1:31">
      <c r="A37" s="22">
        <v>8101</v>
      </c>
      <c r="B37" s="6">
        <v>0.125</v>
      </c>
      <c r="C37" s="6">
        <v>0.055</v>
      </c>
      <c r="D37" s="6">
        <v>0.56</v>
      </c>
      <c r="E37" s="15">
        <v>262400000</v>
      </c>
      <c r="F37" s="47" t="s">
        <v>277</v>
      </c>
      <c r="G37">
        <v>58.4000665598935</v>
      </c>
      <c r="H37" s="27">
        <v>9.59985094420272</v>
      </c>
      <c r="I37" s="16">
        <f>H37/G37</f>
        <v>0.164380821969738</v>
      </c>
      <c r="J37" s="6">
        <v>0.53</v>
      </c>
      <c r="K37" s="16">
        <v>1.69491525423728</v>
      </c>
      <c r="L37" s="6"/>
      <c r="M37" s="6"/>
      <c r="N37" s="6"/>
      <c r="O37" s="6"/>
      <c r="P37" s="6"/>
      <c r="Q37" s="6">
        <v>0.056</v>
      </c>
      <c r="R37" s="6">
        <f>B37</f>
        <v>0.125</v>
      </c>
      <c r="S37" s="64">
        <f>B37/Q37-1</f>
        <v>1.23214285714286</v>
      </c>
      <c r="T37" s="14">
        <v>-0.186908316919753</v>
      </c>
      <c r="U37" s="14">
        <v>-0.516053094333201</v>
      </c>
      <c r="V37" s="16">
        <v>-0.799683525757487</v>
      </c>
      <c r="W37" s="31" t="s">
        <v>277</v>
      </c>
      <c r="X37" s="4">
        <v>1.626</v>
      </c>
      <c r="Y37" s="4"/>
      <c r="Z37" s="4"/>
      <c r="AA37" s="4"/>
      <c r="AB37" s="4"/>
      <c r="AC37" s="6"/>
      <c r="AD37" s="4">
        <v>0.172727272727273</v>
      </c>
      <c r="AE37" s="6">
        <v>0.363636363636364</v>
      </c>
    </row>
    <row r="38" s="6" customFormat="1" ht="15" hidden="1" spans="1:34">
      <c r="A38" s="38">
        <v>835</v>
      </c>
      <c r="B38" s="4">
        <v>0.188</v>
      </c>
      <c r="C38" s="4">
        <v>0.054</v>
      </c>
      <c r="D38" s="4">
        <v>0.223</v>
      </c>
      <c r="E38" s="13">
        <v>1729400000</v>
      </c>
      <c r="F38" s="45" t="s">
        <v>869</v>
      </c>
      <c r="G38">
        <v>71.2765835219504</v>
      </c>
      <c r="H38" s="26">
        <v>10.6378270730763</v>
      </c>
      <c r="I38" s="14">
        <f>H38/G38</f>
        <v>0.149247151693238</v>
      </c>
      <c r="J38" s="4">
        <v>30.37</v>
      </c>
      <c r="K38" s="4">
        <v>58.5714285714285</v>
      </c>
      <c r="L38" s="4"/>
      <c r="M38" s="4"/>
      <c r="N38" s="4"/>
      <c r="O38" s="4"/>
      <c r="P38" s="4"/>
      <c r="Q38" s="32">
        <v>0.085</v>
      </c>
      <c r="R38" s="6">
        <f>B38</f>
        <v>0.188</v>
      </c>
      <c r="S38" s="19">
        <f>B38/Q38-1</f>
        <v>1.21176470588235</v>
      </c>
      <c r="T38" s="14">
        <v>0.0657507360157017</v>
      </c>
      <c r="U38" s="14">
        <v>-0.0385126162018592</v>
      </c>
      <c r="V38" s="14">
        <v>0.982044198895028</v>
      </c>
      <c r="W38" s="31" t="s">
        <v>869</v>
      </c>
      <c r="X38" s="4">
        <v>1.075</v>
      </c>
      <c r="Y38" s="4"/>
      <c r="Z38" s="4"/>
      <c r="AA38" s="4"/>
      <c r="AB38" s="4"/>
      <c r="AC38" s="4"/>
      <c r="AD38" s="4">
        <v>0.101851851851852</v>
      </c>
      <c r="AE38" s="4">
        <v>0.222222222222222</v>
      </c>
      <c r="AF38" s="6">
        <v>3.243</v>
      </c>
      <c r="AG38" s="6">
        <v>2.729</v>
      </c>
      <c r="AH38" s="6">
        <v>3.45</v>
      </c>
    </row>
    <row r="39" s="6" customFormat="1" ht="15" spans="1:34">
      <c r="A39" s="37">
        <v>1499</v>
      </c>
      <c r="B39" s="6">
        <v>0.63</v>
      </c>
      <c r="C39" s="6">
        <v>0.27</v>
      </c>
      <c r="D39" s="6">
        <v>0.97</v>
      </c>
      <c r="E39" s="15">
        <v>1815000000</v>
      </c>
      <c r="F39" s="47" t="s">
        <v>364</v>
      </c>
      <c r="G39">
        <v>55.5555555555556</v>
      </c>
      <c r="H39" s="27">
        <v>34.9163518618457</v>
      </c>
      <c r="I39" s="16">
        <f>H39/G39</f>
        <v>0.628494333513222</v>
      </c>
      <c r="J39" s="6">
        <v>4.65</v>
      </c>
      <c r="K39" s="6">
        <v>1.7559009786989</v>
      </c>
      <c r="L39" s="6">
        <v>18.1262</v>
      </c>
      <c r="M39" s="6"/>
      <c r="N39" s="6"/>
      <c r="O39" s="6"/>
      <c r="P39" s="4"/>
      <c r="Q39" s="6">
        <v>0.29</v>
      </c>
      <c r="R39" s="4">
        <f>B39</f>
        <v>0.63</v>
      </c>
      <c r="S39" s="18">
        <f>B39/Q39-1</f>
        <v>1.17241379310345</v>
      </c>
      <c r="T39" s="16">
        <v>0.513513513513513</v>
      </c>
      <c r="U39" s="14">
        <v>0.866666666666667</v>
      </c>
      <c r="V39" s="16">
        <v>-0.517857142857143</v>
      </c>
      <c r="W39" s="31" t="s">
        <v>364</v>
      </c>
      <c r="X39" s="4">
        <v>-1.56</v>
      </c>
      <c r="Y39" s="4" t="s">
        <v>870</v>
      </c>
      <c r="Z39" s="4"/>
      <c r="AA39" s="4"/>
      <c r="AB39" s="4"/>
      <c r="AC39" s="4"/>
      <c r="AD39" s="4">
        <v>0</v>
      </c>
      <c r="AE39" s="4">
        <v>0</v>
      </c>
      <c r="AF39" s="6">
        <v>4.79</v>
      </c>
      <c r="AG39" s="6">
        <v>4.72</v>
      </c>
      <c r="AH39" s="6">
        <v>4.25</v>
      </c>
    </row>
    <row r="40" ht="15" hidden="1" spans="1:34">
      <c r="A40" s="43">
        <v>365</v>
      </c>
      <c r="B40" s="4">
        <v>2.26</v>
      </c>
      <c r="C40" s="4">
        <v>0.35</v>
      </c>
      <c r="D40" s="4">
        <v>1.54</v>
      </c>
      <c r="E40" s="13">
        <v>3929000000</v>
      </c>
      <c r="F40" s="46" t="s">
        <v>16</v>
      </c>
      <c r="G40">
        <v>65.9296105754489</v>
      </c>
      <c r="H40" s="23">
        <v>36.2769146906514</v>
      </c>
      <c r="I40" s="17">
        <f>H40/G40</f>
        <v>0.550237053943109</v>
      </c>
      <c r="J40" s="4">
        <v>1.98</v>
      </c>
      <c r="K40" s="4">
        <v>0.727251904025654</v>
      </c>
      <c r="L40" s="4">
        <v>219.5266</v>
      </c>
      <c r="M40" s="4">
        <v>220.833</v>
      </c>
      <c r="Q40" s="4">
        <v>1.06</v>
      </c>
      <c r="R40" s="4">
        <f>B40</f>
        <v>2.26</v>
      </c>
      <c r="S40" s="18">
        <f>B40/Q40-1</f>
        <v>1.13207547169811</v>
      </c>
      <c r="T40" s="14">
        <v>0.929515418502203</v>
      </c>
      <c r="U40" s="14">
        <v>4.30909090909091</v>
      </c>
      <c r="V40" s="14">
        <v>-0.291095890410959</v>
      </c>
      <c r="W40" s="31" t="s">
        <v>16</v>
      </c>
      <c r="X40" s="6">
        <v>-2.59</v>
      </c>
      <c r="Y40" s="6"/>
      <c r="Z40" s="6"/>
      <c r="AA40" s="6"/>
      <c r="AB40" s="6"/>
      <c r="AD40" s="4">
        <v>0.357142857142857</v>
      </c>
      <c r="AE40" s="4">
        <v>0.761904761904762</v>
      </c>
      <c r="AF40" s="4">
        <v>6</v>
      </c>
      <c r="AG40" s="4">
        <v>6.41</v>
      </c>
      <c r="AH40" s="4">
        <v>4.95</v>
      </c>
    </row>
    <row r="41" s="6" customFormat="1" ht="15" hidden="1" spans="1:34">
      <c r="A41" s="37">
        <v>821</v>
      </c>
      <c r="B41" s="6">
        <v>3.31</v>
      </c>
      <c r="C41" s="6">
        <v>0.58</v>
      </c>
      <c r="D41" s="6">
        <v>2.96</v>
      </c>
      <c r="E41" s="15">
        <v>1821000000</v>
      </c>
      <c r="F41" s="52" t="s">
        <v>458</v>
      </c>
      <c r="G41">
        <v>70.0903272118203</v>
      </c>
      <c r="H41" s="23">
        <v>2.41704219582138</v>
      </c>
      <c r="I41" s="16">
        <f>H41/G41</f>
        <v>0.0344846755889273</v>
      </c>
      <c r="J41" s="6">
        <v>1.59</v>
      </c>
      <c r="K41" s="6">
        <v>7.5177304964539</v>
      </c>
      <c r="L41" s="6"/>
      <c r="M41" s="6"/>
      <c r="N41" s="6"/>
      <c r="O41" s="6"/>
      <c r="P41" s="6"/>
      <c r="Q41" s="6">
        <v>1.56</v>
      </c>
      <c r="R41" s="6">
        <f>B41</f>
        <v>3.31</v>
      </c>
      <c r="S41" s="19">
        <f>B41/Q41-1</f>
        <v>1.12179487179487</v>
      </c>
      <c r="T41" s="16">
        <v>1.37750791974657</v>
      </c>
      <c r="U41" s="16">
        <v>16.453488372093</v>
      </c>
      <c r="V41" s="14">
        <v>-0.905396402398401</v>
      </c>
      <c r="W41" s="31" t="s">
        <v>458</v>
      </c>
      <c r="X41" s="4">
        <v>0</v>
      </c>
      <c r="Y41" s="4"/>
      <c r="Z41" s="4"/>
      <c r="AA41" s="4"/>
      <c r="AB41" s="4"/>
      <c r="AC41" s="4"/>
      <c r="AD41" s="4">
        <v>0.876712328767123</v>
      </c>
      <c r="AE41" s="4">
        <v>1.43835616438356</v>
      </c>
      <c r="AF41" s="6">
        <v>9.6</v>
      </c>
      <c r="AG41" s="6">
        <v>8.444</v>
      </c>
      <c r="AH41" s="6">
        <v>7.71</v>
      </c>
    </row>
    <row r="42" s="6" customFormat="1" ht="15" hidden="1" spans="1:34">
      <c r="A42" s="38">
        <v>1683</v>
      </c>
      <c r="B42" s="4">
        <v>1.66</v>
      </c>
      <c r="C42" s="4">
        <v>0.68</v>
      </c>
      <c r="D42" s="4">
        <v>8.65</v>
      </c>
      <c r="E42" s="13">
        <v>820000000</v>
      </c>
      <c r="F42" s="46" t="s">
        <v>354</v>
      </c>
      <c r="G42">
        <v>60.2417302798982</v>
      </c>
      <c r="H42" s="28">
        <v>1.81225819588678</v>
      </c>
      <c r="I42" s="14">
        <f>H42/G42</f>
        <v>0.0300831033150372</v>
      </c>
      <c r="J42" s="4">
        <v>3.06</v>
      </c>
      <c r="K42" s="4">
        <v>2.52651278852152</v>
      </c>
      <c r="L42" s="4">
        <v>19.0543</v>
      </c>
      <c r="M42" s="4">
        <v>14.234</v>
      </c>
      <c r="N42" s="4"/>
      <c r="O42" s="4"/>
      <c r="P42" s="4"/>
      <c r="Q42" s="4">
        <v>0.79</v>
      </c>
      <c r="R42" s="4">
        <f>B42</f>
        <v>1.66</v>
      </c>
      <c r="S42" s="18">
        <f>B42/Q42-1</f>
        <v>1.10126582278481</v>
      </c>
      <c r="T42" s="16">
        <v>0</v>
      </c>
      <c r="U42" s="14">
        <v>0</v>
      </c>
      <c r="V42" s="14">
        <v>0</v>
      </c>
      <c r="W42" s="31" t="s">
        <v>354</v>
      </c>
      <c r="X42" s="4">
        <v>-0.6</v>
      </c>
      <c r="Y42" s="6"/>
      <c r="Z42" s="6"/>
      <c r="AA42" s="6"/>
      <c r="AB42" s="6"/>
      <c r="AC42" s="4"/>
      <c r="AD42" s="6">
        <v>0</v>
      </c>
      <c r="AE42" s="4">
        <v>0</v>
      </c>
      <c r="AF42" s="6">
        <v>0.575</v>
      </c>
      <c r="AG42" s="6">
        <v>6.8</v>
      </c>
      <c r="AH42" s="6">
        <v>0.32</v>
      </c>
    </row>
    <row r="43" s="6" customFormat="1" ht="15" hidden="1" spans="1:34">
      <c r="A43" s="43">
        <v>1466</v>
      </c>
      <c r="B43" s="4">
        <v>3.55</v>
      </c>
      <c r="C43" s="4">
        <v>0.69</v>
      </c>
      <c r="D43" s="4">
        <v>3.5</v>
      </c>
      <c r="E43" s="13">
        <v>649000000</v>
      </c>
      <c r="F43" s="45" t="s">
        <v>871</v>
      </c>
      <c r="G43">
        <v>66.4789487798337</v>
      </c>
      <c r="H43" s="28">
        <v>7.04345964461571</v>
      </c>
      <c r="I43" s="14">
        <f>H43/G43</f>
        <v>0.105950225957128</v>
      </c>
      <c r="J43" s="4">
        <v>1.73</v>
      </c>
      <c r="K43" s="4">
        <v>2.08458850463911</v>
      </c>
      <c r="L43" s="4">
        <v>45.817</v>
      </c>
      <c r="M43" s="4">
        <v>33.862</v>
      </c>
      <c r="N43" s="4"/>
      <c r="O43" s="4"/>
      <c r="P43" s="4"/>
      <c r="Q43" s="4">
        <v>1.7</v>
      </c>
      <c r="R43" s="4">
        <f>B43</f>
        <v>3.55</v>
      </c>
      <c r="S43" s="18">
        <f>B43/Q43-1</f>
        <v>1.08823529411765</v>
      </c>
      <c r="T43" s="14">
        <v>-0.743017532127229</v>
      </c>
      <c r="U43" s="14">
        <v>-0.647556055294662</v>
      </c>
      <c r="V43" s="14">
        <v>-0.656194872949743</v>
      </c>
      <c r="W43" s="31" t="s">
        <v>871</v>
      </c>
      <c r="X43" s="4">
        <v>-1.66</v>
      </c>
      <c r="Y43" s="4"/>
      <c r="Z43" s="4"/>
      <c r="AA43" s="4"/>
      <c r="AB43" s="4"/>
      <c r="AC43" s="4"/>
      <c r="AD43" s="4"/>
      <c r="AE43" s="4"/>
      <c r="AF43" s="6">
        <v>1.23</v>
      </c>
      <c r="AG43" s="6">
        <v>1.18</v>
      </c>
      <c r="AH43" s="6">
        <v>1.71</v>
      </c>
    </row>
    <row r="44" s="6" customFormat="1" ht="15" hidden="1" spans="1:34">
      <c r="A44" s="38">
        <v>1548</v>
      </c>
      <c r="B44" s="4">
        <v>3.34</v>
      </c>
      <c r="C44" s="4">
        <v>1.23</v>
      </c>
      <c r="D44" s="4">
        <v>1.79</v>
      </c>
      <c r="E44" s="13">
        <v>4799000000</v>
      </c>
      <c r="F44" s="45" t="s">
        <v>30</v>
      </c>
      <c r="G44">
        <v>67.9641198141919</v>
      </c>
      <c r="H44" s="28">
        <v>8.37758751490192</v>
      </c>
      <c r="I44" s="17">
        <f>H44/G44</f>
        <v>0.123264857071724</v>
      </c>
      <c r="J44" s="4">
        <v>2.58</v>
      </c>
      <c r="K44" s="4">
        <v>53.4528</v>
      </c>
      <c r="L44" s="4"/>
      <c r="M44" s="4"/>
      <c r="N44" s="4"/>
      <c r="O44" s="4"/>
      <c r="P44" s="4"/>
      <c r="Q44" s="4">
        <v>1.6</v>
      </c>
      <c r="R44" s="4">
        <f>B44</f>
        <v>3.34</v>
      </c>
      <c r="S44" s="18">
        <f>B44/Q44-1</f>
        <v>1.0875</v>
      </c>
      <c r="T44" s="14">
        <v>0.0929505083230924</v>
      </c>
      <c r="U44" s="16">
        <v>0.391805377720871</v>
      </c>
      <c r="V44" s="14">
        <v>-0.310334253296535</v>
      </c>
      <c r="W44" s="31" t="s">
        <v>30</v>
      </c>
      <c r="X44" s="4">
        <v>0</v>
      </c>
      <c r="Y44" s="4"/>
      <c r="Z44" s="4"/>
      <c r="AA44" s="6"/>
      <c r="AB44" s="6"/>
      <c r="AC44" s="4"/>
      <c r="AD44" s="4">
        <v>0</v>
      </c>
      <c r="AE44" s="4">
        <v>0</v>
      </c>
      <c r="AF44" s="6">
        <v>0.228</v>
      </c>
      <c r="AG44" s="6">
        <v>0.305</v>
      </c>
      <c r="AH44" s="6">
        <v>0.36</v>
      </c>
    </row>
    <row r="45" s="6" customFormat="1" ht="15" spans="1:34">
      <c r="A45" s="37">
        <v>8083</v>
      </c>
      <c r="B45" s="6">
        <v>0.63</v>
      </c>
      <c r="C45" s="6">
        <v>0.305</v>
      </c>
      <c r="D45" s="6">
        <v>1.46</v>
      </c>
      <c r="E45" s="15">
        <v>4148000000</v>
      </c>
      <c r="F45" s="47" t="s">
        <v>812</v>
      </c>
      <c r="G45">
        <v>60.3174603174603</v>
      </c>
      <c r="H45" s="23">
        <v>17.4536058256988</v>
      </c>
      <c r="I45" s="16">
        <f>H45/G45</f>
        <v>0.289362412373428</v>
      </c>
      <c r="J45" s="6">
        <v>1.63</v>
      </c>
      <c r="K45" s="16">
        <v>17.9190751445086</v>
      </c>
      <c r="L45" s="6"/>
      <c r="M45" s="6"/>
      <c r="N45" s="6"/>
      <c r="O45" s="6"/>
      <c r="P45" s="6"/>
      <c r="Q45" s="6">
        <v>0.305</v>
      </c>
      <c r="R45" s="6">
        <f>B45</f>
        <v>0.63</v>
      </c>
      <c r="S45" s="19">
        <f>B45/Q45-1</f>
        <v>1.0655737704918</v>
      </c>
      <c r="T45" s="14">
        <v>-0.379171250458379</v>
      </c>
      <c r="U45" s="14">
        <v>-0.118688183237897</v>
      </c>
      <c r="V45" s="14">
        <v>-0.929119905493207</v>
      </c>
      <c r="W45" s="31" t="s">
        <v>812</v>
      </c>
      <c r="X45" s="4">
        <v>0</v>
      </c>
      <c r="Y45" s="61" t="s">
        <v>872</v>
      </c>
      <c r="Z45" s="4"/>
      <c r="AA45" s="4"/>
      <c r="AB45" s="4"/>
      <c r="AC45" s="6"/>
      <c r="AD45" s="4">
        <v>0.714285714285714</v>
      </c>
      <c r="AE45" s="4">
        <v>0.896103896103896</v>
      </c>
      <c r="AH45" s="6">
        <v>1.94</v>
      </c>
    </row>
    <row r="46" ht="15" spans="1:34">
      <c r="A46" s="41">
        <v>1515</v>
      </c>
      <c r="B46" s="4">
        <v>12</v>
      </c>
      <c r="C46" s="4">
        <v>5.75</v>
      </c>
      <c r="D46" s="4">
        <v>17.2</v>
      </c>
      <c r="E46" s="13">
        <v>11006000000</v>
      </c>
      <c r="F46" s="45" t="s">
        <v>518</v>
      </c>
      <c r="G46">
        <v>52.0843315764255</v>
      </c>
      <c r="H46" s="25">
        <v>17.9941002949853</v>
      </c>
      <c r="I46" s="17">
        <f>H46/G46</f>
        <v>0.345480104099671</v>
      </c>
      <c r="J46" s="4">
        <v>2.51</v>
      </c>
      <c r="K46" s="4">
        <v>3.11538795389053</v>
      </c>
      <c r="L46" s="4">
        <v>17.6517</v>
      </c>
      <c r="M46" s="4">
        <v>16.782</v>
      </c>
      <c r="N46" s="4"/>
      <c r="O46" s="4"/>
      <c r="P46" s="4"/>
      <c r="Q46" s="4">
        <v>5.81</v>
      </c>
      <c r="R46" s="4">
        <f>B46</f>
        <v>12</v>
      </c>
      <c r="S46" s="18">
        <f>B46/Q46-1</f>
        <v>1.06540447504303</v>
      </c>
      <c r="T46" s="16">
        <v>-0.331682011496939</v>
      </c>
      <c r="U46" s="14">
        <v>-0.391644686463031</v>
      </c>
      <c r="V46" s="14">
        <v>-0.0807692307692308</v>
      </c>
      <c r="W46" s="31" t="s">
        <v>518</v>
      </c>
      <c r="X46" s="6">
        <v>-0.5</v>
      </c>
      <c r="Y46" s="4" t="s">
        <v>873</v>
      </c>
      <c r="Z46" s="4"/>
      <c r="AA46" s="4"/>
      <c r="AB46" s="4"/>
      <c r="AC46" s="4"/>
      <c r="AD46" s="4">
        <v>0.16</v>
      </c>
      <c r="AE46" s="6">
        <v>0.223636363636364</v>
      </c>
      <c r="AF46" s="4">
        <v>3.73</v>
      </c>
      <c r="AG46" s="4">
        <v>3.51</v>
      </c>
      <c r="AH46" s="4">
        <v>3.24</v>
      </c>
    </row>
    <row r="47" ht="15" hidden="1" spans="1:34">
      <c r="A47" s="37">
        <v>80</v>
      </c>
      <c r="B47" s="6">
        <v>0.37</v>
      </c>
      <c r="C47" s="6">
        <v>0.18</v>
      </c>
      <c r="D47" s="6">
        <v>0.91</v>
      </c>
      <c r="E47" s="15">
        <v>105700000</v>
      </c>
      <c r="F47" s="47" t="s">
        <v>75</v>
      </c>
      <c r="G47">
        <v>4.05833253381944</v>
      </c>
      <c r="H47" s="23">
        <v>255.366027007818</v>
      </c>
      <c r="I47" s="16">
        <f>H47/G47</f>
        <v>62.9238794208626</v>
      </c>
      <c r="J47" s="6">
        <v>0.29</v>
      </c>
      <c r="K47" s="6">
        <v>87.1428571428571</v>
      </c>
      <c r="L47" s="6">
        <v>1.2445</v>
      </c>
      <c r="M47" s="6">
        <v>0.51</v>
      </c>
      <c r="N47" s="6"/>
      <c r="O47" s="6"/>
      <c r="P47" s="6"/>
      <c r="Q47" s="6">
        <v>0.181</v>
      </c>
      <c r="R47" s="4">
        <f>B47</f>
        <v>0.37</v>
      </c>
      <c r="S47" s="19">
        <f>B47/Q47-1</f>
        <v>1.04419889502762</v>
      </c>
      <c r="T47" s="16">
        <v>-0.0392484788100914</v>
      </c>
      <c r="U47" s="14">
        <v>-0.461077844311377</v>
      </c>
      <c r="V47" s="14">
        <v>-0.977777777777778</v>
      </c>
      <c r="W47" s="31" t="s">
        <v>75</v>
      </c>
      <c r="X47" s="4">
        <v>-3.9</v>
      </c>
      <c r="Y47" s="6"/>
      <c r="Z47" s="6"/>
      <c r="AA47" s="6"/>
      <c r="AB47" s="6"/>
      <c r="AC47" s="4"/>
      <c r="AD47" s="4">
        <v>0.407431353160417</v>
      </c>
      <c r="AE47" s="4">
        <v>0.481478664334069</v>
      </c>
      <c r="AG47" s="4">
        <v>1.18</v>
      </c>
      <c r="AH47" s="4">
        <v>2.22</v>
      </c>
    </row>
    <row r="48" s="6" customFormat="1" ht="15" hidden="1" spans="1:34">
      <c r="A48" s="37">
        <v>1470</v>
      </c>
      <c r="B48" s="6">
        <v>0.58</v>
      </c>
      <c r="C48" s="6">
        <v>0.275</v>
      </c>
      <c r="D48" s="6">
        <v>1.6</v>
      </c>
      <c r="E48" s="15">
        <v>432000000</v>
      </c>
      <c r="F48" s="47" t="s">
        <v>120</v>
      </c>
      <c r="G48">
        <v>55.173032096109</v>
      </c>
      <c r="H48" s="26">
        <v>13.7915339098771</v>
      </c>
      <c r="I48" s="16">
        <f>H48/G48</f>
        <v>0.24996875078123</v>
      </c>
      <c r="J48" s="6">
        <v>1.3</v>
      </c>
      <c r="K48" s="6">
        <v>0.661252900232018</v>
      </c>
      <c r="L48" s="6">
        <v>14.1002</v>
      </c>
      <c r="M48" s="6">
        <v>10.556</v>
      </c>
      <c r="N48" s="6"/>
      <c r="O48" s="6"/>
      <c r="P48" s="6"/>
      <c r="Q48" s="6">
        <v>0.285</v>
      </c>
      <c r="R48" s="6">
        <f>B48</f>
        <v>0.58</v>
      </c>
      <c r="S48" s="19">
        <f>B48/Q48-1</f>
        <v>1.03508771929825</v>
      </c>
      <c r="T48" s="16">
        <v>1.19899244332494</v>
      </c>
      <c r="U48" s="16">
        <v>10.958904109589</v>
      </c>
      <c r="V48" s="14">
        <v>0.29438717067583</v>
      </c>
      <c r="W48" s="31" t="s">
        <v>120</v>
      </c>
      <c r="X48" s="6">
        <v>3.57</v>
      </c>
      <c r="Y48" s="4"/>
      <c r="Z48" s="4"/>
      <c r="AA48" s="4"/>
      <c r="AB48" s="4"/>
      <c r="AC48" s="4"/>
      <c r="AD48" s="4">
        <v>0.585365853658537</v>
      </c>
      <c r="AE48" s="4">
        <v>1.02439024390244</v>
      </c>
      <c r="AH48" s="6">
        <v>1.36</v>
      </c>
    </row>
    <row r="49" ht="15" hidden="1" spans="1:34">
      <c r="A49" s="43">
        <v>881</v>
      </c>
      <c r="B49" s="4">
        <v>7.21</v>
      </c>
      <c r="C49" s="4">
        <v>2.81</v>
      </c>
      <c r="D49" s="4">
        <v>10.48</v>
      </c>
      <c r="E49" s="13">
        <v>16485000000</v>
      </c>
      <c r="F49" s="50" t="s">
        <v>874</v>
      </c>
      <c r="G49">
        <v>54.3691535477983</v>
      </c>
      <c r="H49" s="49">
        <v>16.2250116225012</v>
      </c>
      <c r="I49" s="14">
        <f>H49/G49</f>
        <v>0.298423105083603</v>
      </c>
      <c r="J49" s="4">
        <v>0.55</v>
      </c>
      <c r="K49" s="4">
        <v>0.114438080846194</v>
      </c>
      <c r="L49" s="4">
        <v>8.3443</v>
      </c>
      <c r="M49" s="4">
        <v>8.288</v>
      </c>
      <c r="N49" s="4"/>
      <c r="O49" s="4"/>
      <c r="P49" s="4"/>
      <c r="Q49" s="4">
        <v>3.63</v>
      </c>
      <c r="R49" s="61">
        <f>B49</f>
        <v>7.21</v>
      </c>
      <c r="S49" s="18">
        <f>B49/Q49-1</f>
        <v>0.986225895316804</v>
      </c>
      <c r="T49" s="14">
        <v>0.575344343178236</v>
      </c>
      <c r="U49" s="14">
        <v>1.22244779582367</v>
      </c>
      <c r="V49" s="14">
        <v>-0.918308756361738</v>
      </c>
      <c r="W49" s="31" t="s">
        <v>874</v>
      </c>
      <c r="X49" s="4">
        <v>0.28</v>
      </c>
      <c r="Y49" s="4"/>
      <c r="Z49" s="4"/>
      <c r="AA49" s="4"/>
      <c r="AB49" s="4"/>
      <c r="AC49" s="4"/>
      <c r="AD49" s="4"/>
      <c r="AE49" s="4"/>
      <c r="AF49" s="4">
        <v>0.25</v>
      </c>
      <c r="AG49" s="4">
        <v>1.02</v>
      </c>
      <c r="AH49" s="4">
        <v>0.5</v>
      </c>
    </row>
    <row r="50" s="6" customFormat="1" ht="15" hidden="1" spans="1:34">
      <c r="A50" s="38">
        <v>6869</v>
      </c>
      <c r="B50" s="4">
        <v>16</v>
      </c>
      <c r="C50" s="4">
        <v>6.05</v>
      </c>
      <c r="D50" s="4">
        <v>12.32</v>
      </c>
      <c r="E50" s="13">
        <v>10095000000</v>
      </c>
      <c r="F50" s="46" t="s">
        <v>160</v>
      </c>
      <c r="G50">
        <v>58.1257066287006</v>
      </c>
      <c r="H50" s="28">
        <v>12.3721766490617</v>
      </c>
      <c r="I50" s="17">
        <f>H50/G50</f>
        <v>0.212852064373058</v>
      </c>
      <c r="J50" s="4">
        <v>1.48</v>
      </c>
      <c r="K50" s="14">
        <v>0.66749967443547</v>
      </c>
      <c r="L50" s="4">
        <v>9.4869</v>
      </c>
      <c r="M50" s="4">
        <v>6.781</v>
      </c>
      <c r="N50" s="4"/>
      <c r="O50" s="4"/>
      <c r="P50" s="6"/>
      <c r="Q50" s="4">
        <v>8.09</v>
      </c>
      <c r="R50" s="4">
        <f>B50</f>
        <v>16</v>
      </c>
      <c r="S50" s="18">
        <f>B50/Q50-1</f>
        <v>0.977750309023486</v>
      </c>
      <c r="T50" s="16">
        <v>0.347161454113326</v>
      </c>
      <c r="U50" s="14">
        <v>0.948589733572935</v>
      </c>
      <c r="V50" s="16">
        <v>-0.387530072173216</v>
      </c>
      <c r="W50" s="31" t="s">
        <v>160</v>
      </c>
      <c r="X50" s="4">
        <v>-3.5</v>
      </c>
      <c r="Y50" s="6"/>
      <c r="Z50" s="6"/>
      <c r="AA50" s="4"/>
      <c r="AB50" s="4"/>
      <c r="AC50" s="4"/>
      <c r="AD50" s="6">
        <v>0.102298850574713</v>
      </c>
      <c r="AE50" s="6">
        <v>0.142528735632184</v>
      </c>
      <c r="AF50" s="6">
        <v>8.38</v>
      </c>
      <c r="AG50" s="6">
        <v>6.15</v>
      </c>
      <c r="AH50" s="6">
        <v>5.85</v>
      </c>
    </row>
    <row r="51" ht="15" hidden="1" spans="1:34">
      <c r="A51" s="43">
        <v>3966</v>
      </c>
      <c r="B51" s="4">
        <v>5.96</v>
      </c>
      <c r="C51" s="4">
        <v>0.61</v>
      </c>
      <c r="D51" s="4">
        <v>3.91</v>
      </c>
      <c r="E51" s="13">
        <v>3207000000</v>
      </c>
      <c r="F51" s="45" t="s">
        <v>875</v>
      </c>
      <c r="G51">
        <v>81.3759451707826</v>
      </c>
      <c r="H51" s="49">
        <v>6.54165778819518</v>
      </c>
      <c r="I51" s="14">
        <f>H51/G51</f>
        <v>0.0803881020916721</v>
      </c>
      <c r="J51" s="4">
        <v>17.61</v>
      </c>
      <c r="K51" s="4">
        <v>3.85733157199471</v>
      </c>
      <c r="L51" s="4">
        <v>59.3094</v>
      </c>
      <c r="M51" s="4">
        <v>59.35</v>
      </c>
      <c r="N51" s="4"/>
      <c r="O51" s="4"/>
      <c r="P51" s="4"/>
      <c r="Q51" s="4">
        <v>3.04</v>
      </c>
      <c r="R51" s="61">
        <f>B51</f>
        <v>5.96</v>
      </c>
      <c r="S51" s="18">
        <f>B51/Q51-1</f>
        <v>0.960526315789474</v>
      </c>
      <c r="T51" s="14">
        <v>-0.439169139465875</v>
      </c>
      <c r="U51" s="14">
        <v>-0.468354430379747</v>
      </c>
      <c r="V51" s="14">
        <v>0.150793650793651</v>
      </c>
      <c r="W51" s="62" t="s">
        <v>875</v>
      </c>
      <c r="X51" s="4">
        <v>0.34</v>
      </c>
      <c r="Y51" s="4"/>
      <c r="Z51" s="4"/>
      <c r="AA51" s="4"/>
      <c r="AB51" s="4"/>
      <c r="AC51" s="4"/>
      <c r="AD51" s="4"/>
      <c r="AE51" s="4"/>
      <c r="AF51" s="4">
        <v>4.04273</v>
      </c>
      <c r="AG51" s="4">
        <v>4.34</v>
      </c>
      <c r="AH51" s="4">
        <v>3.05</v>
      </c>
    </row>
    <row r="52" s="6" customFormat="1" ht="15" hidden="1" spans="1:34">
      <c r="A52" s="38">
        <v>556</v>
      </c>
      <c r="B52" s="4">
        <v>1.93</v>
      </c>
      <c r="C52" s="4">
        <v>0.67</v>
      </c>
      <c r="D52" s="4">
        <v>2.27</v>
      </c>
      <c r="E52" s="13">
        <v>1495000000</v>
      </c>
      <c r="F52" s="45" t="s">
        <v>876</v>
      </c>
      <c r="G52">
        <v>65.2850100673471</v>
      </c>
      <c r="H52" s="28">
        <v>11.9194180190263</v>
      </c>
      <c r="I52" s="14">
        <f>H52/G52</f>
        <v>0.182575111909003</v>
      </c>
      <c r="J52" s="4">
        <v>0.5</v>
      </c>
      <c r="K52" s="4">
        <v>0.684495685807165</v>
      </c>
      <c r="L52" s="4">
        <v>22.9796</v>
      </c>
      <c r="M52" s="4">
        <v>18.433</v>
      </c>
      <c r="N52" s="4"/>
      <c r="O52" s="4"/>
      <c r="P52" s="4"/>
      <c r="Q52" s="4">
        <v>0.99</v>
      </c>
      <c r="R52" s="4">
        <f>B52</f>
        <v>1.93</v>
      </c>
      <c r="S52" s="18">
        <f>B52/Q52-1</f>
        <v>0.949494949494949</v>
      </c>
      <c r="T52" s="14">
        <v>-0.0329411764705882</v>
      </c>
      <c r="U52" s="14">
        <v>0.210858585858586</v>
      </c>
      <c r="V52" s="14">
        <v>-0.509906152241919</v>
      </c>
      <c r="W52" s="31" t="s">
        <v>876</v>
      </c>
      <c r="X52" s="4">
        <v>-0.52</v>
      </c>
      <c r="Y52" s="4"/>
      <c r="Z52" s="4"/>
      <c r="AA52" s="4"/>
      <c r="AB52" s="4"/>
      <c r="AC52" s="4"/>
      <c r="AD52" s="4"/>
      <c r="AE52" s="4"/>
      <c r="AF52" s="6">
        <v>1.67578</v>
      </c>
      <c r="AG52" s="6">
        <v>1.16</v>
      </c>
      <c r="AH52" s="6">
        <v>3</v>
      </c>
    </row>
    <row r="53" ht="15" spans="1:34">
      <c r="A53" s="41">
        <v>799</v>
      </c>
      <c r="B53" s="6">
        <v>6.17</v>
      </c>
      <c r="C53" s="6">
        <v>2.49</v>
      </c>
      <c r="D53" s="6">
        <v>9.16</v>
      </c>
      <c r="E53" s="15">
        <v>7324000000</v>
      </c>
      <c r="F53" s="53" t="s">
        <v>463</v>
      </c>
      <c r="G53">
        <v>52.6739233317558</v>
      </c>
      <c r="H53" s="27">
        <v>7.9447322970639</v>
      </c>
      <c r="I53" s="16">
        <f>H53/G53</f>
        <v>0.15082856553186</v>
      </c>
      <c r="J53" s="6">
        <v>3.23</v>
      </c>
      <c r="K53" s="6">
        <v>2.81133354835463</v>
      </c>
      <c r="L53" s="6">
        <v>8.8579</v>
      </c>
      <c r="M53" s="6">
        <v>8.43</v>
      </c>
      <c r="N53" s="6"/>
      <c r="O53" s="6"/>
      <c r="P53" s="6"/>
      <c r="Q53" s="6">
        <v>3.19</v>
      </c>
      <c r="R53" s="4">
        <f>B53</f>
        <v>6.17</v>
      </c>
      <c r="S53" s="19">
        <f>B53/Q53-1</f>
        <v>0.934169278996865</v>
      </c>
      <c r="T53" s="14">
        <v>-0.163127230538356</v>
      </c>
      <c r="U53" s="14">
        <v>-0.453514585173336</v>
      </c>
      <c r="V53" s="14">
        <v>-0.671006532402071</v>
      </c>
      <c r="W53" s="62" t="s">
        <v>463</v>
      </c>
      <c r="X53" s="4">
        <v>1.15</v>
      </c>
      <c r="Y53" s="61" t="s">
        <v>877</v>
      </c>
      <c r="AD53" s="6">
        <v>0.304075235109718</v>
      </c>
      <c r="AE53" s="4">
        <v>0.445141065830721</v>
      </c>
      <c r="AF53" s="4">
        <v>3.62</v>
      </c>
      <c r="AG53" s="4">
        <v>3.36</v>
      </c>
      <c r="AH53" s="4">
        <v>2.46</v>
      </c>
    </row>
    <row r="54" ht="15" spans="1:34">
      <c r="A54" s="38">
        <v>175</v>
      </c>
      <c r="B54" s="4">
        <v>7.26</v>
      </c>
      <c r="C54" s="4">
        <v>2.4</v>
      </c>
      <c r="D54" s="4">
        <v>4.72</v>
      </c>
      <c r="E54" s="13">
        <v>74656000000</v>
      </c>
      <c r="F54" s="59" t="s">
        <v>878</v>
      </c>
      <c r="G54">
        <v>61.9829683698297</v>
      </c>
      <c r="H54" s="49">
        <v>26.7266506146243</v>
      </c>
      <c r="I54" s="14">
        <f>H54/G54</f>
        <v>0.431193460357628</v>
      </c>
      <c r="J54" s="4">
        <v>1.4</v>
      </c>
      <c r="K54" s="4">
        <v>0.87638720488324</v>
      </c>
      <c r="L54" s="4">
        <v>12.0692</v>
      </c>
      <c r="M54" s="4">
        <v>12.068</v>
      </c>
      <c r="Q54" s="4">
        <v>3.76</v>
      </c>
      <c r="R54" s="61">
        <f>B54</f>
        <v>7.26</v>
      </c>
      <c r="S54" s="18">
        <f>B54/Q54-1</f>
        <v>0.930851063829787</v>
      </c>
      <c r="T54" s="14">
        <v>0.49885628790388</v>
      </c>
      <c r="U54" s="14">
        <v>0.80718360224471</v>
      </c>
      <c r="V54" s="14">
        <v>-0.475054323773715</v>
      </c>
      <c r="W54" s="31" t="s">
        <v>878</v>
      </c>
      <c r="X54" s="4">
        <v>0.55</v>
      </c>
      <c r="Y54" s="61" t="s">
        <v>879</v>
      </c>
      <c r="AF54" s="4">
        <v>0.28</v>
      </c>
      <c r="AG54" s="4">
        <v>0.27</v>
      </c>
      <c r="AH54" s="4">
        <v>0.21</v>
      </c>
    </row>
    <row r="55" ht="14.25" spans="1:34">
      <c r="A55" s="41">
        <v>3882</v>
      </c>
      <c r="B55" s="6">
        <v>2.19</v>
      </c>
      <c r="C55" s="6">
        <v>1.1</v>
      </c>
      <c r="D55" s="6">
        <v>3.74</v>
      </c>
      <c r="E55" s="15">
        <v>1875000000</v>
      </c>
      <c r="F55" s="47" t="s">
        <v>161</v>
      </c>
      <c r="G55">
        <v>67.1236479600224</v>
      </c>
      <c r="H55" s="23">
        <v>25.5650426921145</v>
      </c>
      <c r="I55" s="16">
        <f>H55/G55</f>
        <v>0.380864918237766</v>
      </c>
      <c r="J55" s="6">
        <v>0.99</v>
      </c>
      <c r="K55" s="16">
        <v>0.350673903762883</v>
      </c>
      <c r="L55" s="6">
        <v>4.5584</v>
      </c>
      <c r="M55" s="6"/>
      <c r="N55" s="6"/>
      <c r="O55" s="6"/>
      <c r="P55" s="6"/>
      <c r="Q55" s="6">
        <v>1.16</v>
      </c>
      <c r="R55" s="6">
        <f>B55</f>
        <v>2.19</v>
      </c>
      <c r="S55" s="19">
        <f>B55/Q55-1</f>
        <v>0.887931034482759</v>
      </c>
      <c r="T55" s="14">
        <v>0.702963702963703</v>
      </c>
      <c r="U55" s="14">
        <v>1.548081714001</v>
      </c>
      <c r="V55" s="14">
        <v>-0.83633163863903</v>
      </c>
      <c r="W55" s="5" t="s">
        <v>161</v>
      </c>
      <c r="X55" s="4">
        <v>1.39</v>
      </c>
      <c r="Y55" s="4" t="s">
        <v>880</v>
      </c>
      <c r="AA55" s="6"/>
      <c r="AB55" s="6"/>
      <c r="AD55" s="4">
        <v>0.343434343434344</v>
      </c>
      <c r="AE55" s="6">
        <v>0.484848484848485</v>
      </c>
      <c r="AF55" s="4">
        <v>4.3</v>
      </c>
      <c r="AG55" s="4">
        <v>2.79</v>
      </c>
      <c r="AH55" s="4">
        <v>7.79</v>
      </c>
    </row>
    <row r="56" ht="15" hidden="1" spans="1:34">
      <c r="A56" s="38">
        <v>2358</v>
      </c>
      <c r="B56" s="4">
        <v>0.28</v>
      </c>
      <c r="C56" s="4">
        <v>0.093</v>
      </c>
      <c r="D56" s="4">
        <v>0.59</v>
      </c>
      <c r="E56" s="13">
        <v>1436400000</v>
      </c>
      <c r="F56" s="45" t="s">
        <v>881</v>
      </c>
      <c r="G56">
        <v>66.786236216288</v>
      </c>
      <c r="H56" s="49">
        <v>17.8550383028875</v>
      </c>
      <c r="I56" s="14">
        <f>H56/G56</f>
        <v>0.267346077791593</v>
      </c>
      <c r="J56" s="4">
        <v>3.38</v>
      </c>
      <c r="K56" s="4">
        <v>2.78195488721804</v>
      </c>
      <c r="L56" s="4">
        <v>39.0963</v>
      </c>
      <c r="M56" s="4">
        <v>38.947</v>
      </c>
      <c r="Q56" s="4">
        <v>0.15</v>
      </c>
      <c r="R56" s="61">
        <f>B56</f>
        <v>0.28</v>
      </c>
      <c r="S56" s="18">
        <f>B56/Q56-1</f>
        <v>0.866666666666667</v>
      </c>
      <c r="T56" s="14">
        <v>-0.752118644067797</v>
      </c>
      <c r="U56" s="14">
        <v>-0.688</v>
      </c>
      <c r="V56" s="14">
        <v>0.115384615384615</v>
      </c>
      <c r="W56" s="31" t="s">
        <v>881</v>
      </c>
      <c r="X56" s="4">
        <v>-3.45</v>
      </c>
      <c r="AF56" s="4">
        <v>2.03</v>
      </c>
      <c r="AG56" s="4">
        <v>3.03</v>
      </c>
      <c r="AH56" s="4">
        <v>2.7</v>
      </c>
    </row>
    <row r="57" s="6" customFormat="1" ht="15" hidden="1" spans="1:34">
      <c r="A57" s="37">
        <v>510</v>
      </c>
      <c r="B57" s="6">
        <v>0.485</v>
      </c>
      <c r="C57" s="6">
        <v>0.17</v>
      </c>
      <c r="D57" s="6">
        <v>1.13</v>
      </c>
      <c r="E57" s="15">
        <v>2005200000</v>
      </c>
      <c r="F57" s="47" t="s">
        <v>554</v>
      </c>
      <c r="G57">
        <v>48.8661058982947</v>
      </c>
      <c r="H57" s="27">
        <v>11.3399766186049</v>
      </c>
      <c r="I57" s="16">
        <f>H57/G57</f>
        <v>0.232062211836705</v>
      </c>
      <c r="J57" s="6">
        <v>1.78</v>
      </c>
      <c r="K57" s="6">
        <v>3.71389270976616</v>
      </c>
      <c r="L57" s="6">
        <v>34.163</v>
      </c>
      <c r="M57" s="6">
        <v>31.325</v>
      </c>
      <c r="N57" s="6"/>
      <c r="O57" s="6"/>
      <c r="P57" s="4"/>
      <c r="Q57" s="6">
        <v>0.26</v>
      </c>
      <c r="R57" s="4">
        <f>B57</f>
        <v>0.485</v>
      </c>
      <c r="S57" s="18">
        <f>B57/Q57-1</f>
        <v>0.865384615384615</v>
      </c>
      <c r="T57" s="14">
        <v>-0.33276280661935</v>
      </c>
      <c r="U57" s="16">
        <v>-0.563144047358035</v>
      </c>
      <c r="V57" s="14">
        <v>-0.508098076118779</v>
      </c>
      <c r="W57" s="31" t="s">
        <v>554</v>
      </c>
      <c r="X57" s="6">
        <v>-1.02</v>
      </c>
      <c r="Y57" s="4"/>
      <c r="Z57" s="4"/>
      <c r="AA57" s="4"/>
      <c r="AB57" s="4"/>
      <c r="AC57" s="4"/>
      <c r="AD57" s="4">
        <v>0.5</v>
      </c>
      <c r="AE57" s="6">
        <v>0.966666666666667</v>
      </c>
      <c r="AF57" s="6">
        <v>0.62</v>
      </c>
      <c r="AG57" s="6">
        <v>0.29</v>
      </c>
      <c r="AH57" s="6">
        <v>0.345</v>
      </c>
    </row>
    <row r="58" s="6" customFormat="1" ht="15" hidden="1" spans="1:34">
      <c r="A58" s="38">
        <v>279</v>
      </c>
      <c r="B58" s="4">
        <v>0.475</v>
      </c>
      <c r="C58" s="4">
        <v>0.09</v>
      </c>
      <c r="D58" s="4">
        <v>0.92</v>
      </c>
      <c r="E58" s="13">
        <v>8022000000</v>
      </c>
      <c r="F58" s="45" t="s">
        <v>882</v>
      </c>
      <c r="G58">
        <v>59.7894575999936</v>
      </c>
      <c r="H58" s="29">
        <v>34.7363882563764</v>
      </c>
      <c r="I58" s="14">
        <f>H58/G58</f>
        <v>0.580978481001977</v>
      </c>
      <c r="J58" s="4">
        <v>0.94</v>
      </c>
      <c r="K58" s="4">
        <v>-6.47948164146868</v>
      </c>
      <c r="L58" s="4">
        <v>5.8107</v>
      </c>
      <c r="M58" s="4">
        <v>8.14</v>
      </c>
      <c r="N58" s="4"/>
      <c r="O58" s="4"/>
      <c r="P58" s="4"/>
      <c r="Q58" s="32">
        <v>0.255</v>
      </c>
      <c r="R58" s="6">
        <f>B58</f>
        <v>0.475</v>
      </c>
      <c r="S58" s="19">
        <f>B58/Q58-1</f>
        <v>0.862745098039216</v>
      </c>
      <c r="T58" s="14">
        <v>-0.255520322978248</v>
      </c>
      <c r="U58" s="14">
        <v>-0.373099415204678</v>
      </c>
      <c r="V58" s="14">
        <v>-0.447761194029851</v>
      </c>
      <c r="W58" s="31" t="s">
        <v>882</v>
      </c>
      <c r="X58" s="4">
        <v>-1.042</v>
      </c>
      <c r="Y58" s="4"/>
      <c r="Z58" s="4"/>
      <c r="AA58" s="4"/>
      <c r="AB58" s="4"/>
      <c r="AC58" s="6"/>
      <c r="AD58" s="4">
        <v>0.369230769230769</v>
      </c>
      <c r="AE58" s="6">
        <v>0.723076923076923</v>
      </c>
      <c r="AF58" s="6">
        <v>5.05</v>
      </c>
      <c r="AG58" s="6">
        <v>3.52</v>
      </c>
      <c r="AH58" s="6">
        <v>1.95</v>
      </c>
    </row>
    <row r="59" ht="15" hidden="1" spans="1:34">
      <c r="A59" s="58">
        <v>1378</v>
      </c>
      <c r="B59" s="4">
        <v>7.2</v>
      </c>
      <c r="C59" s="4">
        <v>3.08</v>
      </c>
      <c r="D59" s="4">
        <v>8.51</v>
      </c>
      <c r="E59" s="13">
        <v>48713000000</v>
      </c>
      <c r="F59" s="45" t="s">
        <v>347</v>
      </c>
      <c r="G59">
        <v>48.8883209813442</v>
      </c>
      <c r="H59" s="25">
        <v>3.88531061707875</v>
      </c>
      <c r="I59" s="17">
        <f>H59/G59</f>
        <v>0.0794731858056933</v>
      </c>
      <c r="J59" s="4">
        <v>0.71</v>
      </c>
      <c r="K59" s="4">
        <v>0.44591546903972</v>
      </c>
      <c r="L59" s="4">
        <v>4.3706</v>
      </c>
      <c r="M59" s="4">
        <v>3.48</v>
      </c>
      <c r="N59" s="4"/>
      <c r="O59" s="4"/>
      <c r="P59" s="4"/>
      <c r="Q59" s="4">
        <v>3.87</v>
      </c>
      <c r="R59" s="4">
        <f>B59</f>
        <v>7.2</v>
      </c>
      <c r="S59" s="18">
        <f>B59/Q59-1</f>
        <v>0.86046511627907</v>
      </c>
      <c r="T59" s="16">
        <v>-0.449228793900506</v>
      </c>
      <c r="U59" s="14">
        <v>-0.471427210365854</v>
      </c>
      <c r="V59" s="14">
        <v>0.442980226752465</v>
      </c>
      <c r="W59" s="31" t="s">
        <v>347</v>
      </c>
      <c r="X59" s="4">
        <v>2.13</v>
      </c>
      <c r="Y59" s="4"/>
      <c r="Z59" s="4"/>
      <c r="AA59" s="4"/>
      <c r="AB59" s="4"/>
      <c r="AC59" s="4"/>
      <c r="AD59" s="4">
        <v>0.221135029354207</v>
      </c>
      <c r="AE59" s="4">
        <v>0.315068493150685</v>
      </c>
      <c r="AF59" s="4">
        <v>1.05577</v>
      </c>
      <c r="AG59" s="4">
        <v>0.89</v>
      </c>
      <c r="AH59" s="4">
        <v>0.485</v>
      </c>
    </row>
    <row r="60" s="6" customFormat="1" ht="15" hidden="1" spans="1:34">
      <c r="A60" s="38">
        <v>8122</v>
      </c>
      <c r="B60" s="4">
        <v>0.375</v>
      </c>
      <c r="C60" s="4">
        <v>0.189</v>
      </c>
      <c r="D60" s="4">
        <v>7</v>
      </c>
      <c r="E60" s="13">
        <v>204000000</v>
      </c>
      <c r="F60" s="45" t="s">
        <v>328</v>
      </c>
      <c r="G60">
        <v>54.6666183110595</v>
      </c>
      <c r="H60" s="25">
        <v>13.3337111123704</v>
      </c>
      <c r="I60" s="14">
        <f>H60/G60</f>
        <v>0.243909565367662</v>
      </c>
      <c r="J60" s="4">
        <v>2.66</v>
      </c>
      <c r="K60" s="14">
        <v>0.911722141823444</v>
      </c>
      <c r="L60" s="4">
        <v>8.4963</v>
      </c>
      <c r="M60" s="4"/>
      <c r="N60" s="4"/>
      <c r="O60" s="4"/>
      <c r="P60" s="6"/>
      <c r="Q60" s="38">
        <v>0.203</v>
      </c>
      <c r="R60" s="4">
        <f>B60</f>
        <v>0.375</v>
      </c>
      <c r="S60" s="18">
        <f>B60/Q60-1</f>
        <v>0.847290640394089</v>
      </c>
      <c r="T60" s="16">
        <v>-0.269806188371302</v>
      </c>
      <c r="U60" s="14">
        <v>0.0141676505312869</v>
      </c>
      <c r="V60" s="14">
        <v>-0.391152502910361</v>
      </c>
      <c r="W60" s="31" t="s">
        <v>328</v>
      </c>
      <c r="X60" s="4">
        <v>-1.316</v>
      </c>
      <c r="Y60" s="4"/>
      <c r="Z60" s="4"/>
      <c r="AA60" s="4"/>
      <c r="AB60" s="4"/>
      <c r="AC60" s="6"/>
      <c r="AD60" s="4">
        <v>0</v>
      </c>
      <c r="AE60" s="4">
        <v>0</v>
      </c>
      <c r="AF60" s="6">
        <v>0.43</v>
      </c>
      <c r="AG60" s="6">
        <v>0.43</v>
      </c>
      <c r="AH60" s="6">
        <v>0.325</v>
      </c>
    </row>
    <row r="61" ht="15" hidden="1" spans="1:34">
      <c r="A61" s="38">
        <v>1029</v>
      </c>
      <c r="B61" s="4">
        <v>0.275</v>
      </c>
      <c r="C61" s="4">
        <v>0.12</v>
      </c>
      <c r="D61" s="4">
        <v>0.71</v>
      </c>
      <c r="E61" s="13">
        <v>1132700000</v>
      </c>
      <c r="F61" s="45" t="s">
        <v>883</v>
      </c>
      <c r="G61">
        <v>60</v>
      </c>
      <c r="H61" s="28">
        <v>12.726862811408</v>
      </c>
      <c r="I61" s="14">
        <f>H61/G61</f>
        <v>0.212114380190133</v>
      </c>
      <c r="J61" s="4">
        <v>0.33</v>
      </c>
      <c r="K61" s="4">
        <v>1.28995639947369</v>
      </c>
      <c r="L61" s="4"/>
      <c r="M61" s="4"/>
      <c r="N61" s="4"/>
      <c r="O61" s="4"/>
      <c r="P61" s="4"/>
      <c r="Q61" s="4">
        <v>0.149</v>
      </c>
      <c r="R61" s="4">
        <f>B61</f>
        <v>0.275</v>
      </c>
      <c r="S61" s="18">
        <f>B61/Q61-1</f>
        <v>0.845637583892618</v>
      </c>
      <c r="T61" s="14">
        <v>-0.672346825334782</v>
      </c>
      <c r="U61" s="14">
        <v>-0.602985579804675</v>
      </c>
      <c r="V61" s="14">
        <v>-0.44372847790333</v>
      </c>
      <c r="W61" s="31" t="s">
        <v>883</v>
      </c>
      <c r="X61" s="4">
        <v>-1.786</v>
      </c>
      <c r="Y61" s="4"/>
      <c r="Z61" s="4"/>
      <c r="AA61" s="4"/>
      <c r="AB61" s="4"/>
      <c r="AC61" s="4"/>
      <c r="AD61" s="4"/>
      <c r="AE61" s="4"/>
      <c r="AF61" s="4">
        <v>3.33052</v>
      </c>
      <c r="AG61" s="4">
        <v>2.99</v>
      </c>
      <c r="AH61" s="4">
        <v>2.74</v>
      </c>
    </row>
    <row r="62" ht="15" hidden="1" spans="1:34">
      <c r="A62" s="38">
        <v>802</v>
      </c>
      <c r="B62" s="4">
        <v>0.77</v>
      </c>
      <c r="C62" s="4">
        <v>0.13</v>
      </c>
      <c r="D62" s="4">
        <v>0.47</v>
      </c>
      <c r="E62" s="13">
        <v>1387000000</v>
      </c>
      <c r="F62" s="53" t="s">
        <v>884</v>
      </c>
      <c r="G62">
        <v>71.1690932679833</v>
      </c>
      <c r="H62" s="28">
        <v>25.9763164525069</v>
      </c>
      <c r="I62" s="14">
        <f>H62/G62</f>
        <v>0.364994343186228</v>
      </c>
      <c r="J62" s="4">
        <v>0.97</v>
      </c>
      <c r="K62" s="4">
        <v>18.3760683760683</v>
      </c>
      <c r="L62" s="4">
        <v>4.1317</v>
      </c>
      <c r="M62" s="4"/>
      <c r="N62" s="4"/>
      <c r="O62" s="4"/>
      <c r="P62" s="4"/>
      <c r="Q62" s="4">
        <v>0.42</v>
      </c>
      <c r="R62" s="4">
        <f>B62</f>
        <v>0.77</v>
      </c>
      <c r="S62" s="18">
        <f>B62/Q62-1</f>
        <v>0.833333333333333</v>
      </c>
      <c r="T62" s="14">
        <v>-0.811898824367652</v>
      </c>
      <c r="U62" s="14">
        <v>0.00571428571428571</v>
      </c>
      <c r="V62" s="14">
        <v>1.13522727272727</v>
      </c>
      <c r="W62" s="31" t="s">
        <v>884</v>
      </c>
      <c r="X62" s="4">
        <v>0</v>
      </c>
      <c r="Y62" s="4"/>
      <c r="Z62" s="4"/>
      <c r="AA62" s="4"/>
      <c r="AB62" s="4"/>
      <c r="AC62" s="4"/>
      <c r="AD62" s="4"/>
      <c r="AE62" s="4"/>
      <c r="AH62" s="4">
        <v>4.03</v>
      </c>
    </row>
    <row r="63" s="6" customFormat="1" ht="15" hidden="1" spans="1:34">
      <c r="A63" s="38">
        <v>8248</v>
      </c>
      <c r="B63" s="4">
        <v>0.234</v>
      </c>
      <c r="C63" s="4">
        <v>0</v>
      </c>
      <c r="D63" s="4">
        <v>5.6</v>
      </c>
      <c r="E63" s="13">
        <v>287100000</v>
      </c>
      <c r="F63" s="46" t="s">
        <v>291</v>
      </c>
      <c r="G63">
        <v>58.1197440278755</v>
      </c>
      <c r="H63" s="25">
        <v>15.38417159934</v>
      </c>
      <c r="I63" s="14">
        <f>H63/G63</f>
        <v>0.26469785537874</v>
      </c>
      <c r="J63" s="4">
        <v>2.45</v>
      </c>
      <c r="K63" s="14">
        <v>0.465631929046563</v>
      </c>
      <c r="L63" s="4">
        <v>8.1188</v>
      </c>
      <c r="M63" s="4"/>
      <c r="N63" s="4"/>
      <c r="O63" s="4"/>
      <c r="P63" s="4"/>
      <c r="Q63" s="4">
        <v>0.128</v>
      </c>
      <c r="R63" s="4">
        <f>B63</f>
        <v>0.234</v>
      </c>
      <c r="S63" s="18">
        <f>B63/Q63-1</f>
        <v>0.828125</v>
      </c>
      <c r="T63" s="14">
        <v>-0.166666666666667</v>
      </c>
      <c r="U63" s="16">
        <v>-0.186046511627907</v>
      </c>
      <c r="V63" s="16">
        <v>-0.514285714285714</v>
      </c>
      <c r="W63" s="31" t="s">
        <v>291</v>
      </c>
      <c r="X63" s="4">
        <v>-3.306</v>
      </c>
      <c r="Y63" s="6"/>
      <c r="Z63" s="6"/>
      <c r="AA63" s="4">
        <v>2000</v>
      </c>
      <c r="AB63" s="4"/>
      <c r="AC63" s="4"/>
      <c r="AD63" s="4">
        <v>0</v>
      </c>
      <c r="AE63" s="4">
        <v>0</v>
      </c>
      <c r="AF63" s="6">
        <v>0.415</v>
      </c>
      <c r="AG63" s="6">
        <v>0.79</v>
      </c>
      <c r="AH63" s="6">
        <v>0.69</v>
      </c>
    </row>
    <row r="64" ht="15" hidden="1" spans="1:34">
      <c r="A64" s="38">
        <v>736</v>
      </c>
      <c r="B64" s="4">
        <v>0.157</v>
      </c>
      <c r="C64" s="4">
        <v>0.075</v>
      </c>
      <c r="D64" s="4">
        <v>3.85</v>
      </c>
      <c r="E64" s="13">
        <v>816100000</v>
      </c>
      <c r="F64" s="46" t="s">
        <v>320</v>
      </c>
      <c r="G64">
        <v>20.3821656050955</v>
      </c>
      <c r="H64" s="28">
        <v>465.802874278601</v>
      </c>
      <c r="I64" s="14">
        <f>H64/G64</f>
        <v>22.8534535192939</v>
      </c>
      <c r="J64" s="4">
        <v>0.1</v>
      </c>
      <c r="K64" s="4">
        <v>4.14963787171828</v>
      </c>
      <c r="Q64" s="4">
        <v>0.086</v>
      </c>
      <c r="R64" s="4">
        <f>B64</f>
        <v>0.157</v>
      </c>
      <c r="S64" s="18">
        <f>B64/Q64-1</f>
        <v>0.825581395348837</v>
      </c>
      <c r="T64" s="16">
        <v>-0.304218115270163</v>
      </c>
      <c r="U64" s="14">
        <v>-0.390714695752009</v>
      </c>
      <c r="V64" s="14">
        <v>-0.692517567620618</v>
      </c>
      <c r="W64" s="31" t="s">
        <v>320</v>
      </c>
      <c r="X64" s="6">
        <v>-1.258</v>
      </c>
      <c r="AC64" s="6"/>
      <c r="AD64" s="4">
        <v>0.463235294117647</v>
      </c>
      <c r="AE64" s="6">
        <v>0.610294117647059</v>
      </c>
      <c r="AF64" s="4">
        <v>25.45</v>
      </c>
      <c r="AG64" s="4">
        <v>19.96</v>
      </c>
      <c r="AH64" s="4">
        <v>19.22</v>
      </c>
    </row>
    <row r="65" ht="14.25" spans="1:34">
      <c r="A65" s="38">
        <v>29</v>
      </c>
      <c r="B65" s="4">
        <v>5.01</v>
      </c>
      <c r="C65" s="4">
        <v>2.4</v>
      </c>
      <c r="D65" s="4">
        <v>4.67</v>
      </c>
      <c r="E65" s="13">
        <v>1117000000</v>
      </c>
      <c r="F65" s="47" t="s">
        <v>885</v>
      </c>
      <c r="G65">
        <v>50.0998003992016</v>
      </c>
      <c r="H65" s="29">
        <v>8.77841836179702</v>
      </c>
      <c r="I65" s="14">
        <f>H65/G65</f>
        <v>0.175218629452602</v>
      </c>
      <c r="J65" s="4">
        <v>0.31</v>
      </c>
      <c r="K65" s="4">
        <v>4.78245856353591</v>
      </c>
      <c r="L65" s="4">
        <v>6.0958</v>
      </c>
      <c r="M65" s="4">
        <v>5.94</v>
      </c>
      <c r="Q65" s="32">
        <v>2.76</v>
      </c>
      <c r="R65" s="6">
        <f>B65</f>
        <v>5.01</v>
      </c>
      <c r="S65" s="19">
        <f>B65/Q65-1</f>
        <v>0.815217391304348</v>
      </c>
      <c r="T65" s="14">
        <v>0.794835007173601</v>
      </c>
      <c r="U65" s="14">
        <v>3.17</v>
      </c>
      <c r="V65" s="14">
        <v>-0.808153477218225</v>
      </c>
      <c r="W65" s="31" t="s">
        <v>885</v>
      </c>
      <c r="X65" s="4">
        <v>-1.76</v>
      </c>
      <c r="Y65" s="6" t="s">
        <v>879</v>
      </c>
      <c r="Z65" s="6"/>
      <c r="AA65" s="6"/>
      <c r="AB65" s="6"/>
      <c r="AC65" s="6"/>
      <c r="AD65" s="4">
        <v>0.0594170403587443</v>
      </c>
      <c r="AE65" s="6">
        <v>0.148355754857997</v>
      </c>
      <c r="AH65" s="4">
        <v>2.89</v>
      </c>
    </row>
    <row r="66" ht="15" hidden="1" spans="1:34">
      <c r="A66" s="38">
        <v>8331</v>
      </c>
      <c r="B66" s="4">
        <v>0.68</v>
      </c>
      <c r="C66" s="4">
        <v>0</v>
      </c>
      <c r="D66" s="4">
        <v>99</v>
      </c>
      <c r="E66" s="4">
        <v>350000000</v>
      </c>
      <c r="F66" s="45" t="s">
        <v>60</v>
      </c>
      <c r="G66">
        <v>48.5305471202841</v>
      </c>
      <c r="H66" s="25">
        <v>85.2881230313137</v>
      </c>
      <c r="I66" s="14">
        <f>H66/G66</f>
        <v>1.75741111716555</v>
      </c>
      <c r="J66" s="4">
        <v>0</v>
      </c>
      <c r="K66" s="14"/>
      <c r="L66" s="4"/>
      <c r="M66" s="4"/>
      <c r="N66" s="4"/>
      <c r="O66" s="4"/>
      <c r="P66" s="4"/>
      <c r="Q66" s="4">
        <v>0.375</v>
      </c>
      <c r="R66" s="4">
        <f>B66</f>
        <v>0.68</v>
      </c>
      <c r="S66" s="18">
        <f>B66/Q66-1</f>
        <v>0.813333333333333</v>
      </c>
      <c r="T66" s="16">
        <v>-0.454545454545455</v>
      </c>
      <c r="U66" s="14">
        <v>-0.666666666666667</v>
      </c>
      <c r="V66" s="14">
        <v>-0.5</v>
      </c>
      <c r="W66" s="62" t="s">
        <v>60</v>
      </c>
      <c r="X66" s="6">
        <v>0</v>
      </c>
      <c r="Y66" s="6"/>
      <c r="Z66" s="6"/>
      <c r="AA66" s="4"/>
      <c r="AB66" s="4"/>
      <c r="AC66" s="4"/>
      <c r="AD66" s="4">
        <v>0</v>
      </c>
      <c r="AE66" s="4">
        <v>0</v>
      </c>
      <c r="AF66" s="4">
        <v>3.56</v>
      </c>
      <c r="AG66" s="4">
        <v>3.27</v>
      </c>
      <c r="AH66" s="4">
        <v>3.37</v>
      </c>
    </row>
    <row r="67" ht="15" hidden="1" spans="1:34">
      <c r="A67" s="38">
        <v>590</v>
      </c>
      <c r="B67" s="4">
        <v>22.9</v>
      </c>
      <c r="C67" s="4">
        <v>12.78</v>
      </c>
      <c r="D67" s="4">
        <v>30.8</v>
      </c>
      <c r="E67" s="13">
        <v>11390000000</v>
      </c>
      <c r="F67" s="45" t="s">
        <v>21</v>
      </c>
      <c r="G67">
        <v>44.1933143590602</v>
      </c>
      <c r="H67" s="28">
        <v>5.01995379122033</v>
      </c>
      <c r="I67" s="17">
        <f>H67/G67</f>
        <v>0.113590796798683</v>
      </c>
      <c r="J67" s="4">
        <v>0.9</v>
      </c>
      <c r="K67" s="4">
        <v>0.547233338624648</v>
      </c>
      <c r="L67" s="4">
        <v>4.771</v>
      </c>
      <c r="M67" s="4">
        <v>4.692</v>
      </c>
      <c r="N67" s="4"/>
      <c r="O67" s="4"/>
      <c r="P67" s="4"/>
      <c r="Q67" s="4">
        <v>12.86</v>
      </c>
      <c r="R67" s="4">
        <f>B67</f>
        <v>22.9</v>
      </c>
      <c r="S67" s="18">
        <f>B67/Q67-1</f>
        <v>0.780715396578538</v>
      </c>
      <c r="T67" s="16">
        <v>0.137931034482759</v>
      </c>
      <c r="U67" s="16">
        <v>0.0595690747782003</v>
      </c>
      <c r="V67" s="16">
        <v>-0.175837320574163</v>
      </c>
      <c r="W67" s="31" t="s">
        <v>21</v>
      </c>
      <c r="X67" s="6">
        <v>0</v>
      </c>
      <c r="Y67" s="6"/>
      <c r="Z67" s="6"/>
      <c r="AA67" s="4"/>
      <c r="AB67" s="4"/>
      <c r="AC67" s="6"/>
      <c r="AD67" s="4">
        <v>0.0393027859591521</v>
      </c>
      <c r="AE67" s="6">
        <v>0.0508425474385593</v>
      </c>
      <c r="AF67" s="4">
        <v>0.568</v>
      </c>
      <c r="AG67" s="4">
        <v>0.528</v>
      </c>
      <c r="AH67" s="4">
        <v>0.415</v>
      </c>
    </row>
    <row r="68" ht="15" hidden="1" spans="1:34">
      <c r="A68" s="38">
        <v>285</v>
      </c>
      <c r="B68" s="4">
        <v>6.69</v>
      </c>
      <c r="C68" s="4">
        <v>2.93</v>
      </c>
      <c r="D68" s="4">
        <v>13.94</v>
      </c>
      <c r="E68" s="13">
        <v>14533000000</v>
      </c>
      <c r="F68" s="47" t="s">
        <v>886</v>
      </c>
      <c r="G68">
        <v>56.2037402005869</v>
      </c>
      <c r="H68" s="27">
        <v>10.1685578935772</v>
      </c>
      <c r="I68" s="14">
        <f>H68/G68</f>
        <v>0.18092315310843</v>
      </c>
      <c r="J68" s="4">
        <v>0.69</v>
      </c>
      <c r="K68" s="4">
        <v>0.369337130268637</v>
      </c>
      <c r="L68" s="4">
        <v>7.8938</v>
      </c>
      <c r="M68" s="4">
        <v>6.355</v>
      </c>
      <c r="Q68" s="32">
        <v>3.78</v>
      </c>
      <c r="R68" s="6">
        <f>B68</f>
        <v>6.69</v>
      </c>
      <c r="S68" s="19">
        <f>B68/Q68-1</f>
        <v>0.76984126984127</v>
      </c>
      <c r="T68" s="14">
        <v>-0.260124441156955</v>
      </c>
      <c r="U68" s="14">
        <v>-0.357783222626652</v>
      </c>
      <c r="V68" s="14">
        <v>-0.759953688389018</v>
      </c>
      <c r="W68" s="31" t="s">
        <v>886</v>
      </c>
      <c r="X68" s="6">
        <v>0</v>
      </c>
      <c r="AA68" s="6"/>
      <c r="AB68" s="6"/>
      <c r="AC68" s="6"/>
      <c r="AD68" s="4">
        <v>0.115537848605578</v>
      </c>
      <c r="AE68" s="4">
        <v>0.220451527224435</v>
      </c>
      <c r="AF68" s="4">
        <v>5.35951</v>
      </c>
      <c r="AG68" s="4">
        <v>5.06136</v>
      </c>
      <c r="AH68" s="4">
        <v>5.55</v>
      </c>
    </row>
    <row r="69" ht="15" hidden="1" spans="1:34">
      <c r="A69" s="38">
        <v>442</v>
      </c>
      <c r="B69" s="4">
        <v>4.7</v>
      </c>
      <c r="C69" s="4">
        <v>2.1</v>
      </c>
      <c r="D69" s="4">
        <v>15.2</v>
      </c>
      <c r="E69" s="13">
        <v>608000000</v>
      </c>
      <c r="F69" s="53" t="s">
        <v>887</v>
      </c>
      <c r="G69">
        <v>55.3192440016085</v>
      </c>
      <c r="H69" s="27">
        <v>1.49193139145438</v>
      </c>
      <c r="I69" s="14">
        <f>H69/G69</f>
        <v>0.0269694826525648</v>
      </c>
      <c r="J69" s="4">
        <v>1.21</v>
      </c>
      <c r="K69" s="4">
        <v>0.288755764340818</v>
      </c>
      <c r="L69" s="4">
        <v>21.0795</v>
      </c>
      <c r="M69" s="4">
        <v>14.022</v>
      </c>
      <c r="N69" s="6"/>
      <c r="O69" s="4"/>
      <c r="P69" s="4"/>
      <c r="Q69" s="4">
        <v>2.66</v>
      </c>
      <c r="R69" s="4">
        <f>B69</f>
        <v>4.7</v>
      </c>
      <c r="S69" s="18">
        <f>B69/Q69-1</f>
        <v>0.766917293233083</v>
      </c>
      <c r="T69" s="16">
        <v>-0.175905395417591</v>
      </c>
      <c r="U69" s="14">
        <v>0.0846303501945525</v>
      </c>
      <c r="V69" s="14">
        <v>-0.383856502242152</v>
      </c>
      <c r="W69" s="31" t="s">
        <v>887</v>
      </c>
      <c r="X69" s="4">
        <v>3.3</v>
      </c>
      <c r="Y69" s="4"/>
      <c r="Z69" s="4"/>
      <c r="AA69" s="6"/>
      <c r="AB69" s="6"/>
      <c r="AC69" s="4"/>
      <c r="AD69" s="6">
        <v>0.27877947295423</v>
      </c>
      <c r="AE69" s="6">
        <v>0.553398058252427</v>
      </c>
      <c r="AF69" s="4">
        <v>0.67</v>
      </c>
      <c r="AG69" s="4">
        <v>0.4</v>
      </c>
      <c r="AH69" s="4">
        <v>0.43</v>
      </c>
    </row>
    <row r="70" s="6" customFormat="1" ht="15" hidden="1" spans="1:34">
      <c r="A70" s="38">
        <v>166</v>
      </c>
      <c r="B70" s="4">
        <v>0.25</v>
      </c>
      <c r="C70" s="4">
        <v>0.115</v>
      </c>
      <c r="D70" s="4">
        <v>0.436</v>
      </c>
      <c r="E70" s="13">
        <v>1433700000</v>
      </c>
      <c r="F70" s="59" t="s">
        <v>888</v>
      </c>
      <c r="G70">
        <v>53.999723998344</v>
      </c>
      <c r="H70" s="56">
        <v>27.9918085242544</v>
      </c>
      <c r="I70" s="14">
        <f>H70/G70</f>
        <v>0.518369473983105</v>
      </c>
      <c r="J70" s="4">
        <v>0.09</v>
      </c>
      <c r="K70" s="4">
        <v>2.18210361067503</v>
      </c>
      <c r="L70" s="4"/>
      <c r="M70" s="4"/>
      <c r="N70" s="4"/>
      <c r="O70" s="4"/>
      <c r="P70" s="4"/>
      <c r="Q70" s="4">
        <v>0.142</v>
      </c>
      <c r="R70" s="61">
        <f>B70</f>
        <v>0.25</v>
      </c>
      <c r="S70" s="18">
        <f>B70/Q70-1</f>
        <v>0.76056338028169</v>
      </c>
      <c r="T70" s="14">
        <v>-0.182584269662921</v>
      </c>
      <c r="U70" s="14">
        <v>0.157057654075547</v>
      </c>
      <c r="V70" s="14">
        <v>-0.219931271477663</v>
      </c>
      <c r="W70" s="31" t="s">
        <v>888</v>
      </c>
      <c r="X70" s="4">
        <v>0</v>
      </c>
      <c r="Y70" s="4"/>
      <c r="Z70" s="4"/>
      <c r="AA70" s="4"/>
      <c r="AB70" s="4"/>
      <c r="AC70" s="4"/>
      <c r="AD70" s="4"/>
      <c r="AE70" s="4"/>
      <c r="AF70" s="6">
        <v>2.34</v>
      </c>
      <c r="AG70" s="6">
        <v>2.54</v>
      </c>
      <c r="AH70" s="6">
        <v>2.8</v>
      </c>
    </row>
    <row r="71" s="6" customFormat="1" ht="15" hidden="1" spans="1:34">
      <c r="A71" s="38">
        <v>1171</v>
      </c>
      <c r="B71" s="4">
        <v>5.65</v>
      </c>
      <c r="C71" s="4">
        <v>2.88</v>
      </c>
      <c r="D71" s="4">
        <v>10.46</v>
      </c>
      <c r="E71" s="13">
        <v>29619000000</v>
      </c>
      <c r="F71" s="46" t="s">
        <v>889</v>
      </c>
      <c r="G71">
        <v>49.0264043225609</v>
      </c>
      <c r="H71" s="27">
        <v>13.986093696569</v>
      </c>
      <c r="I71" s="14">
        <f>H71/G71</f>
        <v>0.285276758306603</v>
      </c>
      <c r="J71" s="4">
        <v>0.27</v>
      </c>
      <c r="K71" s="4">
        <v>0.326092761529411</v>
      </c>
      <c r="L71" s="4">
        <v>16.4802</v>
      </c>
      <c r="M71" s="4">
        <v>15.349</v>
      </c>
      <c r="N71" s="4"/>
      <c r="O71" s="4"/>
      <c r="P71" s="4"/>
      <c r="Q71" s="32">
        <v>3.21</v>
      </c>
      <c r="R71" s="6">
        <f>B71</f>
        <v>5.65</v>
      </c>
      <c r="S71" s="19">
        <f>B71/Q71-1</f>
        <v>0.7601246105919</v>
      </c>
      <c r="T71" s="14">
        <v>-0.166049609821273</v>
      </c>
      <c r="U71" s="14">
        <v>-0.452631057188938</v>
      </c>
      <c r="V71" s="14">
        <v>0.281563677651697</v>
      </c>
      <c r="W71" s="31" t="s">
        <v>889</v>
      </c>
      <c r="X71" s="4">
        <v>0</v>
      </c>
      <c r="Y71" s="4"/>
      <c r="Z71" s="4"/>
      <c r="AA71" s="4"/>
      <c r="AB71" s="4"/>
      <c r="AC71" s="4"/>
      <c r="AD71" s="6">
        <v>0.173396674584323</v>
      </c>
      <c r="AE71" s="4">
        <v>0.244655581947744</v>
      </c>
      <c r="AF71" s="6">
        <v>0.94</v>
      </c>
      <c r="AG71" s="6">
        <v>1.01</v>
      </c>
      <c r="AH71" s="6">
        <v>0.86</v>
      </c>
    </row>
    <row r="72" ht="15" hidden="1" spans="1:34">
      <c r="A72" s="38">
        <v>1057</v>
      </c>
      <c r="B72" s="4">
        <v>12.32</v>
      </c>
      <c r="C72" s="4">
        <v>5.1</v>
      </c>
      <c r="D72" s="4">
        <v>16.56</v>
      </c>
      <c r="E72" s="13">
        <v>3525000000</v>
      </c>
      <c r="F72" s="45" t="s">
        <v>890</v>
      </c>
      <c r="G72">
        <v>47.6467200670122</v>
      </c>
      <c r="H72" s="27">
        <v>3.08215647871353</v>
      </c>
      <c r="I72" s="14">
        <f>H72/G72</f>
        <v>0.0646876946488378</v>
      </c>
      <c r="J72" s="4">
        <v>1.25</v>
      </c>
      <c r="K72" s="4">
        <v>2.13326879882255</v>
      </c>
      <c r="L72" s="4">
        <v>40.3586</v>
      </c>
      <c r="M72" s="4">
        <v>34.306</v>
      </c>
      <c r="Q72" s="32">
        <v>7</v>
      </c>
      <c r="R72" s="6">
        <f>B72</f>
        <v>12.32</v>
      </c>
      <c r="S72" s="19">
        <f>B72/Q72-1</f>
        <v>0.76</v>
      </c>
      <c r="T72" s="14">
        <v>0.345824411134904</v>
      </c>
      <c r="U72" s="14">
        <v>1.85034013605442</v>
      </c>
      <c r="V72" s="14">
        <v>-0.725536992840095</v>
      </c>
      <c r="W72" s="31" t="s">
        <v>890</v>
      </c>
      <c r="X72" s="6">
        <v>-2.07</v>
      </c>
      <c r="AC72" s="6"/>
      <c r="AD72" s="4">
        <v>0</v>
      </c>
      <c r="AE72" s="4">
        <v>0</v>
      </c>
      <c r="AF72" s="4">
        <v>3.79</v>
      </c>
      <c r="AG72" s="4">
        <v>3.76</v>
      </c>
      <c r="AH72" s="4">
        <v>3.2</v>
      </c>
    </row>
    <row r="73" ht="15" hidden="1" spans="1:34">
      <c r="A73" s="38">
        <v>1428</v>
      </c>
      <c r="B73" s="4">
        <v>3.39</v>
      </c>
      <c r="C73" s="4">
        <v>1.12</v>
      </c>
      <c r="D73" s="4">
        <v>5.08</v>
      </c>
      <c r="E73" s="13">
        <v>5464000000</v>
      </c>
      <c r="F73" s="53" t="s">
        <v>68</v>
      </c>
      <c r="G73">
        <v>46.3116074304735</v>
      </c>
      <c r="H73" s="28">
        <v>10.6194690265487</v>
      </c>
      <c r="I73" s="17">
        <f>H73/G73</f>
        <v>0.229304695210405</v>
      </c>
      <c r="J73" s="4">
        <v>1.76</v>
      </c>
      <c r="K73" s="4">
        <v>3.43988881167477</v>
      </c>
      <c r="L73" s="4">
        <v>14.994</v>
      </c>
      <c r="M73" s="4">
        <v>12.689</v>
      </c>
      <c r="N73" s="4"/>
      <c r="O73" s="4"/>
      <c r="P73" s="4"/>
      <c r="Q73" s="4">
        <v>1.93</v>
      </c>
      <c r="R73" s="4">
        <f>B73</f>
        <v>3.39</v>
      </c>
      <c r="S73" s="18">
        <f>B73/Q73-1</f>
        <v>0.756476683937824</v>
      </c>
      <c r="T73" s="16">
        <v>0.0497178587768797</v>
      </c>
      <c r="U73" s="16">
        <v>0.381296407786474</v>
      </c>
      <c r="V73" s="14">
        <v>-0.601917768414935</v>
      </c>
      <c r="W73" s="31" t="s">
        <v>68</v>
      </c>
      <c r="X73" s="4">
        <v>-0.88</v>
      </c>
      <c r="Y73" s="4"/>
      <c r="Z73" s="4"/>
      <c r="AA73" s="6"/>
      <c r="AB73" s="6"/>
      <c r="AC73" s="4"/>
      <c r="AD73" s="6">
        <v>0.336686287912021</v>
      </c>
      <c r="AE73" s="4">
        <v>0.804020484988217</v>
      </c>
      <c r="AF73" s="4">
        <v>3.01</v>
      </c>
      <c r="AG73" s="4">
        <v>3.17</v>
      </c>
      <c r="AH73" s="4">
        <v>3.6</v>
      </c>
    </row>
    <row r="74" s="6" customFormat="1" ht="15" hidden="1" spans="1:34">
      <c r="A74" s="38">
        <v>1568</v>
      </c>
      <c r="B74" s="4">
        <v>4.37</v>
      </c>
      <c r="C74" s="4">
        <v>1.47</v>
      </c>
      <c r="D74" s="4">
        <v>2.66</v>
      </c>
      <c r="E74" s="13">
        <v>9582000000</v>
      </c>
      <c r="F74" s="45" t="s">
        <v>29</v>
      </c>
      <c r="G74">
        <v>66.3616792249731</v>
      </c>
      <c r="H74" s="28">
        <v>14.41647597254</v>
      </c>
      <c r="I74" s="17">
        <f>H74/G74</f>
        <v>0.21724097613122</v>
      </c>
      <c r="J74" s="4">
        <v>3.27</v>
      </c>
      <c r="K74" s="4">
        <v>22.39</v>
      </c>
      <c r="L74" s="4"/>
      <c r="M74" s="4"/>
      <c r="N74" s="4"/>
      <c r="O74" s="4"/>
      <c r="P74" s="4"/>
      <c r="Q74" s="4">
        <v>2.49</v>
      </c>
      <c r="R74" s="4">
        <f>B74</f>
        <v>4.37</v>
      </c>
      <c r="S74" s="18">
        <f>B74/Q74-1</f>
        <v>0.755020080321285</v>
      </c>
      <c r="T74" s="14">
        <v>-0.556721586735229</v>
      </c>
      <c r="U74" s="16">
        <v>-0.812691233204736</v>
      </c>
      <c r="V74" s="14">
        <v>7.28125</v>
      </c>
      <c r="W74" s="31" t="s">
        <v>29</v>
      </c>
      <c r="X74" s="6">
        <v>-0.68</v>
      </c>
      <c r="Y74" s="6"/>
      <c r="Z74" s="6"/>
      <c r="AA74" s="4"/>
      <c r="AB74" s="4"/>
      <c r="AC74" s="4"/>
      <c r="AD74" s="4">
        <v>0</v>
      </c>
      <c r="AE74" s="4">
        <v>0</v>
      </c>
      <c r="AF74" s="6">
        <v>40.2415</v>
      </c>
      <c r="AG74" s="6">
        <v>21.0036</v>
      </c>
      <c r="AH74" s="6">
        <v>36.55</v>
      </c>
    </row>
    <row r="75" s="6" customFormat="1" ht="15" hidden="1" spans="1:34">
      <c r="A75" s="38">
        <v>612</v>
      </c>
      <c r="B75" s="4">
        <v>0.75</v>
      </c>
      <c r="C75" s="4">
        <v>0.203</v>
      </c>
      <c r="D75" s="4">
        <v>1.47</v>
      </c>
      <c r="E75" s="13">
        <v>897000000</v>
      </c>
      <c r="F75" s="46" t="s">
        <v>891</v>
      </c>
      <c r="G75">
        <v>72.9334704704163</v>
      </c>
      <c r="H75" s="25">
        <v>14.6657493406719</v>
      </c>
      <c r="I75" s="14">
        <f>H75/G75</f>
        <v>0.20108393644343</v>
      </c>
      <c r="J75" s="4">
        <v>1.61</v>
      </c>
      <c r="K75" s="4">
        <v>4400</v>
      </c>
      <c r="L75" s="4"/>
      <c r="M75" s="4"/>
      <c r="N75" s="4"/>
      <c r="O75" s="4"/>
      <c r="P75" s="4"/>
      <c r="Q75" s="4">
        <v>0.43</v>
      </c>
      <c r="R75" s="4">
        <f>B75</f>
        <v>0.75</v>
      </c>
      <c r="S75" s="18">
        <f>B75/Q75-1</f>
        <v>0.744186046511628</v>
      </c>
      <c r="T75" s="14">
        <v>-0.706890641069592</v>
      </c>
      <c r="U75" s="14">
        <v>-0.864768683274021</v>
      </c>
      <c r="V75" s="14">
        <v>-0.0964912280701754</v>
      </c>
      <c r="W75" s="31" t="s">
        <v>891</v>
      </c>
      <c r="X75" s="4">
        <v>2.74</v>
      </c>
      <c r="Y75" s="4"/>
      <c r="Z75" s="4"/>
      <c r="AA75" s="4"/>
      <c r="AB75" s="4"/>
      <c r="AC75" s="4"/>
      <c r="AD75" s="4"/>
      <c r="AE75" s="4"/>
      <c r="AH75" s="6">
        <v>0.64</v>
      </c>
    </row>
    <row r="76" s="6" customFormat="1" ht="15" hidden="1" spans="1:34">
      <c r="A76" s="41">
        <v>3993</v>
      </c>
      <c r="B76" s="6">
        <v>1.88</v>
      </c>
      <c r="C76" s="6">
        <v>1.08</v>
      </c>
      <c r="D76" s="6">
        <v>9.3</v>
      </c>
      <c r="E76" s="15">
        <v>28708000000</v>
      </c>
      <c r="F76" s="47" t="s">
        <v>480</v>
      </c>
      <c r="G76">
        <v>47.3407056345445</v>
      </c>
      <c r="H76" s="27">
        <v>7.97969981643451</v>
      </c>
      <c r="I76" s="16">
        <f>H76/G76</f>
        <v>0.168558953853272</v>
      </c>
      <c r="J76" s="6">
        <v>0.89</v>
      </c>
      <c r="K76" s="16">
        <v>1.18984821096115</v>
      </c>
      <c r="L76" s="6">
        <v>8.2497</v>
      </c>
      <c r="M76" s="6">
        <v>7.276</v>
      </c>
      <c r="N76" s="6"/>
      <c r="O76" s="6"/>
      <c r="P76" s="6"/>
      <c r="Q76" s="6">
        <v>1.09</v>
      </c>
      <c r="R76" s="4">
        <f>B76</f>
        <v>1.88</v>
      </c>
      <c r="S76" s="19">
        <f>B76/Q76-1</f>
        <v>0.724770642201835</v>
      </c>
      <c r="T76" s="14">
        <v>-0.327752955503409</v>
      </c>
      <c r="U76" s="16">
        <v>-0.324985186069252</v>
      </c>
      <c r="V76" s="14">
        <v>-0.549787363399208</v>
      </c>
      <c r="W76" s="31" t="s">
        <v>480</v>
      </c>
      <c r="X76" s="6">
        <v>0.53</v>
      </c>
      <c r="Y76" s="4"/>
      <c r="Z76" s="4"/>
      <c r="AA76" s="6"/>
      <c r="AB76" s="6"/>
      <c r="AC76" s="6"/>
      <c r="AD76" s="4">
        <v>0.195000487501219</v>
      </c>
      <c r="AE76" s="4">
        <v>0.33750084375211</v>
      </c>
      <c r="AH76" s="6">
        <v>1.39</v>
      </c>
    </row>
    <row r="77" ht="15" spans="1:34">
      <c r="A77" s="53">
        <v>2323</v>
      </c>
      <c r="B77" s="6">
        <v>2.31</v>
      </c>
      <c r="C77" s="6">
        <v>0.21</v>
      </c>
      <c r="D77" s="6">
        <v>1.78</v>
      </c>
      <c r="E77" s="15">
        <v>2904000000</v>
      </c>
      <c r="F77" s="47" t="s">
        <v>18</v>
      </c>
      <c r="G77">
        <v>68.8308449957922</v>
      </c>
      <c r="H77" s="26">
        <v>90.4761904761905</v>
      </c>
      <c r="I77" s="16">
        <f>H77/G77</f>
        <v>1.31447159310221</v>
      </c>
      <c r="J77" s="6">
        <v>3.96</v>
      </c>
      <c r="K77" s="6">
        <v>2.82845188284518</v>
      </c>
      <c r="L77" s="6"/>
      <c r="M77" s="6"/>
      <c r="N77" s="6"/>
      <c r="O77" s="6"/>
      <c r="P77" s="6"/>
      <c r="Q77" s="6">
        <v>1.34</v>
      </c>
      <c r="R77" s="6">
        <f>B77</f>
        <v>2.31</v>
      </c>
      <c r="S77" s="19">
        <f>B77/Q77-1</f>
        <v>0.723880597014925</v>
      </c>
      <c r="T77" s="16">
        <v>-0.272672959732346</v>
      </c>
      <c r="U77" s="16">
        <v>-0.668102508178844</v>
      </c>
      <c r="V77" s="16">
        <v>-0.822572695909315</v>
      </c>
      <c r="W77" s="35" t="s">
        <v>18</v>
      </c>
      <c r="X77" s="6">
        <v>-4.94</v>
      </c>
      <c r="Y77" s="6" t="s">
        <v>892</v>
      </c>
      <c r="Z77" s="6"/>
      <c r="AA77" s="6"/>
      <c r="AB77" s="6"/>
      <c r="AC77" s="6"/>
      <c r="AD77" s="6">
        <v>0</v>
      </c>
      <c r="AE77" s="6">
        <v>0</v>
      </c>
      <c r="AF77" s="4">
        <v>3.50933</v>
      </c>
      <c r="AG77" s="4">
        <v>7.10814</v>
      </c>
      <c r="AH77" s="4">
        <v>4.92</v>
      </c>
    </row>
    <row r="78" ht="15" hidden="1" spans="1:34">
      <c r="A78" s="38">
        <v>698</v>
      </c>
      <c r="B78" s="4">
        <v>2.1</v>
      </c>
      <c r="C78" s="4">
        <v>0.77</v>
      </c>
      <c r="D78" s="4">
        <v>1.75</v>
      </c>
      <c r="E78" s="13">
        <v>10683000000</v>
      </c>
      <c r="F78" s="44" t="s">
        <v>472</v>
      </c>
      <c r="G78">
        <v>43.8107546215654</v>
      </c>
      <c r="H78" s="28">
        <v>5.24100189433803</v>
      </c>
      <c r="I78" s="17">
        <f>H78/G78</f>
        <v>0.119628204070199</v>
      </c>
      <c r="J78" s="38">
        <v>1.93</v>
      </c>
      <c r="K78" s="4">
        <v>1.16026789925478</v>
      </c>
      <c r="L78" s="4">
        <v>14.0373</v>
      </c>
      <c r="M78" s="4">
        <v>12.924</v>
      </c>
      <c r="N78" s="4"/>
      <c r="O78" s="4"/>
      <c r="P78" s="4"/>
      <c r="Q78" s="4">
        <v>1.22</v>
      </c>
      <c r="R78" s="4">
        <f>B78</f>
        <v>2.1</v>
      </c>
      <c r="S78" s="18">
        <f>B78/Q78-1</f>
        <v>0.721311475409836</v>
      </c>
      <c r="T78" s="14">
        <v>-0.0642451797781965</v>
      </c>
      <c r="U78" s="14">
        <v>0.0230531554700364</v>
      </c>
      <c r="V78" s="14">
        <v>-0.51653253760135</v>
      </c>
      <c r="W78" s="31" t="s">
        <v>472</v>
      </c>
      <c r="X78" s="6">
        <v>-1.87</v>
      </c>
      <c r="Y78" s="4"/>
      <c r="Z78" s="4"/>
      <c r="AA78" s="6"/>
      <c r="AB78" s="6"/>
      <c r="AC78" s="4"/>
      <c r="AD78" s="4">
        <v>0.203587443946188</v>
      </c>
      <c r="AE78" s="4">
        <v>0.380269058295964</v>
      </c>
      <c r="AF78" s="4">
        <v>0.295</v>
      </c>
      <c r="AG78" s="4">
        <v>1.88</v>
      </c>
      <c r="AH78" s="4">
        <v>0.72</v>
      </c>
    </row>
    <row r="79" ht="15" hidden="1" spans="1:34">
      <c r="A79" s="65">
        <v>1788</v>
      </c>
      <c r="B79" s="6">
        <v>3.15</v>
      </c>
      <c r="C79" s="6">
        <v>1.56</v>
      </c>
      <c r="D79" s="6">
        <v>5.82</v>
      </c>
      <c r="E79" s="15">
        <v>20663000000</v>
      </c>
      <c r="F79" s="47" t="s">
        <v>505</v>
      </c>
      <c r="G79">
        <v>43.4932474430694</v>
      </c>
      <c r="H79" s="23">
        <v>6.98619878035733</v>
      </c>
      <c r="I79" s="16">
        <f>H79/G79</f>
        <v>0.160627205165628</v>
      </c>
      <c r="J79" s="6">
        <v>1.83</v>
      </c>
      <c r="K79" s="6">
        <v>5.54765291607396</v>
      </c>
      <c r="L79" s="6">
        <v>16.9068</v>
      </c>
      <c r="M79" s="6">
        <v>13.147</v>
      </c>
      <c r="N79" s="6"/>
      <c r="O79" s="6"/>
      <c r="Q79" s="6">
        <v>1.83</v>
      </c>
      <c r="R79" s="4">
        <f>B79</f>
        <v>3.15</v>
      </c>
      <c r="S79" s="18">
        <f>B79/Q79-1</f>
        <v>0.721311475409836</v>
      </c>
      <c r="T79" s="14">
        <v>-0.472703832668651</v>
      </c>
      <c r="U79" s="16">
        <v>-0.565212207916071</v>
      </c>
      <c r="V79" s="14">
        <v>-0.379215793803126</v>
      </c>
      <c r="W79" s="31" t="s">
        <v>505</v>
      </c>
      <c r="X79" s="4">
        <v>0</v>
      </c>
      <c r="Y79" s="6"/>
      <c r="Z79" s="6"/>
      <c r="AD79" s="6">
        <v>0.344202751735951</v>
      </c>
      <c r="AE79" s="4">
        <v>0.336956882102665</v>
      </c>
      <c r="AF79" s="4">
        <v>8.34771</v>
      </c>
      <c r="AG79" s="4">
        <v>7.74</v>
      </c>
      <c r="AH79" s="4">
        <v>11.22</v>
      </c>
    </row>
    <row r="80" ht="15" spans="1:34">
      <c r="A80" s="41">
        <v>434</v>
      </c>
      <c r="B80" s="6">
        <v>4.4</v>
      </c>
      <c r="C80" s="6">
        <v>2.34</v>
      </c>
      <c r="D80" s="6">
        <v>10.86</v>
      </c>
      <c r="E80" s="15">
        <v>3520000000</v>
      </c>
      <c r="F80" s="53" t="s">
        <v>557</v>
      </c>
      <c r="G80">
        <v>49.3183315594749</v>
      </c>
      <c r="H80" s="27">
        <v>19.0901512444921</v>
      </c>
      <c r="I80" s="16">
        <f>H80/G80</f>
        <v>0.387080232458199</v>
      </c>
      <c r="J80" s="6">
        <v>1.03</v>
      </c>
      <c r="K80" s="6">
        <v>1.82126963388668</v>
      </c>
      <c r="L80" s="6">
        <v>5.6365</v>
      </c>
      <c r="M80" s="6">
        <v>4.867</v>
      </c>
      <c r="N80" s="6"/>
      <c r="O80" s="6"/>
      <c r="P80" s="4"/>
      <c r="Q80" s="6">
        <v>2.56</v>
      </c>
      <c r="R80" s="4">
        <f>B80</f>
        <v>4.4</v>
      </c>
      <c r="S80" s="18">
        <f>B80/Q80-1</f>
        <v>0.71875</v>
      </c>
      <c r="T80" s="14">
        <v>0.506534365924492</v>
      </c>
      <c r="U80" s="14">
        <v>0.622361219702893</v>
      </c>
      <c r="V80" s="14">
        <v>-0.721181686746988</v>
      </c>
      <c r="W80" s="31" t="s">
        <v>557</v>
      </c>
      <c r="X80" s="4">
        <v>2.56</v>
      </c>
      <c r="Y80" s="6" t="s">
        <v>893</v>
      </c>
      <c r="Z80" s="6"/>
      <c r="AA80" s="4"/>
      <c r="AB80" s="4"/>
      <c r="AC80" s="6"/>
      <c r="AD80" s="4">
        <v>0.235294117647059</v>
      </c>
      <c r="AE80" s="6">
        <v>0.376470588235294</v>
      </c>
      <c r="AF80" s="4">
        <v>3.59</v>
      </c>
      <c r="AG80" s="4">
        <v>2.67</v>
      </c>
      <c r="AH80" s="4">
        <v>2.32</v>
      </c>
    </row>
    <row r="81" ht="15" spans="1:34">
      <c r="A81" s="41">
        <v>1345</v>
      </c>
      <c r="B81" s="6">
        <v>2.99</v>
      </c>
      <c r="C81" s="6">
        <v>1.71</v>
      </c>
      <c r="D81" s="6">
        <v>7.79</v>
      </c>
      <c r="E81" s="15">
        <v>3213000000</v>
      </c>
      <c r="F81" s="47" t="s">
        <v>523</v>
      </c>
      <c r="G81">
        <v>47.8269943131424</v>
      </c>
      <c r="H81" s="36">
        <v>22.7445685528415</v>
      </c>
      <c r="I81" s="16">
        <f>H81/G81</f>
        <v>0.475559229248733</v>
      </c>
      <c r="J81" s="6">
        <v>1.9</v>
      </c>
      <c r="K81" s="6">
        <v>1.13805457741595</v>
      </c>
      <c r="L81" s="6">
        <v>7.0893</v>
      </c>
      <c r="M81" s="6">
        <v>7.09</v>
      </c>
      <c r="N81" s="6"/>
      <c r="O81" s="6"/>
      <c r="P81" s="6"/>
      <c r="Q81" s="6">
        <v>1.74</v>
      </c>
      <c r="R81" s="4">
        <f>B81</f>
        <v>2.99</v>
      </c>
      <c r="S81" s="19">
        <f>B81/Q81-1</f>
        <v>0.718390804597701</v>
      </c>
      <c r="T81" s="14">
        <v>-0.381379041682898</v>
      </c>
      <c r="U81" s="14">
        <v>-0.547707205924238</v>
      </c>
      <c r="V81" s="14">
        <v>-0.230478589420655</v>
      </c>
      <c r="W81" s="31" t="s">
        <v>523</v>
      </c>
      <c r="X81" s="4">
        <v>-0.33</v>
      </c>
      <c r="Y81" s="61" t="s">
        <v>894</v>
      </c>
      <c r="Z81" s="4"/>
      <c r="AA81" s="6"/>
      <c r="AB81" s="6"/>
      <c r="AC81" s="4"/>
      <c r="AD81" s="4">
        <v>0.113636363636364</v>
      </c>
      <c r="AE81" s="6">
        <v>0.329545454545454</v>
      </c>
      <c r="AF81" s="4">
        <v>3.03</v>
      </c>
      <c r="AG81" s="4">
        <v>2.99</v>
      </c>
      <c r="AH81" s="4">
        <v>2.18</v>
      </c>
    </row>
    <row r="82" s="6" customFormat="1" ht="15" hidden="1" spans="1:34">
      <c r="A82" s="41">
        <v>855</v>
      </c>
      <c r="B82" s="4">
        <v>5.49</v>
      </c>
      <c r="C82" s="4">
        <v>2.46</v>
      </c>
      <c r="D82" s="4">
        <v>5.1</v>
      </c>
      <c r="E82" s="13">
        <v>8918000000</v>
      </c>
      <c r="F82" s="45" t="s">
        <v>98</v>
      </c>
      <c r="G82">
        <v>42.6243616960239</v>
      </c>
      <c r="H82" s="28">
        <v>9.2896174863388</v>
      </c>
      <c r="I82" s="17">
        <f>H82/G82</f>
        <v>0.217941503795126</v>
      </c>
      <c r="J82" s="4">
        <v>1.13</v>
      </c>
      <c r="K82" s="4">
        <v>1.45181806219571</v>
      </c>
      <c r="L82" s="4">
        <v>13.5651</v>
      </c>
      <c r="M82" s="4">
        <v>12.228</v>
      </c>
      <c r="N82" s="4"/>
      <c r="O82" s="4"/>
      <c r="P82" s="4"/>
      <c r="Q82" s="4">
        <v>3.2</v>
      </c>
      <c r="R82" s="4">
        <f>B82</f>
        <v>5.49</v>
      </c>
      <c r="S82" s="18">
        <f>B82/Q82-1</f>
        <v>0.715625</v>
      </c>
      <c r="T82" s="14">
        <v>-0.0791589671877342</v>
      </c>
      <c r="U82" s="16">
        <v>-0.140058765915769</v>
      </c>
      <c r="V82" s="14">
        <v>-0.65506020175724</v>
      </c>
      <c r="W82" s="31" t="s">
        <v>98</v>
      </c>
      <c r="X82" s="6">
        <v>2.43</v>
      </c>
      <c r="Y82" s="4"/>
      <c r="Z82" s="4"/>
      <c r="AA82" s="4"/>
      <c r="AB82" s="4"/>
      <c r="AC82" s="6"/>
      <c r="AD82" s="6">
        <v>0.0948012232415902</v>
      </c>
      <c r="AE82" s="4">
        <v>0.122324159021407</v>
      </c>
      <c r="AF82" s="6">
        <v>0.547</v>
      </c>
      <c r="AG82" s="6">
        <v>0.432</v>
      </c>
      <c r="AH82" s="6">
        <v>0.54</v>
      </c>
    </row>
    <row r="83" ht="15" hidden="1" spans="1:34">
      <c r="A83" s="38">
        <v>630</v>
      </c>
      <c r="B83" s="4">
        <v>0.63</v>
      </c>
      <c r="C83" s="4">
        <v>0.24</v>
      </c>
      <c r="D83" s="4">
        <v>1.23</v>
      </c>
      <c r="E83" s="13">
        <v>1118000000</v>
      </c>
      <c r="F83" s="46" t="s">
        <v>895</v>
      </c>
      <c r="G83">
        <v>57.1422448892127</v>
      </c>
      <c r="H83" s="49">
        <v>55.5451858764971</v>
      </c>
      <c r="I83" s="14">
        <f>H83/G83</f>
        <v>0.972051167821426</v>
      </c>
      <c r="J83" s="4">
        <v>5.75</v>
      </c>
      <c r="K83" s="4">
        <v>1.56912637828668</v>
      </c>
      <c r="L83" s="4"/>
      <c r="M83" s="4"/>
      <c r="N83" s="4"/>
      <c r="O83" s="4"/>
      <c r="P83" s="4"/>
      <c r="Q83" s="4">
        <v>0.375</v>
      </c>
      <c r="R83" s="61">
        <f>B83</f>
        <v>0.63</v>
      </c>
      <c r="S83" s="18">
        <f>B83/Q83-1</f>
        <v>0.68</v>
      </c>
      <c r="T83" s="14">
        <v>-0.95685936151855</v>
      </c>
      <c r="U83" s="14">
        <v>-0.960845732184808</v>
      </c>
      <c r="V83" s="14">
        <v>0</v>
      </c>
      <c r="W83" s="31" t="s">
        <v>895</v>
      </c>
      <c r="X83" s="4">
        <v>0</v>
      </c>
      <c r="Y83" s="4"/>
      <c r="Z83" s="4"/>
      <c r="AA83" s="4"/>
      <c r="AB83" s="4"/>
      <c r="AC83" s="4"/>
      <c r="AD83" s="4"/>
      <c r="AE83" s="4"/>
      <c r="AF83" s="4">
        <v>2.08</v>
      </c>
      <c r="AG83" s="4">
        <v>2.24</v>
      </c>
      <c r="AH83" s="4">
        <v>2.18</v>
      </c>
    </row>
    <row r="84" ht="15" hidden="1" spans="1:34">
      <c r="A84" s="38">
        <v>1488</v>
      </c>
      <c r="B84" s="4">
        <v>2.16</v>
      </c>
      <c r="C84" s="4">
        <v>0.45</v>
      </c>
      <c r="D84" s="4">
        <v>1.99</v>
      </c>
      <c r="E84" s="13">
        <v>1452000000</v>
      </c>
      <c r="F84" s="59" t="s">
        <v>896</v>
      </c>
      <c r="G84">
        <v>51.8513168664837</v>
      </c>
      <c r="H84" s="49">
        <v>1.3890297069857</v>
      </c>
      <c r="I84" s="14">
        <f>H84/G84</f>
        <v>0.0267887064577826</v>
      </c>
      <c r="J84" s="4">
        <v>3.57</v>
      </c>
      <c r="K84" s="4">
        <v>1.53080273802115</v>
      </c>
      <c r="L84" s="4">
        <v>101.3433</v>
      </c>
      <c r="M84" s="4">
        <v>101.653</v>
      </c>
      <c r="N84" s="4"/>
      <c r="O84" s="4"/>
      <c r="P84" s="4"/>
      <c r="Q84" s="4">
        <v>1.29</v>
      </c>
      <c r="R84" s="61">
        <f>B84</f>
        <v>2.16</v>
      </c>
      <c r="S84" s="18">
        <f>B84/Q84-1</f>
        <v>0.674418604651163</v>
      </c>
      <c r="T84" s="14">
        <v>1.49645138396026</v>
      </c>
      <c r="U84" s="14">
        <v>7.08620689655172</v>
      </c>
      <c r="V84" s="14">
        <v>0.273773987206823</v>
      </c>
      <c r="W84" s="31" t="s">
        <v>896</v>
      </c>
      <c r="X84" s="4">
        <v>10.2</v>
      </c>
      <c r="Y84" s="4"/>
      <c r="Z84" s="4"/>
      <c r="AA84" s="4"/>
      <c r="AB84" s="4"/>
      <c r="AC84" s="4"/>
      <c r="AD84" s="4"/>
      <c r="AE84" s="4"/>
      <c r="AF84" s="4">
        <v>8.947</v>
      </c>
      <c r="AG84" s="4">
        <v>8.9</v>
      </c>
      <c r="AH84" s="4">
        <v>6.79</v>
      </c>
    </row>
    <row r="85" ht="15" spans="1:34">
      <c r="A85" s="37">
        <v>1180</v>
      </c>
      <c r="B85" s="6">
        <v>1.69</v>
      </c>
      <c r="C85" s="6">
        <v>1</v>
      </c>
      <c r="D85" s="6">
        <v>5.94</v>
      </c>
      <c r="E85" s="15">
        <v>1820000000</v>
      </c>
      <c r="F85" s="53" t="s">
        <v>109</v>
      </c>
      <c r="G85">
        <v>40.8284023668639</v>
      </c>
      <c r="H85" s="27">
        <v>26.0398285858331</v>
      </c>
      <c r="I85" s="16">
        <f>H85/G85</f>
        <v>0.637787105942869</v>
      </c>
      <c r="J85" s="6">
        <v>1.04</v>
      </c>
      <c r="K85" s="6">
        <v>0.978777899743871</v>
      </c>
      <c r="L85" s="6">
        <v>19.2639</v>
      </c>
      <c r="M85" s="6">
        <v>18.297</v>
      </c>
      <c r="N85" s="6"/>
      <c r="O85" s="6"/>
      <c r="P85" s="6"/>
      <c r="Q85" s="6">
        <v>1.01</v>
      </c>
      <c r="R85" s="4">
        <f>B85</f>
        <v>1.69</v>
      </c>
      <c r="S85" s="19">
        <f>B85/Q85-1</f>
        <v>0.673267326732673</v>
      </c>
      <c r="T85" s="16">
        <v>-0.193857965451056</v>
      </c>
      <c r="U85" s="14">
        <v>-0.240281113779913</v>
      </c>
      <c r="V85" s="16">
        <v>-0.0256440281030445</v>
      </c>
      <c r="W85" s="5" t="s">
        <v>109</v>
      </c>
      <c r="X85" s="6">
        <v>-0.59</v>
      </c>
      <c r="Y85" s="61" t="s">
        <v>897</v>
      </c>
      <c r="Z85" s="6"/>
      <c r="AA85" s="4"/>
      <c r="AB85" s="4"/>
      <c r="AC85" s="6"/>
      <c r="AD85" s="4">
        <v>0.0812499999999999</v>
      </c>
      <c r="AE85" s="6">
        <v>0.2125</v>
      </c>
      <c r="AG85" s="4">
        <v>0.29</v>
      </c>
      <c r="AH85" s="4">
        <v>0.113</v>
      </c>
    </row>
    <row r="86" ht="15" spans="1:34">
      <c r="A86" s="41">
        <v>2280</v>
      </c>
      <c r="B86" s="6">
        <v>5.62</v>
      </c>
      <c r="C86" s="6">
        <v>3.04</v>
      </c>
      <c r="D86" s="6">
        <v>18.48</v>
      </c>
      <c r="E86" s="15">
        <v>5799000000</v>
      </c>
      <c r="F86" s="47" t="s">
        <v>495</v>
      </c>
      <c r="G86">
        <v>43.0588771210568</v>
      </c>
      <c r="H86" s="27">
        <v>18.6802753382388</v>
      </c>
      <c r="I86" s="16">
        <f>H86/G86</f>
        <v>0.433830991126884</v>
      </c>
      <c r="J86" s="6">
        <v>1.61</v>
      </c>
      <c r="K86" s="6">
        <v>2.50344826483432</v>
      </c>
      <c r="L86" s="6">
        <v>13.2719</v>
      </c>
      <c r="M86" s="6">
        <v>9.483</v>
      </c>
      <c r="N86" s="6"/>
      <c r="O86" s="6"/>
      <c r="P86" s="6"/>
      <c r="Q86" s="6">
        <v>3.36</v>
      </c>
      <c r="R86" s="4">
        <f>B86</f>
        <v>5.62</v>
      </c>
      <c r="S86" s="18">
        <f>B86/Q86-1</f>
        <v>0.672619047619048</v>
      </c>
      <c r="T86" s="14">
        <v>0</v>
      </c>
      <c r="U86" s="14">
        <v>0</v>
      </c>
      <c r="V86" s="14">
        <v>0</v>
      </c>
      <c r="W86" s="31" t="s">
        <v>495</v>
      </c>
      <c r="X86" s="4">
        <v>-0.53</v>
      </c>
      <c r="Y86" s="61" t="s">
        <v>879</v>
      </c>
      <c r="Z86" s="4"/>
      <c r="AA86" s="4"/>
      <c r="AB86" s="4"/>
      <c r="AC86" s="4"/>
      <c r="AD86" s="6">
        <v>0.463869463869464</v>
      </c>
      <c r="AE86" s="4">
        <v>0.585081585081585</v>
      </c>
      <c r="AF86" s="4">
        <v>0.0604</v>
      </c>
      <c r="AG86" s="4">
        <v>1</v>
      </c>
      <c r="AH86" s="4">
        <v>1.33</v>
      </c>
    </row>
    <row r="87" ht="15" hidden="1" spans="1:34">
      <c r="A87" s="38">
        <v>2689</v>
      </c>
      <c r="B87" s="4">
        <v>6.5</v>
      </c>
      <c r="C87" s="4">
        <v>3.76</v>
      </c>
      <c r="D87" s="4">
        <v>8.35</v>
      </c>
      <c r="E87" s="13">
        <v>31421000000</v>
      </c>
      <c r="F87" s="46" t="s">
        <v>15</v>
      </c>
      <c r="G87">
        <v>41.9987239719274</v>
      </c>
      <c r="H87" s="25">
        <v>17.5364362952515</v>
      </c>
      <c r="I87" s="17">
        <f>H87/G87</f>
        <v>0.417546883257052</v>
      </c>
      <c r="J87" s="4">
        <v>0.7</v>
      </c>
      <c r="K87" s="4">
        <v>0.553034353867289</v>
      </c>
      <c r="L87" s="4">
        <v>10.286</v>
      </c>
      <c r="M87" s="4">
        <v>10.286</v>
      </c>
      <c r="Q87" s="4">
        <v>3.89</v>
      </c>
      <c r="R87" s="4">
        <f>B87</f>
        <v>6.5</v>
      </c>
      <c r="S87" s="18">
        <f>B87/Q87-1</f>
        <v>0.670951156812339</v>
      </c>
      <c r="T87" s="14">
        <v>-0.00576117054275288</v>
      </c>
      <c r="U87" s="16">
        <v>-0.321292171824767</v>
      </c>
      <c r="V87" s="14">
        <v>-0.67231283742909</v>
      </c>
      <c r="W87" s="31" t="s">
        <v>15</v>
      </c>
      <c r="X87" s="4">
        <v>-1.96</v>
      </c>
      <c r="Y87" s="6"/>
      <c r="Z87" s="6"/>
      <c r="AA87" s="6"/>
      <c r="AB87" s="6"/>
      <c r="AD87" s="4">
        <v>0.126846381093057</v>
      </c>
      <c r="AE87" s="4">
        <v>0.18205317577548</v>
      </c>
      <c r="AH87" s="4">
        <v>3.08</v>
      </c>
    </row>
    <row r="88" s="6" customFormat="1" ht="15" hidden="1" spans="1:34">
      <c r="A88" s="37">
        <v>3337</v>
      </c>
      <c r="B88" s="6">
        <v>1.04</v>
      </c>
      <c r="C88" s="6">
        <v>0.61</v>
      </c>
      <c r="D88" s="6">
        <v>5.2</v>
      </c>
      <c r="E88" s="15">
        <v>2504000000</v>
      </c>
      <c r="F88" s="53" t="s">
        <v>487</v>
      </c>
      <c r="G88">
        <v>41.3455334623732</v>
      </c>
      <c r="H88" s="27">
        <v>14.4295686005264</v>
      </c>
      <c r="I88" s="16">
        <f>H88/G88</f>
        <v>0.348999453923073</v>
      </c>
      <c r="J88" s="6">
        <v>0.57</v>
      </c>
      <c r="K88" s="16">
        <v>0.656958318561878</v>
      </c>
      <c r="L88" s="6"/>
      <c r="M88" s="6"/>
      <c r="N88" s="6"/>
      <c r="O88" s="6"/>
      <c r="P88" s="6"/>
      <c r="Q88" s="6">
        <v>0.63</v>
      </c>
      <c r="R88" s="4">
        <f>B88</f>
        <v>1.04</v>
      </c>
      <c r="S88" s="19">
        <f>B88/Q88-1</f>
        <v>0.650793650793651</v>
      </c>
      <c r="T88" s="14">
        <v>0.222253481502321</v>
      </c>
      <c r="U88" s="16">
        <v>-0.0326207971498553</v>
      </c>
      <c r="V88" s="16">
        <v>-0.769478651168144</v>
      </c>
      <c r="W88" s="34" t="s">
        <v>487</v>
      </c>
      <c r="X88" s="4">
        <v>-0.95</v>
      </c>
      <c r="Y88" s="4"/>
      <c r="Z88" s="4"/>
      <c r="AA88" s="6"/>
      <c r="AB88" s="6"/>
      <c r="AC88" s="6"/>
      <c r="AD88" s="4">
        <v>0.304761904761905</v>
      </c>
      <c r="AE88" s="4">
        <v>0.314285714285714</v>
      </c>
      <c r="AF88" s="6">
        <v>0.197</v>
      </c>
      <c r="AG88" s="6">
        <v>0.133</v>
      </c>
      <c r="AH88" s="6">
        <v>0.098</v>
      </c>
    </row>
    <row r="89" s="6" customFormat="1" ht="15" hidden="1" spans="1:34">
      <c r="A89" s="43">
        <v>552</v>
      </c>
      <c r="B89" s="4">
        <v>4.3</v>
      </c>
      <c r="C89" s="4">
        <v>2.59</v>
      </c>
      <c r="D89" s="4">
        <v>4.69</v>
      </c>
      <c r="E89" s="13">
        <v>33453000000</v>
      </c>
      <c r="F89" s="46" t="s">
        <v>92</v>
      </c>
      <c r="G89">
        <v>39.7662932176846</v>
      </c>
      <c r="H89" s="28">
        <v>19.3032689095681</v>
      </c>
      <c r="I89" s="17">
        <f>H89/G89</f>
        <v>0.485417858886171</v>
      </c>
      <c r="J89" s="4">
        <v>0.63</v>
      </c>
      <c r="K89" s="4">
        <v>0.200960016838666</v>
      </c>
      <c r="L89" s="4">
        <v>7.084</v>
      </c>
      <c r="M89" s="4">
        <v>6.723</v>
      </c>
      <c r="N89" s="4"/>
      <c r="O89" s="4"/>
      <c r="P89" s="4"/>
      <c r="Q89" s="38">
        <v>2.61</v>
      </c>
      <c r="R89" s="38">
        <f>B89</f>
        <v>4.3</v>
      </c>
      <c r="S89" s="18">
        <f>B89/Q89-1</f>
        <v>0.647509578544061</v>
      </c>
      <c r="T89" s="14">
        <v>0.0844606067466606</v>
      </c>
      <c r="U89" s="16">
        <v>-0.0873789876040439</v>
      </c>
      <c r="V89" s="16">
        <v>-0.524171135554077</v>
      </c>
      <c r="W89" s="31" t="s">
        <v>92</v>
      </c>
      <c r="X89" s="6">
        <v>0.23</v>
      </c>
      <c r="Y89" s="4"/>
      <c r="Z89" s="4"/>
      <c r="AA89" s="6"/>
      <c r="AB89" s="6"/>
      <c r="AC89" s="6"/>
      <c r="AD89" s="4">
        <v>0.137123745819398</v>
      </c>
      <c r="AE89" s="4">
        <v>0.204013377926421</v>
      </c>
      <c r="AF89" s="6">
        <v>4.86</v>
      </c>
      <c r="AG89" s="6">
        <v>4.96</v>
      </c>
      <c r="AH89" s="6">
        <v>3.95</v>
      </c>
    </row>
    <row r="90" s="6" customFormat="1" ht="15" hidden="1" spans="1:34">
      <c r="A90" s="43">
        <v>3969</v>
      </c>
      <c r="B90" s="4">
        <v>6.18</v>
      </c>
      <c r="C90" s="4">
        <v>3.4</v>
      </c>
      <c r="D90" s="4">
        <v>6.77</v>
      </c>
      <c r="E90" s="13">
        <v>56694000000</v>
      </c>
      <c r="F90" s="45" t="s">
        <v>898</v>
      </c>
      <c r="G90">
        <v>44.9823943661972</v>
      </c>
      <c r="H90" s="26">
        <v>5.98834128245893</v>
      </c>
      <c r="I90" s="14">
        <f>H90/G90</f>
        <v>0.133126334576778</v>
      </c>
      <c r="J90" s="4">
        <v>1.6</v>
      </c>
      <c r="K90" s="4">
        <v>13.2401</v>
      </c>
      <c r="L90" s="4"/>
      <c r="M90" s="4"/>
      <c r="N90" s="4"/>
      <c r="O90" s="4"/>
      <c r="P90" s="4"/>
      <c r="Q90" s="32">
        <v>3.77</v>
      </c>
      <c r="R90" s="6">
        <f>B90</f>
        <v>6.18</v>
      </c>
      <c r="S90" s="63">
        <f>B90/Q90-1</f>
        <v>0.639257294429708</v>
      </c>
      <c r="T90" s="14">
        <v>0.114297040169133</v>
      </c>
      <c r="U90" s="14">
        <v>-0.184271619268717</v>
      </c>
      <c r="V90" s="16">
        <v>-0.419067947349698</v>
      </c>
      <c r="W90" s="31" t="s">
        <v>898</v>
      </c>
      <c r="X90" s="6">
        <v>-2.68</v>
      </c>
      <c r="Y90" s="4"/>
      <c r="Z90" s="4"/>
      <c r="AA90" s="4"/>
      <c r="AB90" s="4"/>
      <c r="AC90" s="4"/>
      <c r="AD90" s="4">
        <v>0</v>
      </c>
      <c r="AE90" s="4">
        <v>0</v>
      </c>
      <c r="AF90" s="6">
        <v>0.236</v>
      </c>
      <c r="AG90" s="6">
        <v>0.284</v>
      </c>
      <c r="AH90" s="6">
        <v>0.047</v>
      </c>
    </row>
    <row r="91" s="6" customFormat="1" ht="15" spans="1:34">
      <c r="A91" s="41">
        <v>547</v>
      </c>
      <c r="B91" s="6">
        <v>0.58</v>
      </c>
      <c r="C91" s="6">
        <v>0.09</v>
      </c>
      <c r="D91" s="6">
        <v>3.03</v>
      </c>
      <c r="E91" s="15">
        <v>7483000000</v>
      </c>
      <c r="F91" s="66" t="s">
        <v>336</v>
      </c>
      <c r="G91">
        <v>42.2399353087275</v>
      </c>
      <c r="H91" s="27">
        <v>25.8653241032096</v>
      </c>
      <c r="I91" s="51">
        <f>H91/G91</f>
        <v>0.61234289101445</v>
      </c>
      <c r="J91" s="6">
        <v>9.65</v>
      </c>
      <c r="K91" s="6">
        <v>8.14144736842105</v>
      </c>
      <c r="L91" s="6">
        <v>121.1443</v>
      </c>
      <c r="M91" s="6">
        <v>80.682</v>
      </c>
      <c r="N91" s="6"/>
      <c r="O91" s="6"/>
      <c r="P91" s="4"/>
      <c r="Q91" s="41">
        <v>0.355</v>
      </c>
      <c r="R91" s="4">
        <f>B91</f>
        <v>0.58</v>
      </c>
      <c r="S91" s="68">
        <f>B91/Q91-1</f>
        <v>0.633802816901408</v>
      </c>
      <c r="T91" s="14">
        <v>-0.5011071744907</v>
      </c>
      <c r="U91" s="14">
        <v>-0.0265716137394686</v>
      </c>
      <c r="V91" s="16">
        <v>-0.516644474034621</v>
      </c>
      <c r="W91" s="5" t="s">
        <v>336</v>
      </c>
      <c r="X91" s="4">
        <v>0</v>
      </c>
      <c r="Y91" s="6" t="s">
        <v>899</v>
      </c>
      <c r="Z91" s="6">
        <v>1</v>
      </c>
      <c r="AA91" s="4">
        <v>80000</v>
      </c>
      <c r="AB91" s="4">
        <v>1.3</v>
      </c>
      <c r="AC91" s="6"/>
      <c r="AD91" s="4">
        <v>0.763636363636363</v>
      </c>
      <c r="AE91" s="4">
        <v>0.672727272727273</v>
      </c>
      <c r="AF91" s="6">
        <v>0.48</v>
      </c>
      <c r="AG91" s="6">
        <v>0.295</v>
      </c>
      <c r="AH91" s="6">
        <v>0.26</v>
      </c>
    </row>
    <row r="92" ht="15" hidden="1" spans="1:34">
      <c r="A92" s="37">
        <v>951</v>
      </c>
      <c r="B92" s="6">
        <v>7.45</v>
      </c>
      <c r="C92" s="6">
        <v>3.05</v>
      </c>
      <c r="D92" s="6">
        <v>6.96</v>
      </c>
      <c r="E92" s="15">
        <v>7835000000</v>
      </c>
      <c r="F92" s="47" t="s">
        <v>234</v>
      </c>
      <c r="G92">
        <v>47.6522012249385</v>
      </c>
      <c r="H92" s="27">
        <v>0.674519279170442</v>
      </c>
      <c r="I92" s="16">
        <f>H92/G92</f>
        <v>0.014155049752821</v>
      </c>
      <c r="J92" s="6">
        <v>1.45</v>
      </c>
      <c r="K92" s="6">
        <v>0.210063390287187</v>
      </c>
      <c r="L92" s="6"/>
      <c r="M92" s="6"/>
      <c r="N92" s="6"/>
      <c r="O92" s="6"/>
      <c r="P92" s="6"/>
      <c r="Q92" s="6">
        <v>4.57</v>
      </c>
      <c r="R92" s="4">
        <f>B92</f>
        <v>7.45</v>
      </c>
      <c r="S92" s="19">
        <f>B92/Q92-1</f>
        <v>0.63019693654267</v>
      </c>
      <c r="T92" s="14">
        <v>0.300082895827577</v>
      </c>
      <c r="U92" s="14">
        <v>0.0931691449814126</v>
      </c>
      <c r="V92" s="16">
        <v>-0.55154091392136</v>
      </c>
      <c r="W92" s="31" t="s">
        <v>234</v>
      </c>
      <c r="X92" s="4">
        <v>3.33</v>
      </c>
      <c r="Y92" s="4"/>
      <c r="Z92" s="4"/>
      <c r="AA92" s="6"/>
      <c r="AB92" s="6"/>
      <c r="AC92" s="6"/>
      <c r="AD92" s="6">
        <v>0.153631284916201</v>
      </c>
      <c r="AE92" s="4">
        <v>0.212290502793296</v>
      </c>
      <c r="AF92" s="4">
        <v>11.613</v>
      </c>
      <c r="AG92" s="4">
        <v>11.602</v>
      </c>
      <c r="AH92" s="4">
        <v>8.316</v>
      </c>
    </row>
    <row r="93" ht="15" hidden="1" spans="1:34">
      <c r="A93" s="37">
        <v>621</v>
      </c>
      <c r="B93" s="6">
        <v>0.119</v>
      </c>
      <c r="C93" s="6">
        <v>0.049</v>
      </c>
      <c r="D93" s="6">
        <v>0.28</v>
      </c>
      <c r="E93" s="15">
        <v>1770100000</v>
      </c>
      <c r="F93" s="53" t="s">
        <v>17</v>
      </c>
      <c r="G93">
        <v>58.8235051902972</v>
      </c>
      <c r="H93" s="26">
        <v>31.9330835400285</v>
      </c>
      <c r="I93" s="16">
        <f>H93/G93</f>
        <v>0.542862643712293</v>
      </c>
      <c r="J93" s="6">
        <v>0.43</v>
      </c>
      <c r="K93" s="6">
        <v>34.074074074074</v>
      </c>
      <c r="L93" s="6"/>
      <c r="M93" s="6"/>
      <c r="N93" s="6"/>
      <c r="O93" s="6"/>
      <c r="Q93" s="6">
        <v>0.073</v>
      </c>
      <c r="R93" s="4">
        <f>B93</f>
        <v>0.119</v>
      </c>
      <c r="S93" s="18">
        <f>B93/Q93-1</f>
        <v>0.63013698630137</v>
      </c>
      <c r="T93" s="14">
        <v>0.263009256838032</v>
      </c>
      <c r="U93" s="14">
        <v>0.0676392572944297</v>
      </c>
      <c r="V93" s="16">
        <v>-0.797391304347826</v>
      </c>
      <c r="W93" s="31" t="s">
        <v>17</v>
      </c>
      <c r="X93" s="6">
        <v>0</v>
      </c>
      <c r="AA93" s="6"/>
      <c r="AB93" s="6"/>
      <c r="AD93" s="4">
        <v>0.169811320754717</v>
      </c>
      <c r="AE93" s="4">
        <v>0.377358490566038</v>
      </c>
      <c r="AF93" s="4">
        <v>1.3</v>
      </c>
      <c r="AG93" s="4">
        <v>1.78</v>
      </c>
      <c r="AH93" s="4">
        <v>1.57</v>
      </c>
    </row>
    <row r="94" ht="15" spans="1:34">
      <c r="A94" s="41">
        <v>1980</v>
      </c>
      <c r="B94" s="6">
        <v>5.8</v>
      </c>
      <c r="C94" s="6">
        <v>2.28</v>
      </c>
      <c r="D94" s="6">
        <v>7.72</v>
      </c>
      <c r="E94" s="15">
        <v>6841000000</v>
      </c>
      <c r="F94" s="47" t="s">
        <v>500</v>
      </c>
      <c r="G94">
        <v>51.5527348481178</v>
      </c>
      <c r="H94" s="27">
        <v>14.4819690898683</v>
      </c>
      <c r="I94" s="16">
        <f>H94/G94</f>
        <v>0.280915631974413</v>
      </c>
      <c r="J94" s="6">
        <v>1.88</v>
      </c>
      <c r="K94" s="6">
        <v>5.36003806392745</v>
      </c>
      <c r="L94" s="6"/>
      <c r="M94" s="6"/>
      <c r="N94" s="6"/>
      <c r="O94" s="6"/>
      <c r="P94" s="6"/>
      <c r="Q94" s="6">
        <v>3.63</v>
      </c>
      <c r="R94" s="4">
        <f>B94</f>
        <v>5.8</v>
      </c>
      <c r="S94" s="19">
        <f>B94/Q94-1</f>
        <v>0.597796143250689</v>
      </c>
      <c r="T94" s="14">
        <v>-0.664306298888432</v>
      </c>
      <c r="U94" s="14">
        <v>0.00221238938053097</v>
      </c>
      <c r="V94" s="16">
        <v>0.571743929359823</v>
      </c>
      <c r="W94" s="5" t="s">
        <v>500</v>
      </c>
      <c r="X94" s="4">
        <v>-1.02</v>
      </c>
      <c r="Y94" s="61" t="s">
        <v>900</v>
      </c>
      <c r="Z94" s="4">
        <v>1</v>
      </c>
      <c r="AA94" s="4">
        <v>2000</v>
      </c>
      <c r="AB94" s="4">
        <v>6.5</v>
      </c>
      <c r="AC94" s="4"/>
      <c r="AD94" s="6">
        <v>0.353790613718412</v>
      </c>
      <c r="AE94" s="4">
        <v>0.447653429602888</v>
      </c>
      <c r="AF94" s="4">
        <v>5.31</v>
      </c>
      <c r="AG94" s="4">
        <v>5.2</v>
      </c>
      <c r="AH94" s="4">
        <v>5.2</v>
      </c>
    </row>
    <row r="95" s="6" customFormat="1" ht="15" hidden="1" spans="1:34">
      <c r="A95" s="43">
        <v>8327</v>
      </c>
      <c r="B95" s="4">
        <v>0.75</v>
      </c>
      <c r="C95" s="4">
        <v>0.38</v>
      </c>
      <c r="D95" s="4">
        <v>1.46</v>
      </c>
      <c r="E95" s="13">
        <v>608000000</v>
      </c>
      <c r="F95" s="45" t="s">
        <v>312</v>
      </c>
      <c r="G95">
        <v>47.332385316269</v>
      </c>
      <c r="H95" s="28">
        <v>18.6661920018987</v>
      </c>
      <c r="I95" s="14">
        <f>H95/G95</f>
        <v>0.394364067586569</v>
      </c>
      <c r="J95" s="4">
        <v>6.44</v>
      </c>
      <c r="K95" s="14">
        <v>1.82548375319459</v>
      </c>
      <c r="L95" s="4">
        <v>24.667</v>
      </c>
      <c r="M95" s="4"/>
      <c r="N95" s="4"/>
      <c r="O95" s="4"/>
      <c r="P95" s="4"/>
      <c r="Q95" s="4">
        <v>0.47</v>
      </c>
      <c r="R95" s="4">
        <f>B95</f>
        <v>0.75</v>
      </c>
      <c r="S95" s="18">
        <f>B95/Q95-1</f>
        <v>0.595744680851064</v>
      </c>
      <c r="T95" s="16">
        <v>0</v>
      </c>
      <c r="U95" s="16">
        <v>0</v>
      </c>
      <c r="V95" s="14">
        <v>0</v>
      </c>
      <c r="W95" s="31" t="s">
        <v>312</v>
      </c>
      <c r="X95" s="4">
        <v>0</v>
      </c>
      <c r="Y95" s="4"/>
      <c r="Z95" s="4"/>
      <c r="AA95" s="4"/>
      <c r="AB95" s="4"/>
      <c r="AC95" s="6"/>
      <c r="AD95" s="6">
        <v>0</v>
      </c>
      <c r="AE95" s="4">
        <v>0</v>
      </c>
      <c r="AF95" s="6">
        <v>0.55</v>
      </c>
      <c r="AG95" s="6">
        <v>0.27</v>
      </c>
      <c r="AH95" s="6">
        <v>0.26</v>
      </c>
    </row>
    <row r="96" ht="15" hidden="1" spans="1:34">
      <c r="A96" s="38">
        <v>3813</v>
      </c>
      <c r="B96" s="4">
        <v>2.28</v>
      </c>
      <c r="C96" s="4">
        <v>0.47</v>
      </c>
      <c r="D96" s="4">
        <v>1.88</v>
      </c>
      <c r="E96" s="13">
        <v>12755000000</v>
      </c>
      <c r="F96" s="46" t="s">
        <v>49</v>
      </c>
      <c r="G96">
        <v>51.3168784382455</v>
      </c>
      <c r="H96" s="28">
        <v>24.5640259093174</v>
      </c>
      <c r="I96" s="17">
        <f>H96/G96</f>
        <v>0.47867342396669</v>
      </c>
      <c r="J96" s="4">
        <v>1.2</v>
      </c>
      <c r="K96" s="14">
        <v>0.446713032423992</v>
      </c>
      <c r="L96" s="4">
        <v>229.7512</v>
      </c>
      <c r="M96" s="4">
        <v>213.433</v>
      </c>
      <c r="N96" s="4"/>
      <c r="O96" s="4"/>
      <c r="P96" s="4"/>
      <c r="Q96" s="4">
        <v>1.43</v>
      </c>
      <c r="R96" s="4">
        <f>B96</f>
        <v>2.28</v>
      </c>
      <c r="S96" s="18">
        <f>B96/Q96-1</f>
        <v>0.594405594405594</v>
      </c>
      <c r="T96" s="14">
        <v>-0.0029175385318867</v>
      </c>
      <c r="U96" s="14">
        <v>-0.160241115157604</v>
      </c>
      <c r="V96" s="14">
        <v>0.144045311799013</v>
      </c>
      <c r="W96" s="31" t="s">
        <v>49</v>
      </c>
      <c r="X96" s="4">
        <v>1.79</v>
      </c>
      <c r="Y96" s="6"/>
      <c r="Z96" s="6"/>
      <c r="AA96" s="4"/>
      <c r="AB96" s="4"/>
      <c r="AC96" s="4"/>
      <c r="AD96" s="4">
        <v>0.0958904109589042</v>
      </c>
      <c r="AE96" s="4">
        <v>0.164383561643836</v>
      </c>
      <c r="AF96" s="4">
        <v>1.925</v>
      </c>
      <c r="AG96" s="4">
        <v>2.07</v>
      </c>
      <c r="AH96" s="4">
        <v>2.44</v>
      </c>
    </row>
    <row r="97" ht="15" spans="1:34">
      <c r="A97" s="22">
        <v>1358</v>
      </c>
      <c r="B97" s="6">
        <v>2.48</v>
      </c>
      <c r="C97" s="6">
        <v>1.34</v>
      </c>
      <c r="D97" s="6">
        <v>5.04</v>
      </c>
      <c r="E97" s="15">
        <v>3993000000</v>
      </c>
      <c r="F97" s="47" t="s">
        <v>521</v>
      </c>
      <c r="G97">
        <v>39.9182888728671</v>
      </c>
      <c r="H97" s="27">
        <v>7.26161106939826</v>
      </c>
      <c r="I97" s="16">
        <f>H97/G97</f>
        <v>0.181911882358616</v>
      </c>
      <c r="J97" s="6">
        <v>1</v>
      </c>
      <c r="K97" s="6">
        <v>3.20190461369081</v>
      </c>
      <c r="L97" s="6">
        <v>11.8172</v>
      </c>
      <c r="M97" s="6">
        <v>11.8</v>
      </c>
      <c r="N97" s="6"/>
      <c r="O97" s="6"/>
      <c r="Q97" s="6">
        <v>1.56</v>
      </c>
      <c r="R97" s="4">
        <f>B97</f>
        <v>2.48</v>
      </c>
      <c r="S97" s="18">
        <f>B97/Q97-1</f>
        <v>0.58974358974359</v>
      </c>
      <c r="T97" s="16">
        <v>-0.479211663066955</v>
      </c>
      <c r="U97" s="16">
        <v>0.936746987951807</v>
      </c>
      <c r="V97" s="14">
        <v>-0.77293934681182</v>
      </c>
      <c r="W97" s="31" t="s">
        <v>521</v>
      </c>
      <c r="X97" s="6">
        <v>-0.8</v>
      </c>
      <c r="Y97" s="61" t="s">
        <v>901</v>
      </c>
      <c r="AC97" s="6"/>
      <c r="AD97" s="4">
        <v>0.115577889447236</v>
      </c>
      <c r="AE97" s="4">
        <v>0.251256281407035</v>
      </c>
      <c r="AF97" s="4">
        <v>0.473</v>
      </c>
      <c r="AG97" s="4">
        <v>0.42</v>
      </c>
      <c r="AH97" s="4">
        <v>0.61</v>
      </c>
    </row>
    <row r="98" s="6" customFormat="1" ht="15" spans="1:34">
      <c r="A98" s="65">
        <v>696</v>
      </c>
      <c r="B98" s="6">
        <v>16.16</v>
      </c>
      <c r="C98" s="6">
        <v>6.76</v>
      </c>
      <c r="D98" s="6">
        <v>15.6</v>
      </c>
      <c r="E98" s="15">
        <v>50389000000</v>
      </c>
      <c r="F98" s="47" t="s">
        <v>545</v>
      </c>
      <c r="G98">
        <v>37.003905757843</v>
      </c>
      <c r="H98" s="23">
        <v>18.5677021579322</v>
      </c>
      <c r="I98" s="16">
        <f>H98/G98</f>
        <v>0.501776819977895</v>
      </c>
      <c r="J98" s="6">
        <v>2.23</v>
      </c>
      <c r="K98" s="6">
        <v>4.03587878165794</v>
      </c>
      <c r="L98" s="6">
        <v>15.1805</v>
      </c>
      <c r="M98" s="6">
        <v>14.444</v>
      </c>
      <c r="N98" s="6"/>
      <c r="O98" s="6"/>
      <c r="P98" s="6"/>
      <c r="Q98" s="6">
        <v>10.2</v>
      </c>
      <c r="R98" s="6">
        <f>B98</f>
        <v>16.16</v>
      </c>
      <c r="S98" s="63">
        <f>B98/Q98-1</f>
        <v>0.584313725490196</v>
      </c>
      <c r="T98" s="14">
        <v>0.0820167676428415</v>
      </c>
      <c r="U98" s="14">
        <v>0.0598238688126329</v>
      </c>
      <c r="V98" s="14">
        <v>-0.557160100286533</v>
      </c>
      <c r="W98" s="31" t="s">
        <v>545</v>
      </c>
      <c r="X98" s="4">
        <v>-0.98</v>
      </c>
      <c r="Y98" s="61" t="s">
        <v>879</v>
      </c>
      <c r="Z98" s="4"/>
      <c r="AA98" s="4"/>
      <c r="AB98" s="4"/>
      <c r="AC98" s="4"/>
      <c r="AD98" s="4">
        <v>0.34108527131783</v>
      </c>
      <c r="AE98" s="4">
        <v>0.382428940568475</v>
      </c>
      <c r="AF98" s="6">
        <v>3.88</v>
      </c>
      <c r="AG98" s="6">
        <v>4.57</v>
      </c>
      <c r="AH98" s="6">
        <v>3.62</v>
      </c>
    </row>
    <row r="99" ht="15" hidden="1" spans="1:34">
      <c r="A99" s="43">
        <v>2917</v>
      </c>
      <c r="B99" s="4">
        <v>0.198</v>
      </c>
      <c r="C99" s="4">
        <v>0.04</v>
      </c>
      <c r="D99" s="4">
        <v>2.9</v>
      </c>
      <c r="E99" s="13">
        <v>0</v>
      </c>
      <c r="F99" s="46" t="s">
        <v>169</v>
      </c>
      <c r="G99">
        <v>6.56563297111944</v>
      </c>
      <c r="H99" s="25">
        <v>69.1932864103952</v>
      </c>
      <c r="I99" s="14">
        <f>H99/G99</f>
        <v>10.5387076485632</v>
      </c>
      <c r="J99" s="4">
        <v>0.02</v>
      </c>
      <c r="K99" s="4">
        <v>0.364006988934187</v>
      </c>
      <c r="L99" s="4">
        <v>0.354</v>
      </c>
      <c r="M99" s="4"/>
      <c r="N99" s="4"/>
      <c r="O99" s="4"/>
      <c r="P99" s="4"/>
      <c r="Q99" s="4">
        <v>0.125</v>
      </c>
      <c r="R99" s="4">
        <f>B99</f>
        <v>0.198</v>
      </c>
      <c r="S99" s="18">
        <f>B99/Q99-1</f>
        <v>0.584</v>
      </c>
      <c r="T99" s="14">
        <v>0</v>
      </c>
      <c r="U99" s="14">
        <v>0</v>
      </c>
      <c r="V99" s="14">
        <v>0</v>
      </c>
      <c r="W99" s="5" t="s">
        <v>169</v>
      </c>
      <c r="X99" s="6">
        <v>-34</v>
      </c>
      <c r="Y99" s="4"/>
      <c r="Z99" s="4"/>
      <c r="AA99" s="6"/>
      <c r="AB99" s="6"/>
      <c r="AC99" s="6"/>
      <c r="AD99" s="4">
        <v>0</v>
      </c>
      <c r="AE99" s="4">
        <v>0</v>
      </c>
      <c r="AF99" s="4">
        <v>0.146</v>
      </c>
      <c r="AG99" s="4">
        <v>0.135</v>
      </c>
      <c r="AH99" s="4">
        <v>0.127</v>
      </c>
    </row>
    <row r="100" s="6" customFormat="1" ht="15" hidden="1" spans="1:34">
      <c r="A100" s="43">
        <v>6198</v>
      </c>
      <c r="B100" s="4">
        <v>4.24</v>
      </c>
      <c r="C100" s="4">
        <v>2.65</v>
      </c>
      <c r="D100" s="4">
        <v>6.07</v>
      </c>
      <c r="E100" s="13">
        <v>23461000000</v>
      </c>
      <c r="F100" s="45" t="s">
        <v>565</v>
      </c>
      <c r="G100">
        <v>37.5</v>
      </c>
      <c r="H100" s="23">
        <v>17.9245283018868</v>
      </c>
      <c r="I100" s="17">
        <f>H100/G100</f>
        <v>0.477987421383648</v>
      </c>
      <c r="J100" s="4">
        <v>0.88</v>
      </c>
      <c r="K100" s="14">
        <v>1.40418332656728</v>
      </c>
      <c r="L100" s="4">
        <v>6.6003</v>
      </c>
      <c r="M100" s="4">
        <v>6</v>
      </c>
      <c r="N100" s="4"/>
      <c r="O100" s="4"/>
      <c r="P100" s="4"/>
      <c r="Q100" s="4">
        <v>2.68</v>
      </c>
      <c r="R100" s="4">
        <f>B100</f>
        <v>4.24</v>
      </c>
      <c r="S100" s="18">
        <f>B100/Q100-1</f>
        <v>0.582089552238806</v>
      </c>
      <c r="T100" s="14">
        <v>-0.330226364846871</v>
      </c>
      <c r="U100" s="14">
        <v>-0.630825688073394</v>
      </c>
      <c r="V100" s="14">
        <v>-0.864811133200795</v>
      </c>
      <c r="W100" s="62" t="s">
        <v>565</v>
      </c>
      <c r="X100" s="4">
        <v>-0.47</v>
      </c>
      <c r="Y100" s="6"/>
      <c r="Z100" s="6"/>
      <c r="AA100" s="4"/>
      <c r="AB100" s="4"/>
      <c r="AC100" s="4"/>
      <c r="AD100" s="4">
        <v>0.29242819843342</v>
      </c>
      <c r="AE100" s="4">
        <v>0.279373368146214</v>
      </c>
      <c r="AF100" s="6">
        <v>1.35</v>
      </c>
      <c r="AG100" s="6">
        <v>0.81</v>
      </c>
      <c r="AH100" s="6">
        <v>0.225</v>
      </c>
    </row>
    <row r="101" ht="15" hidden="1" spans="1:34">
      <c r="A101" s="38">
        <v>1898</v>
      </c>
      <c r="B101" s="4">
        <v>4.16</v>
      </c>
      <c r="C101" s="4">
        <v>2.31</v>
      </c>
      <c r="D101" s="4">
        <v>5.6</v>
      </c>
      <c r="E101" s="13">
        <v>59399000000</v>
      </c>
      <c r="F101" s="45" t="s">
        <v>902</v>
      </c>
      <c r="G101">
        <v>44.4722083402743</v>
      </c>
      <c r="H101" s="23">
        <v>17.3020527859238</v>
      </c>
      <c r="I101" s="14">
        <f>H101/G101</f>
        <v>0.389053150982271</v>
      </c>
      <c r="J101" s="4">
        <v>0.33</v>
      </c>
      <c r="K101" s="4">
        <v>0.465917657440565</v>
      </c>
      <c r="L101" s="4">
        <v>199.9008</v>
      </c>
      <c r="M101" s="4">
        <v>184.962</v>
      </c>
      <c r="N101" s="4"/>
      <c r="O101" s="4"/>
      <c r="P101" s="4"/>
      <c r="Q101" s="32">
        <v>2.63</v>
      </c>
      <c r="R101" s="6">
        <f>B101</f>
        <v>4.16</v>
      </c>
      <c r="S101" s="19">
        <f>B101/Q101-1</f>
        <v>0.581749049429658</v>
      </c>
      <c r="T101" s="14">
        <v>-0.490676825751883</v>
      </c>
      <c r="U101" s="14">
        <v>-0.633575981593935</v>
      </c>
      <c r="V101" s="14">
        <v>-0.0190571281523417</v>
      </c>
      <c r="W101" s="31" t="s">
        <v>902</v>
      </c>
      <c r="X101" s="4">
        <v>-0.48</v>
      </c>
      <c r="Y101" s="4"/>
      <c r="Z101" s="4"/>
      <c r="AA101" s="4"/>
      <c r="AB101" s="4"/>
      <c r="AC101" s="4"/>
      <c r="AD101" s="4">
        <v>0.0826446280991736</v>
      </c>
      <c r="AE101" s="4">
        <v>0.140495867768595</v>
      </c>
      <c r="AF101" s="4">
        <v>0.66</v>
      </c>
      <c r="AG101" s="4">
        <v>0.42</v>
      </c>
      <c r="AH101" s="4">
        <v>0.35</v>
      </c>
    </row>
    <row r="102" ht="15" hidden="1" spans="1:34">
      <c r="A102" s="43">
        <v>390</v>
      </c>
      <c r="B102" s="4">
        <v>6.69</v>
      </c>
      <c r="C102" s="4">
        <v>3.98</v>
      </c>
      <c r="D102" s="4">
        <v>12.3</v>
      </c>
      <c r="E102" s="13">
        <v>138893000000</v>
      </c>
      <c r="F102" s="53" t="s">
        <v>561</v>
      </c>
      <c r="G102">
        <v>37.0712982191177</v>
      </c>
      <c r="H102" s="28">
        <v>3.58400662937642</v>
      </c>
      <c r="I102" s="17">
        <f>H102/G102</f>
        <v>0.0966787461337986</v>
      </c>
      <c r="J102" s="4">
        <v>0.75</v>
      </c>
      <c r="K102" s="4">
        <v>0.146827589415266</v>
      </c>
      <c r="L102" s="4">
        <v>8.1895</v>
      </c>
      <c r="M102" s="4">
        <v>7.022</v>
      </c>
      <c r="Q102" s="4">
        <v>4.23</v>
      </c>
      <c r="R102" s="4">
        <f>B102</f>
        <v>6.69</v>
      </c>
      <c r="S102" s="18">
        <f>B102/Q102-1</f>
        <v>0.581560283687943</v>
      </c>
      <c r="T102" s="14">
        <v>-0.012968015977946</v>
      </c>
      <c r="U102" s="16">
        <v>0.0290365476899718</v>
      </c>
      <c r="V102" s="14">
        <v>-0.706538718975962</v>
      </c>
      <c r="W102" s="31" t="s">
        <v>561</v>
      </c>
      <c r="X102" s="6">
        <v>-1.18</v>
      </c>
      <c r="AC102" s="6"/>
      <c r="AD102" s="6">
        <v>0.110764430577223</v>
      </c>
      <c r="AE102" s="6">
        <v>0.207488299531981</v>
      </c>
      <c r="AF102" s="4">
        <v>0.036</v>
      </c>
      <c r="AG102" s="4">
        <v>0.045</v>
      </c>
      <c r="AH102" s="4">
        <v>0.067</v>
      </c>
    </row>
    <row r="103" s="6" customFormat="1" ht="15" hidden="1" spans="1:34">
      <c r="A103" s="41">
        <v>1818</v>
      </c>
      <c r="B103" s="4">
        <v>7.23</v>
      </c>
      <c r="C103" s="4">
        <v>3.4</v>
      </c>
      <c r="D103" s="4">
        <v>6.74</v>
      </c>
      <c r="E103" s="13">
        <v>23044000000</v>
      </c>
      <c r="F103" s="45" t="s">
        <v>504</v>
      </c>
      <c r="G103">
        <v>45.2294884434221</v>
      </c>
      <c r="H103" s="25">
        <v>38.5809312638581</v>
      </c>
      <c r="I103" s="17">
        <f>H103/G103</f>
        <v>0.853003927119788</v>
      </c>
      <c r="J103" s="4">
        <v>1.19</v>
      </c>
      <c r="K103" s="4">
        <v>1.97546065088774</v>
      </c>
      <c r="L103" s="4">
        <v>24.428</v>
      </c>
      <c r="M103" s="4">
        <v>24.01</v>
      </c>
      <c r="N103" s="4"/>
      <c r="O103" s="4"/>
      <c r="P103" s="4"/>
      <c r="Q103" s="4">
        <v>4.61</v>
      </c>
      <c r="R103" s="4">
        <f>B103</f>
        <v>7.23</v>
      </c>
      <c r="S103" s="60">
        <f>B103/Q103-1</f>
        <v>0.568329718004338</v>
      </c>
      <c r="T103" s="14">
        <v>-0.351385922802942</v>
      </c>
      <c r="U103" s="16">
        <v>0.00230041748317287</v>
      </c>
      <c r="V103" s="16">
        <v>-0.723053383202992</v>
      </c>
      <c r="W103" s="31" t="s">
        <v>504</v>
      </c>
      <c r="X103" s="4">
        <v>-1.77</v>
      </c>
      <c r="Y103" s="4"/>
      <c r="Z103" s="4"/>
      <c r="AA103" s="4"/>
      <c r="AB103" s="4"/>
      <c r="AC103" s="4"/>
      <c r="AD103" s="4">
        <v>0.151428571428571</v>
      </c>
      <c r="AE103" s="4">
        <v>0.22</v>
      </c>
      <c r="AF103" s="6">
        <v>0.2</v>
      </c>
      <c r="AG103" s="6">
        <v>0.26</v>
      </c>
      <c r="AH103" s="6">
        <v>0.17</v>
      </c>
    </row>
    <row r="104" ht="15" hidden="1" spans="1:34">
      <c r="A104" s="48">
        <v>498</v>
      </c>
      <c r="B104" s="4">
        <v>0.164</v>
      </c>
      <c r="C104" s="4">
        <v>0.104</v>
      </c>
      <c r="D104" s="4">
        <v>0.33</v>
      </c>
      <c r="E104" s="13">
        <v>732400000</v>
      </c>
      <c r="F104" s="45" t="s">
        <v>555</v>
      </c>
      <c r="G104">
        <v>36.5852421175456</v>
      </c>
      <c r="H104" s="27">
        <v>14.0237853616264</v>
      </c>
      <c r="I104" s="14">
        <f>H104/G104</f>
        <v>0.383318096312417</v>
      </c>
      <c r="J104" s="4">
        <v>0.11</v>
      </c>
      <c r="K104" s="4">
        <v>0.903814262023217</v>
      </c>
      <c r="L104" s="4">
        <v>5.7997</v>
      </c>
      <c r="M104" s="4">
        <v>5.585</v>
      </c>
      <c r="Q104" s="4">
        <v>0.105</v>
      </c>
      <c r="R104" s="4">
        <f>B104</f>
        <v>0.164</v>
      </c>
      <c r="S104" s="18">
        <f>B104/Q104-1</f>
        <v>0.561904761904762</v>
      </c>
      <c r="T104" s="16">
        <v>-0.161808263975447</v>
      </c>
      <c r="U104" s="14">
        <v>-0.587627506445381</v>
      </c>
      <c r="V104" s="16">
        <v>0</v>
      </c>
      <c r="W104" s="31" t="s">
        <v>555</v>
      </c>
      <c r="X104" s="4">
        <v>2.5</v>
      </c>
      <c r="Y104" s="6"/>
      <c r="Z104" s="6"/>
      <c r="AA104" s="6"/>
      <c r="AB104" s="6"/>
      <c r="AC104" s="6"/>
      <c r="AD104" s="4">
        <v>0.185430463576159</v>
      </c>
      <c r="AE104" s="6">
        <v>0.291390728476821</v>
      </c>
      <c r="AF104" s="4">
        <v>15.21908</v>
      </c>
      <c r="AG104" s="4">
        <v>14.72</v>
      </c>
      <c r="AH104" s="4">
        <v>13.68</v>
      </c>
    </row>
    <row r="105" ht="15" hidden="1" spans="1:34">
      <c r="A105" s="38">
        <v>8063</v>
      </c>
      <c r="B105" s="4">
        <v>0.155</v>
      </c>
      <c r="C105" s="4">
        <v>0.09</v>
      </c>
      <c r="D105" s="4">
        <v>0.66</v>
      </c>
      <c r="E105" s="13">
        <v>451400000</v>
      </c>
      <c r="F105" s="45" t="s">
        <v>903</v>
      </c>
      <c r="G105">
        <v>43.8709930905192</v>
      </c>
      <c r="H105" s="28">
        <v>14.8382503244181</v>
      </c>
      <c r="I105" s="14">
        <f>H105/G105</f>
        <v>0.338224628145577</v>
      </c>
      <c r="J105" s="4">
        <v>0.5</v>
      </c>
      <c r="K105" s="4">
        <v>2.22007722007722</v>
      </c>
      <c r="L105" s="4"/>
      <c r="M105" s="4"/>
      <c r="N105" s="4"/>
      <c r="O105" s="4"/>
      <c r="P105" s="4"/>
      <c r="Q105" s="33">
        <v>0.1</v>
      </c>
      <c r="R105" s="4">
        <f>B105</f>
        <v>0.155</v>
      </c>
      <c r="S105" s="18">
        <f>B105/Q105-1</f>
        <v>0.55</v>
      </c>
      <c r="T105" s="14">
        <v>-1</v>
      </c>
      <c r="U105" s="14">
        <v>-1</v>
      </c>
      <c r="V105" s="14">
        <v>0</v>
      </c>
      <c r="W105" s="34" t="s">
        <v>903</v>
      </c>
      <c r="X105" s="4">
        <v>-2.516</v>
      </c>
      <c r="Y105" s="4"/>
      <c r="Z105" s="4"/>
      <c r="AA105" s="4"/>
      <c r="AB105" s="4"/>
      <c r="AC105" s="4"/>
      <c r="AD105" s="4">
        <v>0.307692307692308</v>
      </c>
      <c r="AE105" s="4">
        <v>0.634615384615385</v>
      </c>
      <c r="AF105" s="4">
        <v>0.335</v>
      </c>
      <c r="AG105" s="4">
        <v>0.57</v>
      </c>
      <c r="AH105" s="4">
        <v>0.55</v>
      </c>
    </row>
    <row r="106" s="6" customFormat="1" ht="15" hidden="1" spans="1:34">
      <c r="A106" s="65">
        <v>2331</v>
      </c>
      <c r="B106" s="4">
        <v>5.57</v>
      </c>
      <c r="C106" s="4">
        <v>2.67</v>
      </c>
      <c r="D106" s="4">
        <v>5.55</v>
      </c>
      <c r="E106" s="13">
        <v>11294000000</v>
      </c>
      <c r="F106" s="46" t="s">
        <v>776</v>
      </c>
      <c r="G106">
        <v>44.8823237612302</v>
      </c>
      <c r="H106" s="28">
        <v>7.18113612004287</v>
      </c>
      <c r="I106" s="17">
        <f>H106/G106</f>
        <v>0.159999204993169</v>
      </c>
      <c r="J106" s="4">
        <v>1.83</v>
      </c>
      <c r="K106" s="4">
        <v>0.744782720105298</v>
      </c>
      <c r="L106" s="4"/>
      <c r="M106" s="4"/>
      <c r="N106" s="4"/>
      <c r="O106" s="4"/>
      <c r="P106" s="4"/>
      <c r="Q106" s="38">
        <v>3.61</v>
      </c>
      <c r="R106" s="38">
        <f>B106</f>
        <v>5.57</v>
      </c>
      <c r="S106" s="18">
        <f>B106/Q106-1</f>
        <v>0.542936288088643</v>
      </c>
      <c r="T106" s="16">
        <v>-0.0570079444170214</v>
      </c>
      <c r="U106" s="16">
        <v>-0.136077407464291</v>
      </c>
      <c r="V106" s="14">
        <v>-0.782265481481481</v>
      </c>
      <c r="W106" s="31" t="s">
        <v>776</v>
      </c>
      <c r="X106" s="4">
        <v>-0.89</v>
      </c>
      <c r="Y106" s="6"/>
      <c r="Z106" s="6"/>
      <c r="AA106" s="6"/>
      <c r="AB106" s="6"/>
      <c r="AC106" s="4"/>
      <c r="AD106" s="4">
        <v>0.146428571428571</v>
      </c>
      <c r="AE106" s="6">
        <v>0.189285714285714</v>
      </c>
      <c r="AF106" s="6">
        <v>2.11</v>
      </c>
      <c r="AG106" s="6">
        <v>2.02</v>
      </c>
      <c r="AH106" s="6">
        <v>1.94</v>
      </c>
    </row>
    <row r="107" s="6" customFormat="1" ht="15" spans="1:34">
      <c r="A107" s="37">
        <v>2345</v>
      </c>
      <c r="B107" s="6">
        <v>1.54</v>
      </c>
      <c r="C107" s="6">
        <v>0.94</v>
      </c>
      <c r="D107" s="6">
        <v>2.56</v>
      </c>
      <c r="E107" s="15">
        <v>2330000000</v>
      </c>
      <c r="F107" s="47" t="s">
        <v>425</v>
      </c>
      <c r="G107">
        <v>38.961118232314</v>
      </c>
      <c r="H107" s="27">
        <v>15.5802126675913</v>
      </c>
      <c r="I107" s="16">
        <f>H107/G107</f>
        <v>0.399891311504228</v>
      </c>
      <c r="J107" s="6">
        <v>0.37</v>
      </c>
      <c r="K107" s="6">
        <v>0.157901362445808</v>
      </c>
      <c r="L107" s="6">
        <v>14.4118</v>
      </c>
      <c r="M107" s="6">
        <v>14.408</v>
      </c>
      <c r="N107" s="6"/>
      <c r="O107" s="6"/>
      <c r="P107" s="6"/>
      <c r="Q107" s="6">
        <v>1.01</v>
      </c>
      <c r="R107" s="4">
        <f>B107</f>
        <v>1.54</v>
      </c>
      <c r="S107" s="19">
        <f>B107/Q107-1</f>
        <v>0.524752475247525</v>
      </c>
      <c r="T107" s="14">
        <v>0.258495821727019</v>
      </c>
      <c r="U107" s="14">
        <v>-0.112943601825946</v>
      </c>
      <c r="V107" s="14">
        <v>-0.727921646746348</v>
      </c>
      <c r="W107" s="5" t="s">
        <v>425</v>
      </c>
      <c r="X107" s="4">
        <v>1.32</v>
      </c>
      <c r="Y107" s="6" t="s">
        <v>904</v>
      </c>
      <c r="Z107" s="6"/>
      <c r="AA107" s="4"/>
      <c r="AB107" s="4"/>
      <c r="AC107" s="4"/>
      <c r="AD107" s="6">
        <v>0.258620689655172</v>
      </c>
      <c r="AE107" s="4">
        <v>0.46551724137931</v>
      </c>
      <c r="AG107" s="6">
        <v>1.07327</v>
      </c>
      <c r="AH107" s="6">
        <v>0.88</v>
      </c>
    </row>
    <row r="108" ht="15" spans="1:34">
      <c r="A108" s="37">
        <v>1800</v>
      </c>
      <c r="B108" s="6">
        <v>8.91</v>
      </c>
      <c r="C108" s="6">
        <v>5.45</v>
      </c>
      <c r="D108" s="6">
        <v>17</v>
      </c>
      <c r="E108" s="15">
        <v>141367000000</v>
      </c>
      <c r="F108" s="47" t="s">
        <v>128</v>
      </c>
      <c r="G108">
        <v>35.2415490221474</v>
      </c>
      <c r="H108" s="27">
        <v>16.7269756040621</v>
      </c>
      <c r="I108" s="16">
        <f>H108/G108</f>
        <v>0.474637922230663</v>
      </c>
      <c r="J108" s="6">
        <v>0.67</v>
      </c>
      <c r="K108" s="6">
        <v>0.223206637857189</v>
      </c>
      <c r="L108" s="6">
        <v>5.707</v>
      </c>
      <c r="M108" s="6">
        <v>5.411</v>
      </c>
      <c r="N108" s="6"/>
      <c r="O108" s="6"/>
      <c r="P108" s="6"/>
      <c r="Q108" s="6">
        <v>5.85</v>
      </c>
      <c r="R108" s="6">
        <f>B108</f>
        <v>8.91</v>
      </c>
      <c r="S108" s="19">
        <f>B108/Q108-1</f>
        <v>0.523076923076923</v>
      </c>
      <c r="T108" s="16">
        <v>-0.336028200237665</v>
      </c>
      <c r="U108" s="16">
        <v>-0.405112623735801</v>
      </c>
      <c r="V108" s="16">
        <v>-0.611274296594416</v>
      </c>
      <c r="W108" s="35" t="s">
        <v>128</v>
      </c>
      <c r="X108" s="6">
        <v>-0.11</v>
      </c>
      <c r="Y108" s="6" t="s">
        <v>905</v>
      </c>
      <c r="Z108" s="6"/>
      <c r="AA108" s="6"/>
      <c r="AB108" s="6"/>
      <c r="AC108" s="6"/>
      <c r="AD108" s="6">
        <v>0.146067415730337</v>
      </c>
      <c r="AE108" s="6">
        <v>0.231460674157303</v>
      </c>
      <c r="AF108" s="4">
        <v>0.18625</v>
      </c>
      <c r="AG108" s="4">
        <v>0.125</v>
      </c>
      <c r="AH108" s="4">
        <v>0.45</v>
      </c>
    </row>
    <row r="109" s="6" customFormat="1" ht="15" hidden="1" spans="1:34">
      <c r="A109" s="58">
        <v>2018</v>
      </c>
      <c r="B109" s="4">
        <v>72.1</v>
      </c>
      <c r="C109" s="4">
        <v>34</v>
      </c>
      <c r="D109" s="4">
        <v>60</v>
      </c>
      <c r="E109" s="13">
        <v>98301000000</v>
      </c>
      <c r="F109" s="45" t="s">
        <v>498</v>
      </c>
      <c r="G109">
        <v>38.9051808406647</v>
      </c>
      <c r="H109" s="25">
        <v>25.7229067136032</v>
      </c>
      <c r="I109" s="17">
        <f>H109/G109</f>
        <v>0.661169185126033</v>
      </c>
      <c r="J109" s="4">
        <v>5.2</v>
      </c>
      <c r="K109" s="4">
        <v>4.67708526988275</v>
      </c>
      <c r="L109" s="4">
        <v>21.1231</v>
      </c>
      <c r="M109" s="4">
        <v>20.064</v>
      </c>
      <c r="N109" s="4"/>
      <c r="O109" s="4"/>
      <c r="P109" s="4"/>
      <c r="Q109" s="4">
        <v>47.35</v>
      </c>
      <c r="R109" s="4">
        <f>B109</f>
        <v>72.1</v>
      </c>
      <c r="S109" s="18">
        <f>B109/Q109-1</f>
        <v>0.522703273495248</v>
      </c>
      <c r="T109" s="16">
        <v>0.0893039597038737</v>
      </c>
      <c r="U109" s="14">
        <v>0.232711929732032</v>
      </c>
      <c r="V109" s="14">
        <v>-0.532509338643058</v>
      </c>
      <c r="W109" s="31" t="s">
        <v>498</v>
      </c>
      <c r="X109" s="4">
        <v>2.85</v>
      </c>
      <c r="Y109" s="4"/>
      <c r="Z109" s="4"/>
      <c r="AA109" s="4"/>
      <c r="AB109" s="4"/>
      <c r="AC109" s="4"/>
      <c r="AD109" s="4">
        <v>0.0755270677272376</v>
      </c>
      <c r="AE109" s="6">
        <v>0.10755013257137</v>
      </c>
      <c r="AF109" s="6">
        <v>2.08</v>
      </c>
      <c r="AG109" s="6">
        <v>1.86</v>
      </c>
      <c r="AH109" s="6">
        <v>1.36</v>
      </c>
    </row>
    <row r="110" ht="15" hidden="1" spans="1:34">
      <c r="A110" s="38">
        <v>3933</v>
      </c>
      <c r="B110" s="4">
        <v>4.48</v>
      </c>
      <c r="C110" s="4">
        <v>2.7</v>
      </c>
      <c r="D110" s="4">
        <v>6.56</v>
      </c>
      <c r="E110" s="13">
        <v>7240000000</v>
      </c>
      <c r="F110" s="59" t="s">
        <v>906</v>
      </c>
      <c r="G110">
        <v>39.7336226119448</v>
      </c>
      <c r="H110" s="49">
        <v>6.70081092616304</v>
      </c>
      <c r="I110" s="14">
        <f>H110/G110</f>
        <v>0.168643342481152</v>
      </c>
      <c r="J110" s="4">
        <v>0.73</v>
      </c>
      <c r="K110" s="4">
        <v>0.625841881670293</v>
      </c>
      <c r="L110" s="4">
        <v>44.5202</v>
      </c>
      <c r="M110" s="4">
        <v>44.543</v>
      </c>
      <c r="Q110" s="4">
        <v>2.95</v>
      </c>
      <c r="R110" s="61">
        <f>B110</f>
        <v>4.48</v>
      </c>
      <c r="S110" s="18">
        <f>B110/Q110-1</f>
        <v>0.51864406779661</v>
      </c>
      <c r="T110" s="14">
        <v>-0.337022491967155</v>
      </c>
      <c r="U110" s="14">
        <v>-0.397859922178988</v>
      </c>
      <c r="V110" s="14">
        <v>-0.746365105008078</v>
      </c>
      <c r="W110" s="31" t="s">
        <v>906</v>
      </c>
      <c r="X110" s="4">
        <v>-0.22</v>
      </c>
      <c r="AF110" s="4">
        <v>3.2</v>
      </c>
      <c r="AG110" s="4">
        <v>3.1</v>
      </c>
      <c r="AH110" s="4">
        <v>2.53</v>
      </c>
    </row>
    <row r="111" s="6" customFormat="1" ht="15" spans="1:34">
      <c r="A111" s="37">
        <v>1680</v>
      </c>
      <c r="B111" s="6">
        <v>1.48</v>
      </c>
      <c r="C111" s="6">
        <v>0.92</v>
      </c>
      <c r="D111" s="6">
        <v>4.96</v>
      </c>
      <c r="E111" s="15">
        <v>8732000000</v>
      </c>
      <c r="F111" s="47" t="s">
        <v>358</v>
      </c>
      <c r="G111">
        <v>39.8640928498406</v>
      </c>
      <c r="H111" s="27">
        <v>14.1943587986753</v>
      </c>
      <c r="I111" s="16">
        <f>H111/G111</f>
        <v>0.356068777286427</v>
      </c>
      <c r="J111" s="6">
        <v>0.86</v>
      </c>
      <c r="K111" s="6">
        <v>4.22119037568594</v>
      </c>
      <c r="L111" s="6">
        <v>13.2934</v>
      </c>
      <c r="M111" s="6">
        <v>13.137</v>
      </c>
      <c r="N111" s="6"/>
      <c r="O111" s="6"/>
      <c r="P111" s="6"/>
      <c r="Q111" s="6">
        <v>0.98</v>
      </c>
      <c r="R111" s="6">
        <f>B111</f>
        <v>1.48</v>
      </c>
      <c r="S111" s="19">
        <f>B111/Q111-1</f>
        <v>0.510204081632653</v>
      </c>
      <c r="T111" s="16">
        <v>0.282847635373601</v>
      </c>
      <c r="U111" s="14">
        <v>0.722914409534128</v>
      </c>
      <c r="V111" s="16">
        <v>0.62002829743751</v>
      </c>
      <c r="W111" s="31" t="s">
        <v>358</v>
      </c>
      <c r="X111" s="4">
        <v>2.07</v>
      </c>
      <c r="Y111" s="6" t="s">
        <v>907</v>
      </c>
      <c r="Z111" s="6"/>
      <c r="AA111" s="6"/>
      <c r="AB111" s="6"/>
      <c r="AC111" s="4"/>
      <c r="AD111" s="6">
        <v>0.0233644859813083</v>
      </c>
      <c r="AE111" s="4">
        <v>0.0934579439252335</v>
      </c>
      <c r="AF111" s="6">
        <v>1.05</v>
      </c>
      <c r="AG111" s="6">
        <v>1.2</v>
      </c>
      <c r="AH111" s="6">
        <v>0.9</v>
      </c>
    </row>
    <row r="112" ht="15" hidden="1" spans="1:34">
      <c r="A112" s="38">
        <v>2899</v>
      </c>
      <c r="B112" s="4">
        <v>2.59</v>
      </c>
      <c r="C112" s="4">
        <v>1.71</v>
      </c>
      <c r="D112" s="4">
        <v>3.63</v>
      </c>
      <c r="E112" s="13">
        <v>52129000000</v>
      </c>
      <c r="F112" s="45" t="s">
        <v>135</v>
      </c>
      <c r="G112">
        <v>35.5213102069766</v>
      </c>
      <c r="H112" s="28">
        <v>19.6888090963495</v>
      </c>
      <c r="I112" s="17">
        <f>H112/G112</f>
        <v>0.554281612407486</v>
      </c>
      <c r="J112" s="4">
        <v>1.13</v>
      </c>
      <c r="K112" s="4">
        <v>0.376117123419312</v>
      </c>
      <c r="L112" s="4">
        <v>12.9484</v>
      </c>
      <c r="M112" s="4">
        <v>12.694</v>
      </c>
      <c r="Q112" s="4">
        <v>1.72</v>
      </c>
      <c r="R112" s="4">
        <f>B112</f>
        <v>2.59</v>
      </c>
      <c r="S112" s="18">
        <f>B112/Q112-1</f>
        <v>0.505813953488372</v>
      </c>
      <c r="T112" s="16">
        <v>-0.354168354897671</v>
      </c>
      <c r="U112" s="14">
        <v>-0.307504416918487</v>
      </c>
      <c r="V112" s="16">
        <v>-0.651516841400848</v>
      </c>
      <c r="W112" s="31" t="s">
        <v>135</v>
      </c>
      <c r="X112" s="4">
        <v>-1.52</v>
      </c>
      <c r="Y112" s="6"/>
      <c r="Z112" s="6"/>
      <c r="AA112" s="6"/>
      <c r="AB112" s="6"/>
      <c r="AC112" s="6"/>
      <c r="AD112" s="4">
        <v>0.1</v>
      </c>
      <c r="AE112" s="4">
        <v>0.17</v>
      </c>
      <c r="AF112" s="4">
        <v>0.375</v>
      </c>
      <c r="AG112" s="4">
        <v>0.128</v>
      </c>
      <c r="AH112" s="4">
        <v>0.148</v>
      </c>
    </row>
    <row r="113" s="6" customFormat="1" ht="15" hidden="1" spans="1:34">
      <c r="A113" s="37">
        <v>2669</v>
      </c>
      <c r="B113" s="6">
        <v>1.4</v>
      </c>
      <c r="C113" s="6">
        <v>0.89</v>
      </c>
      <c r="D113" s="6">
        <v>1.86</v>
      </c>
      <c r="E113" s="6">
        <v>5259000000</v>
      </c>
      <c r="F113" s="53" t="s">
        <v>281</v>
      </c>
      <c r="G113">
        <v>44.2865897821606</v>
      </c>
      <c r="H113" s="23">
        <v>31.4233144959916</v>
      </c>
      <c r="I113" s="16">
        <f>H113/G113</f>
        <v>0.709544687241858</v>
      </c>
      <c r="J113" s="6">
        <v>0</v>
      </c>
      <c r="K113" s="6"/>
      <c r="L113" s="6"/>
      <c r="M113" s="6"/>
      <c r="N113" s="6"/>
      <c r="O113" s="6"/>
      <c r="P113" s="6"/>
      <c r="Q113" s="6">
        <v>0.93</v>
      </c>
      <c r="R113" s="6">
        <f>B113</f>
        <v>1.4</v>
      </c>
      <c r="S113" s="19">
        <f>B113/Q113-1</f>
        <v>0.505376344086021</v>
      </c>
      <c r="T113" s="14">
        <v>1.47212097684841</v>
      </c>
      <c r="U113" s="14">
        <v>8.53803605572248</v>
      </c>
      <c r="V113" s="14">
        <v>-0.709525698943977</v>
      </c>
      <c r="W113" s="31" t="s">
        <v>281</v>
      </c>
      <c r="X113" s="6">
        <v>-3.45</v>
      </c>
      <c r="Y113" s="4"/>
      <c r="Z113" s="4"/>
      <c r="AA113" s="6"/>
      <c r="AB113" s="6"/>
      <c r="AC113" s="4"/>
      <c r="AD113" s="4">
        <v>0</v>
      </c>
      <c r="AE113" s="4">
        <v>0</v>
      </c>
      <c r="AF113" s="6">
        <v>21.45</v>
      </c>
      <c r="AG113" s="6">
        <v>14.02</v>
      </c>
      <c r="AH113" s="6">
        <v>11.74</v>
      </c>
    </row>
    <row r="114" ht="15" hidden="1" spans="1:34">
      <c r="A114" s="48">
        <v>1385</v>
      </c>
      <c r="B114" s="6">
        <v>6.6</v>
      </c>
      <c r="C114" s="6">
        <v>4.18</v>
      </c>
      <c r="D114" s="6">
        <v>11.26</v>
      </c>
      <c r="E114" s="15">
        <v>4013000000</v>
      </c>
      <c r="F114" s="47" t="s">
        <v>517</v>
      </c>
      <c r="G114">
        <v>35.6043531457274</v>
      </c>
      <c r="H114" s="27">
        <v>12.1201928467317</v>
      </c>
      <c r="I114" s="16">
        <f>H114/G114</f>
        <v>0.340413229728516</v>
      </c>
      <c r="J114" s="6">
        <v>2.38</v>
      </c>
      <c r="K114" s="6">
        <v>2.46233916031106</v>
      </c>
      <c r="L114" s="6">
        <v>13.0508</v>
      </c>
      <c r="M114" s="6">
        <v>12.934</v>
      </c>
      <c r="N114" s="6"/>
      <c r="O114" s="6"/>
      <c r="P114" s="6"/>
      <c r="Q114" s="6">
        <v>4.4</v>
      </c>
      <c r="R114" s="6">
        <f>B114</f>
        <v>6.6</v>
      </c>
      <c r="S114" s="19">
        <f>B114/Q114-1</f>
        <v>0.5</v>
      </c>
      <c r="T114" s="16">
        <v>0</v>
      </c>
      <c r="U114" s="14">
        <v>0</v>
      </c>
      <c r="V114" s="14">
        <v>0</v>
      </c>
      <c r="W114" s="31" t="s">
        <v>517</v>
      </c>
      <c r="X114" s="4">
        <v>0.15</v>
      </c>
      <c r="Y114" s="6"/>
      <c r="Z114" s="6"/>
      <c r="AA114" s="6"/>
      <c r="AB114" s="6"/>
      <c r="AD114" s="4">
        <v>0.30989010989011</v>
      </c>
      <c r="AE114" s="4">
        <v>0.463736263736264</v>
      </c>
      <c r="AF114" s="4">
        <v>0.1</v>
      </c>
      <c r="AG114" s="4">
        <v>0.083</v>
      </c>
      <c r="AH114" s="4">
        <v>0.093</v>
      </c>
    </row>
    <row r="115" ht="15" spans="1:34">
      <c r="A115" s="22">
        <v>1049</v>
      </c>
      <c r="B115" s="6">
        <v>0.6</v>
      </c>
      <c r="C115" s="6">
        <v>0.4</v>
      </c>
      <c r="D115" s="6">
        <v>1.99</v>
      </c>
      <c r="E115" s="67">
        <v>515000000</v>
      </c>
      <c r="F115" s="53" t="s">
        <v>440</v>
      </c>
      <c r="G115">
        <v>35.8316221765914</v>
      </c>
      <c r="H115" s="27">
        <v>41.6631250885395</v>
      </c>
      <c r="I115" s="16">
        <f>H115/G115</f>
        <v>1.16274738785781</v>
      </c>
      <c r="J115" s="6">
        <v>0.71</v>
      </c>
      <c r="K115" s="6">
        <v>0.128690151327214</v>
      </c>
      <c r="L115" s="6">
        <v>142.4265</v>
      </c>
      <c r="M115" s="6">
        <v>117.647</v>
      </c>
      <c r="N115" s="6"/>
      <c r="O115" s="6"/>
      <c r="P115" s="6"/>
      <c r="Q115" s="6">
        <v>0.4</v>
      </c>
      <c r="R115" s="4">
        <f>B115</f>
        <v>0.6</v>
      </c>
      <c r="S115" s="19">
        <f>B115/Q115-1</f>
        <v>0.5</v>
      </c>
      <c r="T115" s="14">
        <v>-0.124523727052303</v>
      </c>
      <c r="U115" s="14">
        <v>-0.524011299435028</v>
      </c>
      <c r="V115" s="16">
        <v>-0.928783382789317</v>
      </c>
      <c r="W115" s="31" t="s">
        <v>440</v>
      </c>
      <c r="X115" s="6">
        <v>3.45</v>
      </c>
      <c r="Y115" s="61" t="s">
        <v>908</v>
      </c>
      <c r="Z115" s="4"/>
      <c r="AA115" s="4"/>
      <c r="AB115" s="4"/>
      <c r="AC115" s="4"/>
      <c r="AD115" s="6">
        <v>0.333327066255546</v>
      </c>
      <c r="AE115" s="4">
        <v>0.50723847484395</v>
      </c>
      <c r="AF115" s="4">
        <v>0.234</v>
      </c>
      <c r="AG115" s="4">
        <v>0.158</v>
      </c>
      <c r="AH115" s="4">
        <v>0.092</v>
      </c>
    </row>
    <row r="116" s="6" customFormat="1" ht="15" hidden="1" spans="1:34">
      <c r="A116" s="38">
        <v>2238</v>
      </c>
      <c r="B116" s="4">
        <v>9.35</v>
      </c>
      <c r="C116" s="4">
        <v>4.71</v>
      </c>
      <c r="D116" s="4">
        <v>9.7</v>
      </c>
      <c r="E116" s="13">
        <v>70528000000</v>
      </c>
      <c r="F116" s="46" t="s">
        <v>216</v>
      </c>
      <c r="G116">
        <v>34.119507213914</v>
      </c>
      <c r="H116" s="23">
        <v>29.6176279974077</v>
      </c>
      <c r="I116" s="17">
        <f>H116/G116</f>
        <v>0.868055561638638</v>
      </c>
      <c r="J116" s="4">
        <v>0.93</v>
      </c>
      <c r="K116" s="4">
        <v>1.37743279457345</v>
      </c>
      <c r="L116" s="4">
        <v>10.1142</v>
      </c>
      <c r="M116" s="4">
        <v>10.115</v>
      </c>
      <c r="N116" s="4"/>
      <c r="O116" s="4"/>
      <c r="P116" s="4"/>
      <c r="Q116" s="4">
        <v>6.26</v>
      </c>
      <c r="R116" s="4">
        <f>B116</f>
        <v>9.35</v>
      </c>
      <c r="S116" s="18">
        <f>B116/Q116-1</f>
        <v>0.493610223642172</v>
      </c>
      <c r="T116" s="14">
        <v>0.14467297675986</v>
      </c>
      <c r="U116" s="14">
        <v>0.0542714169811218</v>
      </c>
      <c r="V116" s="16">
        <v>-0.403613093823921</v>
      </c>
      <c r="W116" s="31" t="s">
        <v>216</v>
      </c>
      <c r="X116" s="4">
        <v>1.41</v>
      </c>
      <c r="Y116" s="4"/>
      <c r="Z116" s="4"/>
      <c r="AA116" s="4"/>
      <c r="AB116" s="4"/>
      <c r="AC116" s="4"/>
      <c r="AD116" s="6">
        <v>0.0358126721763086</v>
      </c>
      <c r="AE116" s="6">
        <v>0.113808539944904</v>
      </c>
      <c r="AH116" s="6">
        <v>1.36</v>
      </c>
    </row>
    <row r="117" ht="15" hidden="1" spans="1:34">
      <c r="A117" s="38">
        <v>1718</v>
      </c>
      <c r="B117" s="4">
        <v>1.07</v>
      </c>
      <c r="C117" s="4">
        <v>0.46</v>
      </c>
      <c r="D117" s="4">
        <v>1.22</v>
      </c>
      <c r="E117" s="13">
        <v>856000000</v>
      </c>
      <c r="F117" s="45" t="s">
        <v>355</v>
      </c>
      <c r="G117">
        <v>57.0095868621298</v>
      </c>
      <c r="H117" s="28">
        <v>15.8882836945185</v>
      </c>
      <c r="I117" s="17">
        <f>H117/G117</f>
        <v>0.278694945342127</v>
      </c>
      <c r="J117" s="4">
        <v>2.23</v>
      </c>
      <c r="K117" s="4">
        <v>1.32654915500636</v>
      </c>
      <c r="L117" s="4">
        <v>9.2903</v>
      </c>
      <c r="M117" s="4"/>
      <c r="N117" s="4"/>
      <c r="O117" s="4"/>
      <c r="P117" s="4"/>
      <c r="Q117" s="4">
        <v>0.72</v>
      </c>
      <c r="R117" s="4">
        <f>B117</f>
        <v>1.07</v>
      </c>
      <c r="S117" s="18">
        <f>B117/Q117-1</f>
        <v>0.486111111111111</v>
      </c>
      <c r="T117" s="14">
        <v>0.00746268656716418</v>
      </c>
      <c r="U117" s="14">
        <v>-0.176829268292683</v>
      </c>
      <c r="V117" s="14">
        <v>0.0666666666666667</v>
      </c>
      <c r="W117" s="5" t="s">
        <v>355</v>
      </c>
      <c r="X117" s="6">
        <v>-0.93</v>
      </c>
      <c r="Y117" s="4"/>
      <c r="Z117" s="4"/>
      <c r="AA117" s="6"/>
      <c r="AB117" s="6"/>
      <c r="AC117" s="4"/>
      <c r="AD117" s="6">
        <v>0</v>
      </c>
      <c r="AE117" s="4">
        <v>0</v>
      </c>
      <c r="AF117" s="4">
        <v>54.4</v>
      </c>
      <c r="AG117" s="4">
        <v>0.265</v>
      </c>
      <c r="AH117" s="4">
        <v>0.193</v>
      </c>
    </row>
    <row r="118" ht="15" hidden="1" spans="1:34">
      <c r="A118" s="37">
        <v>3699</v>
      </c>
      <c r="B118" s="6">
        <v>52.5</v>
      </c>
      <c r="C118" s="6">
        <v>35</v>
      </c>
      <c r="D118" s="6">
        <v>78</v>
      </c>
      <c r="E118" s="15">
        <v>0</v>
      </c>
      <c r="F118" s="47" t="s">
        <v>702</v>
      </c>
      <c r="G118">
        <v>40.7618032107103</v>
      </c>
      <c r="H118" s="27">
        <v>2.7643613194944</v>
      </c>
      <c r="I118" s="16">
        <f>H118/G118</f>
        <v>0.0678174443167926</v>
      </c>
      <c r="J118" s="6">
        <v>0.84</v>
      </c>
      <c r="K118" s="16">
        <v>2.07101014904637</v>
      </c>
      <c r="L118" s="6">
        <v>5.357</v>
      </c>
      <c r="M118" s="6">
        <v>4.345</v>
      </c>
      <c r="N118" s="6"/>
      <c r="O118" s="6"/>
      <c r="P118" s="6"/>
      <c r="Q118" s="6">
        <v>35.35</v>
      </c>
      <c r="R118" s="6">
        <f>B118</f>
        <v>52.5</v>
      </c>
      <c r="S118" s="19">
        <f>B118/Q118-1</f>
        <v>0.485148514851485</v>
      </c>
      <c r="T118" s="14">
        <v>0</v>
      </c>
      <c r="U118" s="16">
        <v>0</v>
      </c>
      <c r="V118" s="14">
        <v>0</v>
      </c>
      <c r="W118" s="31" t="s">
        <v>702</v>
      </c>
      <c r="X118" s="6">
        <v>0</v>
      </c>
      <c r="Y118" s="4"/>
      <c r="Z118" s="4"/>
      <c r="AA118" s="6"/>
      <c r="AB118" s="6"/>
      <c r="AC118" s="6"/>
      <c r="AD118" s="4">
        <v>0.0960396039603961</v>
      </c>
      <c r="AE118" s="4">
        <v>0.189108910891089</v>
      </c>
      <c r="AF118" s="4">
        <v>3.95</v>
      </c>
      <c r="AG118" s="4">
        <v>3.11</v>
      </c>
      <c r="AH118" s="4">
        <v>4.31</v>
      </c>
    </row>
    <row r="119" ht="15" hidden="1" spans="1:34">
      <c r="A119" s="38">
        <v>8141</v>
      </c>
      <c r="B119" s="4">
        <v>0.49</v>
      </c>
      <c r="C119" s="4">
        <v>0.26</v>
      </c>
      <c r="D119" s="4">
        <v>6.6</v>
      </c>
      <c r="E119" s="13">
        <v>306000000</v>
      </c>
      <c r="F119" s="45" t="s">
        <v>321</v>
      </c>
      <c r="G119">
        <v>48.9795918367347</v>
      </c>
      <c r="H119" s="28">
        <v>14.2857142857143</v>
      </c>
      <c r="I119" s="14">
        <f>H119/G119</f>
        <v>0.291666666666667</v>
      </c>
      <c r="J119" s="4">
        <v>2.39</v>
      </c>
      <c r="K119" s="14">
        <v>0.704521556256572</v>
      </c>
      <c r="L119" s="4">
        <v>16.861</v>
      </c>
      <c r="M119" s="4"/>
      <c r="N119" s="4"/>
      <c r="O119" s="4"/>
      <c r="P119" s="4"/>
      <c r="Q119" s="4">
        <v>0.33</v>
      </c>
      <c r="R119" s="4">
        <f>B119</f>
        <v>0.49</v>
      </c>
      <c r="S119" s="18">
        <f>B119/Q119-1</f>
        <v>0.484848484848485</v>
      </c>
      <c r="T119" s="16">
        <v>0</v>
      </c>
      <c r="U119" s="14">
        <v>0</v>
      </c>
      <c r="V119" s="14">
        <v>0</v>
      </c>
      <c r="W119" s="31" t="s">
        <v>321</v>
      </c>
      <c r="X119" s="4">
        <v>-3.92</v>
      </c>
      <c r="Y119" s="4"/>
      <c r="Z119" s="4"/>
      <c r="AA119" s="6"/>
      <c r="AB119" s="6"/>
      <c r="AC119" s="6"/>
      <c r="AD119" s="6">
        <v>0</v>
      </c>
      <c r="AE119" s="4">
        <v>0.264855687606112</v>
      </c>
      <c r="AF119" s="4">
        <v>0.30745</v>
      </c>
      <c r="AG119" s="4">
        <v>0.29281</v>
      </c>
      <c r="AH119" s="4">
        <v>0.42</v>
      </c>
    </row>
    <row r="120" ht="15" spans="1:34">
      <c r="A120" s="37">
        <v>6881</v>
      </c>
      <c r="B120" s="6">
        <v>7.74</v>
      </c>
      <c r="C120" s="6">
        <v>4.72</v>
      </c>
      <c r="D120" s="6">
        <v>14.12</v>
      </c>
      <c r="E120" s="15">
        <v>70099000000</v>
      </c>
      <c r="F120" s="47" t="s">
        <v>141</v>
      </c>
      <c r="G120">
        <v>34.6234309623431</v>
      </c>
      <c r="H120" s="26">
        <v>7.23860589812332</v>
      </c>
      <c r="I120" s="16">
        <f>H120/G120</f>
        <v>0.209066683945798</v>
      </c>
      <c r="J120" s="6">
        <v>0.76</v>
      </c>
      <c r="K120" s="16">
        <v>1.16713904528855</v>
      </c>
      <c r="L120" s="6">
        <v>10.8219</v>
      </c>
      <c r="M120" s="6">
        <v>8.377</v>
      </c>
      <c r="N120" s="6"/>
      <c r="O120" s="6"/>
      <c r="P120" s="6"/>
      <c r="Q120" s="6">
        <v>5.24</v>
      </c>
      <c r="R120" s="6">
        <f>B120</f>
        <v>7.74</v>
      </c>
      <c r="S120" s="19">
        <f>B120/Q120-1</f>
        <v>0.477099236641221</v>
      </c>
      <c r="T120" s="14">
        <v>-0.387414591832245</v>
      </c>
      <c r="U120" s="14">
        <v>-0.488798806548874</v>
      </c>
      <c r="V120" s="16">
        <v>-0.0673906886828463</v>
      </c>
      <c r="W120" s="31" t="s">
        <v>141</v>
      </c>
      <c r="X120" s="6">
        <v>0.52</v>
      </c>
      <c r="Y120" s="61" t="s">
        <v>909</v>
      </c>
      <c r="Z120" s="4"/>
      <c r="AA120" s="6"/>
      <c r="AB120" s="6"/>
      <c r="AC120" s="6"/>
      <c r="AD120" s="4">
        <v>0.239024390243902</v>
      </c>
      <c r="AE120" s="6">
        <v>0.375609756097561</v>
      </c>
      <c r="AH120" s="4">
        <v>3.83</v>
      </c>
    </row>
    <row r="121" ht="15" spans="1:34">
      <c r="A121" s="65">
        <v>400</v>
      </c>
      <c r="B121" s="6">
        <v>11.82</v>
      </c>
      <c r="C121" s="6">
        <v>3.23</v>
      </c>
      <c r="D121" s="6">
        <v>16.8</v>
      </c>
      <c r="E121" s="15">
        <v>18577000000</v>
      </c>
      <c r="F121" s="53" t="s">
        <v>559</v>
      </c>
      <c r="G121">
        <v>34.0108222251551</v>
      </c>
      <c r="H121" s="27">
        <v>14.038088721633</v>
      </c>
      <c r="I121" s="16">
        <f>H121/G121</f>
        <v>0.412753582630242</v>
      </c>
      <c r="J121" s="6">
        <v>5.46</v>
      </c>
      <c r="K121" s="6">
        <v>1.0376378995047</v>
      </c>
      <c r="L121" s="6">
        <v>46.4143</v>
      </c>
      <c r="M121" s="6">
        <v>38.263</v>
      </c>
      <c r="N121" s="6"/>
      <c r="O121" s="6"/>
      <c r="P121" s="6"/>
      <c r="Q121" s="6">
        <v>8.02</v>
      </c>
      <c r="R121" s="4">
        <f>B121</f>
        <v>11.82</v>
      </c>
      <c r="S121" s="19">
        <f>B121/Q121-1</f>
        <v>0.473815461346633</v>
      </c>
      <c r="T121" s="14">
        <v>0.599506631232277</v>
      </c>
      <c r="U121" s="14">
        <v>1.34245810055866</v>
      </c>
      <c r="V121" s="14">
        <v>-0.788349153350823</v>
      </c>
      <c r="W121" s="5" t="s">
        <v>559</v>
      </c>
      <c r="X121" s="6">
        <v>-0.34</v>
      </c>
      <c r="Y121" s="61" t="s">
        <v>910</v>
      </c>
      <c r="Z121" s="4">
        <v>1</v>
      </c>
      <c r="AA121" s="4">
        <v>1000</v>
      </c>
      <c r="AB121" s="4">
        <v>20</v>
      </c>
      <c r="AC121" s="6"/>
      <c r="AD121" s="6">
        <v>0.608961303462322</v>
      </c>
      <c r="AE121" s="6">
        <v>0.857433808553971</v>
      </c>
      <c r="AF121" s="4">
        <v>0.3</v>
      </c>
      <c r="AG121" s="4">
        <v>0.31</v>
      </c>
      <c r="AH121" s="4">
        <v>1.17</v>
      </c>
    </row>
    <row r="122" ht="15" spans="1:34">
      <c r="A122" s="37">
        <v>1157</v>
      </c>
      <c r="B122" s="6">
        <v>3.25</v>
      </c>
      <c r="C122" s="6">
        <v>2.2</v>
      </c>
      <c r="D122" s="6">
        <v>6.88</v>
      </c>
      <c r="E122" s="15">
        <v>22303000000</v>
      </c>
      <c r="F122" s="53" t="s">
        <v>57</v>
      </c>
      <c r="G122">
        <v>40.0011999760005</v>
      </c>
      <c r="H122" s="27">
        <v>5.2299273913501</v>
      </c>
      <c r="I122" s="16">
        <f>H122/G122</f>
        <v>0.130744262534321</v>
      </c>
      <c r="J122" s="6">
        <v>0.36</v>
      </c>
      <c r="K122" s="6">
        <v>0.660213664948387</v>
      </c>
      <c r="L122" s="6">
        <v>23.5268</v>
      </c>
      <c r="M122" s="6">
        <v>22.925</v>
      </c>
      <c r="N122" s="6"/>
      <c r="O122" s="6"/>
      <c r="P122" s="6"/>
      <c r="Q122" s="6">
        <v>2.21</v>
      </c>
      <c r="R122" s="6">
        <f>B122</f>
        <v>3.25</v>
      </c>
      <c r="S122" s="19">
        <f>B122/Q122-1</f>
        <v>0.470588235294118</v>
      </c>
      <c r="T122" s="16">
        <v>-0.553632528319437</v>
      </c>
      <c r="U122" s="14">
        <v>-0.535679439959021</v>
      </c>
      <c r="V122" s="14">
        <v>-0.192007144451887</v>
      </c>
      <c r="W122" s="31" t="s">
        <v>57</v>
      </c>
      <c r="X122" s="4">
        <v>0.93</v>
      </c>
      <c r="Y122" s="61" t="s">
        <v>911</v>
      </c>
      <c r="Z122" s="4"/>
      <c r="AA122" s="4"/>
      <c r="AB122" s="4"/>
      <c r="AC122" s="4"/>
      <c r="AD122" s="4">
        <v>0.14985590778098</v>
      </c>
      <c r="AE122" s="4">
        <v>0.30835734870317</v>
      </c>
      <c r="AH122" s="4">
        <v>4.1</v>
      </c>
    </row>
    <row r="123" ht="15" spans="1:34">
      <c r="A123" s="41">
        <v>2196</v>
      </c>
      <c r="B123" s="6">
        <v>24.05</v>
      </c>
      <c r="C123" s="6">
        <v>16.32</v>
      </c>
      <c r="D123" s="6">
        <v>35.15</v>
      </c>
      <c r="E123" s="15">
        <v>55885000000</v>
      </c>
      <c r="F123" s="53" t="s">
        <v>575</v>
      </c>
      <c r="G123">
        <v>32.1435841758838</v>
      </c>
      <c r="H123" s="23">
        <v>12.4732875941964</v>
      </c>
      <c r="I123" s="16">
        <f>H123/G123</f>
        <v>0.388049059057783</v>
      </c>
      <c r="J123" s="6">
        <v>1.84</v>
      </c>
      <c r="K123" s="6">
        <v>2.60600212237156</v>
      </c>
      <c r="L123" s="6">
        <v>14.7152</v>
      </c>
      <c r="M123" s="6">
        <v>14.227</v>
      </c>
      <c r="N123" s="6"/>
      <c r="O123" s="6"/>
      <c r="P123" s="6"/>
      <c r="Q123" s="6">
        <v>16.38</v>
      </c>
      <c r="R123" s="6">
        <f>B123</f>
        <v>24.05</v>
      </c>
      <c r="S123" s="19">
        <f>B123/Q123-1</f>
        <v>0.468253968253968</v>
      </c>
      <c r="T123" s="14">
        <v>0.246688934633161</v>
      </c>
      <c r="U123" s="14">
        <v>0.229474288997415</v>
      </c>
      <c r="V123" s="14">
        <v>-0.231776251226693</v>
      </c>
      <c r="W123" s="31" t="s">
        <v>575</v>
      </c>
      <c r="X123" s="6">
        <v>0.84</v>
      </c>
      <c r="Y123" s="61" t="s">
        <v>894</v>
      </c>
      <c r="AD123" s="4">
        <v>0.166344294003869</v>
      </c>
      <c r="AE123" s="4">
        <v>0.264023210831722</v>
      </c>
      <c r="AF123" s="4">
        <v>7.587</v>
      </c>
      <c r="AG123" s="4">
        <v>15.375</v>
      </c>
      <c r="AH123" s="4">
        <v>7.38</v>
      </c>
    </row>
    <row r="124" ht="15" hidden="1" spans="1:34">
      <c r="A124" s="65">
        <v>354</v>
      </c>
      <c r="B124" s="6">
        <v>3.64</v>
      </c>
      <c r="C124" s="6">
        <v>2.12</v>
      </c>
      <c r="D124" s="6">
        <v>5.79</v>
      </c>
      <c r="E124" s="15">
        <v>8228000000</v>
      </c>
      <c r="F124" s="53" t="s">
        <v>682</v>
      </c>
      <c r="G124">
        <v>32.6916604967355</v>
      </c>
      <c r="H124" s="27">
        <v>9.06314756243865</v>
      </c>
      <c r="I124" s="16">
        <f>H124/G124</f>
        <v>0.277231178371734</v>
      </c>
      <c r="J124" s="6">
        <v>1.47</v>
      </c>
      <c r="K124" s="6">
        <v>0.879316015719318</v>
      </c>
      <c r="L124" s="6">
        <v>21.4012</v>
      </c>
      <c r="M124" s="6">
        <v>18.582</v>
      </c>
      <c r="N124" s="6"/>
      <c r="O124" s="6"/>
      <c r="P124" s="6"/>
      <c r="Q124" s="22">
        <v>2.49</v>
      </c>
      <c r="R124" s="43">
        <f>B124</f>
        <v>3.64</v>
      </c>
      <c r="S124" s="19">
        <f>B124/Q124-1</f>
        <v>0.461847389558233</v>
      </c>
      <c r="T124" s="16">
        <v>-0.185276251809045</v>
      </c>
      <c r="U124" s="14">
        <v>-0.180057453885697</v>
      </c>
      <c r="V124" s="14">
        <v>-0.402341465213623</v>
      </c>
      <c r="W124" s="5" t="s">
        <v>682</v>
      </c>
      <c r="X124" s="4">
        <v>-1.36</v>
      </c>
      <c r="Z124" s="4">
        <v>1</v>
      </c>
      <c r="AA124" s="4">
        <v>6000</v>
      </c>
      <c r="AB124" s="4">
        <v>5</v>
      </c>
      <c r="AD124" s="6">
        <v>0</v>
      </c>
      <c r="AE124" s="4">
        <v>0.0473537604456824</v>
      </c>
      <c r="AF124" s="4">
        <v>16.34655</v>
      </c>
      <c r="AG124" s="4">
        <v>19.3</v>
      </c>
      <c r="AH124" s="4">
        <v>15.14</v>
      </c>
    </row>
    <row r="125" ht="15" hidden="1" spans="1:34">
      <c r="A125" s="41">
        <v>700</v>
      </c>
      <c r="B125" s="6">
        <v>194</v>
      </c>
      <c r="C125" s="6">
        <v>104.5</v>
      </c>
      <c r="D125" s="6">
        <v>171</v>
      </c>
      <c r="E125" s="15">
        <v>2027746000000</v>
      </c>
      <c r="F125" s="66" t="s">
        <v>543</v>
      </c>
      <c r="G125">
        <v>31.9079395342503</v>
      </c>
      <c r="H125" s="27">
        <v>13.8174368313226</v>
      </c>
      <c r="I125" s="16">
        <f>H125/G125</f>
        <v>0.433040711277856</v>
      </c>
      <c r="J125" s="6">
        <v>10.11</v>
      </c>
      <c r="K125" s="6">
        <v>10.7986417011662</v>
      </c>
      <c r="L125" s="6">
        <v>42.0416</v>
      </c>
      <c r="M125" s="6">
        <v>41.269</v>
      </c>
      <c r="N125" s="6"/>
      <c r="O125" s="6"/>
      <c r="P125" s="6"/>
      <c r="Q125" s="37">
        <v>133.1</v>
      </c>
      <c r="R125" s="6">
        <f>B125</f>
        <v>194</v>
      </c>
      <c r="S125" s="19">
        <f>B125/Q125-1</f>
        <v>0.457550713749061</v>
      </c>
      <c r="T125" s="16">
        <v>-0.250142333039873</v>
      </c>
      <c r="U125" s="16">
        <v>-0.120216620614149</v>
      </c>
      <c r="V125" s="16">
        <v>-0.30783723824268</v>
      </c>
      <c r="W125" s="35" t="s">
        <v>543</v>
      </c>
      <c r="X125" s="6">
        <v>-1.47</v>
      </c>
      <c r="Y125" s="6"/>
      <c r="Z125" s="6"/>
      <c r="AA125" s="6"/>
      <c r="AB125" s="6"/>
      <c r="AC125" s="6"/>
      <c r="AD125" s="6">
        <v>0.0830860534124628</v>
      </c>
      <c r="AE125" s="6">
        <v>0.11646884272997</v>
      </c>
      <c r="AF125" s="4">
        <v>1.08</v>
      </c>
      <c r="AG125" s="4">
        <v>1.07</v>
      </c>
      <c r="AH125" s="4">
        <v>1.16</v>
      </c>
    </row>
    <row r="126" ht="15" hidden="1" spans="1:34">
      <c r="A126" s="38">
        <v>8022</v>
      </c>
      <c r="B126" s="4">
        <v>0.51</v>
      </c>
      <c r="C126" s="4">
        <v>0.152</v>
      </c>
      <c r="D126" s="4">
        <v>0.55</v>
      </c>
      <c r="E126" s="13">
        <v>631100000</v>
      </c>
      <c r="F126" s="46" t="s">
        <v>912</v>
      </c>
      <c r="G126">
        <v>69.0191461676684</v>
      </c>
      <c r="H126" s="28">
        <v>1.95758564437194</v>
      </c>
      <c r="I126" s="14">
        <f>H126/G126</f>
        <v>0.0283629362730216</v>
      </c>
      <c r="J126" s="4">
        <v>2.5</v>
      </c>
      <c r="K126" s="4">
        <v>17.6744186046511</v>
      </c>
      <c r="Q126" s="4">
        <v>0.35</v>
      </c>
      <c r="R126" s="4">
        <f>B126</f>
        <v>0.51</v>
      </c>
      <c r="S126" s="18">
        <f>B126/Q126-1</f>
        <v>0.457142857142857</v>
      </c>
      <c r="T126" s="14">
        <v>0.00845981587459567</v>
      </c>
      <c r="U126" s="14">
        <v>-0.187775551102204</v>
      </c>
      <c r="V126" s="14">
        <v>-0.321243523316062</v>
      </c>
      <c r="W126" s="31" t="s">
        <v>912</v>
      </c>
      <c r="X126" s="4">
        <v>-1.92</v>
      </c>
      <c r="AF126" s="4">
        <v>27.893</v>
      </c>
      <c r="AG126" s="4">
        <v>27.109</v>
      </c>
      <c r="AH126" s="4">
        <v>21.55</v>
      </c>
    </row>
    <row r="127" s="6" customFormat="1" ht="15" hidden="1" spans="1:34">
      <c r="A127" s="65">
        <v>665</v>
      </c>
      <c r="B127" s="6">
        <v>5.23</v>
      </c>
      <c r="C127" s="6">
        <v>2.71</v>
      </c>
      <c r="D127" s="6">
        <v>9.2</v>
      </c>
      <c r="E127" s="15">
        <v>27167000000</v>
      </c>
      <c r="F127" s="53" t="s">
        <v>547</v>
      </c>
      <c r="G127">
        <v>34.4176285414481</v>
      </c>
      <c r="H127" s="23">
        <v>9.93843447669305</v>
      </c>
      <c r="I127" s="16">
        <f>H127/G127</f>
        <v>0.288760001716112</v>
      </c>
      <c r="J127" s="6">
        <v>0.92</v>
      </c>
      <c r="K127" s="6">
        <v>2.29035833025489</v>
      </c>
      <c r="L127" s="6">
        <v>19.3254</v>
      </c>
      <c r="M127" s="6">
        <v>9.706</v>
      </c>
      <c r="N127" s="6"/>
      <c r="O127" s="6"/>
      <c r="P127" s="6"/>
      <c r="Q127" s="6">
        <v>3.6</v>
      </c>
      <c r="R127" s="6">
        <f>B127</f>
        <v>5.23</v>
      </c>
      <c r="S127" s="19">
        <f>B127/Q127-1</f>
        <v>0.452777777777778</v>
      </c>
      <c r="T127" s="16">
        <v>0.158647410865405</v>
      </c>
      <c r="U127" s="16">
        <v>0.272376908779474</v>
      </c>
      <c r="V127" s="16">
        <v>-0.656644993591167</v>
      </c>
      <c r="W127" s="35" t="s">
        <v>547</v>
      </c>
      <c r="X127" s="6">
        <v>-0.38</v>
      </c>
      <c r="Y127" s="6"/>
      <c r="Z127" s="6"/>
      <c r="AA127" s="6"/>
      <c r="AB127" s="6"/>
      <c r="AC127" s="6"/>
      <c r="AD127" s="6">
        <v>0.318679573754305</v>
      </c>
      <c r="AE127" s="6">
        <v>0.414836029367185</v>
      </c>
      <c r="AF127" s="6">
        <v>4.54171</v>
      </c>
      <c r="AG127" s="6">
        <v>3.5</v>
      </c>
      <c r="AH127" s="6">
        <v>4.8</v>
      </c>
    </row>
    <row r="128" ht="15" hidden="1" spans="1:34">
      <c r="A128" s="38">
        <v>606</v>
      </c>
      <c r="B128" s="4">
        <v>3.02</v>
      </c>
      <c r="C128" s="4">
        <v>2.04</v>
      </c>
      <c r="D128" s="4">
        <v>5.15</v>
      </c>
      <c r="E128" s="13">
        <v>16432000000</v>
      </c>
      <c r="F128" s="47" t="s">
        <v>473</v>
      </c>
      <c r="G128">
        <v>33.4442595673877</v>
      </c>
      <c r="H128" s="28">
        <v>5.63008344776592</v>
      </c>
      <c r="I128" s="17">
        <f>H128/G128</f>
        <v>0.168342296124742</v>
      </c>
      <c r="J128" s="4">
        <v>0.4</v>
      </c>
      <c r="K128" s="4">
        <v>0.140701791470697</v>
      </c>
      <c r="Q128" s="4">
        <v>2.08</v>
      </c>
      <c r="R128" s="4">
        <f>B128</f>
        <v>3.02</v>
      </c>
      <c r="S128" s="18">
        <f>B128/Q128-1</f>
        <v>0.451923076923077</v>
      </c>
      <c r="T128" s="14">
        <v>-0.301179480508217</v>
      </c>
      <c r="U128" s="14">
        <v>-0.228646643532368</v>
      </c>
      <c r="V128" s="14">
        <v>-0.365920076944556</v>
      </c>
      <c r="W128" s="62" t="s">
        <v>473</v>
      </c>
      <c r="X128" s="4">
        <v>-1.31</v>
      </c>
      <c r="AA128" s="6"/>
      <c r="AB128" s="6"/>
      <c r="AD128" s="4">
        <v>0.153846153846154</v>
      </c>
      <c r="AE128" s="4">
        <v>0.254180602006689</v>
      </c>
      <c r="AF128" s="4">
        <v>0.54574</v>
      </c>
      <c r="AG128" s="4">
        <v>0.29897</v>
      </c>
      <c r="AH128" s="4">
        <v>0.158</v>
      </c>
    </row>
    <row r="129" s="6" customFormat="1" ht="15" spans="1:34">
      <c r="A129" s="4">
        <v>1030</v>
      </c>
      <c r="B129" s="4">
        <v>1.45</v>
      </c>
      <c r="C129" s="4">
        <v>0.62</v>
      </c>
      <c r="D129" s="4">
        <v>1.87</v>
      </c>
      <c r="E129" s="13">
        <v>7978000000</v>
      </c>
      <c r="F129" s="45" t="s">
        <v>533</v>
      </c>
      <c r="G129">
        <v>40.6880189798339</v>
      </c>
      <c r="H129" s="25">
        <v>12.410071942446</v>
      </c>
      <c r="I129" s="17">
        <f>H129/G129</f>
        <v>0.305005558235627</v>
      </c>
      <c r="J129" s="4">
        <v>0.6</v>
      </c>
      <c r="K129" s="4">
        <v>0.256978738185672</v>
      </c>
      <c r="L129" s="4">
        <v>4.4115</v>
      </c>
      <c r="M129" s="4">
        <v>4.419</v>
      </c>
      <c r="N129" s="4"/>
      <c r="O129" s="4"/>
      <c r="P129" s="4"/>
      <c r="Q129" s="4">
        <v>1</v>
      </c>
      <c r="R129" s="4">
        <f>B129</f>
        <v>1.45</v>
      </c>
      <c r="S129" s="18">
        <f>B129/Q129-1</f>
        <v>0.45</v>
      </c>
      <c r="T129" s="16">
        <v>-0.13801949717804</v>
      </c>
      <c r="U129" s="14">
        <v>-0.488817891373802</v>
      </c>
      <c r="V129" s="16">
        <v>-0.335714285714286</v>
      </c>
      <c r="W129" s="31" t="s">
        <v>533</v>
      </c>
      <c r="X129" s="6">
        <v>2.11</v>
      </c>
      <c r="Y129" s="6" t="s">
        <v>913</v>
      </c>
      <c r="Z129" s="6"/>
      <c r="AA129" s="6"/>
      <c r="AB129" s="6"/>
      <c r="AC129" s="4"/>
      <c r="AD129" s="6">
        <v>0.195652173913044</v>
      </c>
      <c r="AE129" s="4">
        <v>0.456521739130435</v>
      </c>
      <c r="AF129" s="6">
        <v>62.12</v>
      </c>
      <c r="AG129" s="6">
        <v>55.97</v>
      </c>
      <c r="AH129" s="6">
        <v>70.06</v>
      </c>
    </row>
    <row r="130" ht="15" spans="1:34">
      <c r="A130" s="38">
        <v>136</v>
      </c>
      <c r="B130" s="4">
        <v>0.63</v>
      </c>
      <c r="C130" s="4">
        <v>0.09</v>
      </c>
      <c r="D130" s="4">
        <v>0.71</v>
      </c>
      <c r="E130" s="13">
        <v>38268000000</v>
      </c>
      <c r="F130" s="46" t="s">
        <v>461</v>
      </c>
      <c r="G130">
        <v>54.7613662067406</v>
      </c>
      <c r="H130" s="51">
        <v>3.17787866281469</v>
      </c>
      <c r="I130" s="17">
        <f>H130/G130</f>
        <v>0.0580313984646995</v>
      </c>
      <c r="J130" s="4">
        <v>46.91</v>
      </c>
      <c r="K130" s="4">
        <v>108.333333333333</v>
      </c>
      <c r="L130" s="4"/>
      <c r="M130" s="4"/>
      <c r="N130" s="4"/>
      <c r="O130" s="4"/>
      <c r="P130" s="4"/>
      <c r="Q130" s="4">
        <v>0.435</v>
      </c>
      <c r="R130" s="4">
        <f>B130</f>
        <v>0.63</v>
      </c>
      <c r="S130" s="60">
        <f>B130/Q130-1</f>
        <v>0.448275862068966</v>
      </c>
      <c r="T130" s="16">
        <v>-0.235034081421271</v>
      </c>
      <c r="U130" s="14">
        <v>-0.632895929307289</v>
      </c>
      <c r="V130" s="14">
        <v>-0.566887716596367</v>
      </c>
      <c r="W130" s="31" t="s">
        <v>461</v>
      </c>
      <c r="X130" s="4">
        <v>0</v>
      </c>
      <c r="Y130" s="4" t="s">
        <v>914</v>
      </c>
      <c r="Z130" s="4"/>
      <c r="AA130" s="4"/>
      <c r="AB130" s="4"/>
      <c r="AC130" s="4"/>
      <c r="AD130" s="4">
        <v>0</v>
      </c>
      <c r="AE130" s="4">
        <v>0</v>
      </c>
      <c r="AF130" s="4">
        <v>6.83</v>
      </c>
      <c r="AG130" s="4">
        <v>8.7</v>
      </c>
      <c r="AH130" s="4">
        <v>8.21</v>
      </c>
    </row>
    <row r="131" ht="15" spans="1:34">
      <c r="A131" s="41">
        <v>6136</v>
      </c>
      <c r="B131" s="6">
        <v>2.02</v>
      </c>
      <c r="C131" s="6">
        <v>1.38</v>
      </c>
      <c r="D131" s="6">
        <v>5.11</v>
      </c>
      <c r="E131" s="15">
        <v>3784000000</v>
      </c>
      <c r="F131" s="47" t="s">
        <v>492</v>
      </c>
      <c r="G131">
        <v>35.6416527223581</v>
      </c>
      <c r="H131" s="27">
        <v>17.827265229174</v>
      </c>
      <c r="I131" s="16">
        <f>H131/G131</f>
        <v>0.500180655707667</v>
      </c>
      <c r="J131" s="6">
        <v>0.79</v>
      </c>
      <c r="K131" s="16">
        <v>1.49904928226864</v>
      </c>
      <c r="L131" s="6">
        <v>8.1331</v>
      </c>
      <c r="M131" s="6">
        <v>6.744</v>
      </c>
      <c r="N131" s="6"/>
      <c r="O131" s="6"/>
      <c r="P131" s="6"/>
      <c r="Q131" s="6">
        <v>1.4</v>
      </c>
      <c r="R131" s="4">
        <f>B131</f>
        <v>2.02</v>
      </c>
      <c r="S131" s="19">
        <f>B131/Q131-1</f>
        <v>0.442857142857143</v>
      </c>
      <c r="T131" s="16">
        <v>-0.318492037699057</v>
      </c>
      <c r="U131" s="14">
        <v>-0.46189376443418</v>
      </c>
      <c r="V131" s="14">
        <v>-0.293040057224607</v>
      </c>
      <c r="W131" s="31" t="s">
        <v>492</v>
      </c>
      <c r="X131" s="4">
        <v>2.02</v>
      </c>
      <c r="Y131" s="6" t="s">
        <v>915</v>
      </c>
      <c r="Z131" s="6"/>
      <c r="AA131" s="4"/>
      <c r="AB131" s="4"/>
      <c r="AC131" s="4"/>
      <c r="AD131" s="4">
        <v>0.24896265560166</v>
      </c>
      <c r="AE131" s="6">
        <v>0.352697095435685</v>
      </c>
      <c r="AF131" s="4">
        <v>14.10588</v>
      </c>
      <c r="AG131" s="4">
        <v>12.12767</v>
      </c>
      <c r="AH131" s="4">
        <v>7.02</v>
      </c>
    </row>
    <row r="132" ht="15" spans="1:34">
      <c r="A132" s="38">
        <v>3606</v>
      </c>
      <c r="B132" s="4">
        <v>23.45</v>
      </c>
      <c r="C132" s="4">
        <v>12.16</v>
      </c>
      <c r="D132" s="4">
        <v>22.85</v>
      </c>
      <c r="E132" s="13">
        <v>57698000000</v>
      </c>
      <c r="F132" s="47" t="s">
        <v>137</v>
      </c>
      <c r="G132">
        <v>38.1647291615137</v>
      </c>
      <c r="H132" s="23">
        <v>3.41261633919338</v>
      </c>
      <c r="I132" s="17">
        <f>H132/G132</f>
        <v>0.0894180677858642</v>
      </c>
      <c r="J132" s="4">
        <v>2.22</v>
      </c>
      <c r="K132" s="14">
        <v>2.54436056381337</v>
      </c>
      <c r="L132" s="4">
        <v>15.2238</v>
      </c>
      <c r="M132" s="4"/>
      <c r="N132" s="4"/>
      <c r="O132" s="4"/>
      <c r="P132" s="4"/>
      <c r="Q132" s="4">
        <v>16.26</v>
      </c>
      <c r="R132" s="4">
        <f>B132</f>
        <v>23.45</v>
      </c>
      <c r="S132" s="18">
        <f>B132/Q132-1</f>
        <v>0.442189421894219</v>
      </c>
      <c r="T132" s="16">
        <v>-0.0516169561177348</v>
      </c>
      <c r="U132" s="14">
        <v>-0.331627006087438</v>
      </c>
      <c r="V132" s="16">
        <v>-0.519685365348789</v>
      </c>
      <c r="W132" s="31" t="s">
        <v>137</v>
      </c>
      <c r="X132" s="4">
        <v>1.08</v>
      </c>
      <c r="Y132" s="4" t="s">
        <v>916</v>
      </c>
      <c r="Z132" s="4"/>
      <c r="AA132" s="4"/>
      <c r="AB132" s="4"/>
      <c r="AC132" s="4"/>
      <c r="AD132" s="4">
        <v>0.101010101010101</v>
      </c>
      <c r="AE132" s="4">
        <v>0.186868686868687</v>
      </c>
      <c r="AH132" s="4">
        <v>3.42</v>
      </c>
    </row>
    <row r="133" hidden="1" spans="1:34">
      <c r="A133" s="38">
        <v>2388</v>
      </c>
      <c r="B133" s="4">
        <v>28</v>
      </c>
      <c r="C133" s="4">
        <v>19.4</v>
      </c>
      <c r="D133" s="4">
        <v>33.7</v>
      </c>
      <c r="E133" s="13">
        <v>284936000000</v>
      </c>
      <c r="F133" s="46" t="s">
        <v>491</v>
      </c>
      <c r="G133">
        <v>32.7866648743111</v>
      </c>
      <c r="H133" s="25">
        <v>6.06703436571913</v>
      </c>
      <c r="I133" s="17">
        <f>H133/G133</f>
        <v>0.185045791908916</v>
      </c>
      <c r="J133" s="4">
        <v>1.15</v>
      </c>
      <c r="K133" s="4">
        <v>3.25983207415915</v>
      </c>
      <c r="L133" s="4">
        <v>8.6683</v>
      </c>
      <c r="M133" s="4">
        <v>8.354</v>
      </c>
      <c r="Q133" s="4">
        <v>19.42</v>
      </c>
      <c r="R133" s="4">
        <f>B133</f>
        <v>28</v>
      </c>
      <c r="S133" s="18">
        <f>B133/Q133-1</f>
        <v>0.441812564366632</v>
      </c>
      <c r="T133" s="16">
        <v>0.0113324812082976</v>
      </c>
      <c r="U133" s="16">
        <v>-0.0942094285048113</v>
      </c>
      <c r="V133" s="16">
        <v>-0.571456737559048</v>
      </c>
      <c r="W133" s="31" t="s">
        <v>491</v>
      </c>
      <c r="X133" s="6">
        <v>-0.71</v>
      </c>
      <c r="Y133" s="6"/>
      <c r="Z133" s="6"/>
      <c r="AC133" s="6"/>
      <c r="AD133" s="4">
        <v>0.0499252942677017</v>
      </c>
      <c r="AE133" s="6">
        <v>0.0980284975037353</v>
      </c>
      <c r="AG133" s="4">
        <v>4.15</v>
      </c>
      <c r="AH133" s="4">
        <v>4.14</v>
      </c>
    </row>
    <row r="134" ht="14.25" hidden="1" spans="1:34">
      <c r="A134" s="38">
        <v>129</v>
      </c>
      <c r="B134" s="4">
        <v>1.64</v>
      </c>
      <c r="C134" s="4">
        <v>1.14</v>
      </c>
      <c r="D134" s="4">
        <v>2.27</v>
      </c>
      <c r="E134" s="13">
        <v>2131000000</v>
      </c>
      <c r="F134" s="47" t="s">
        <v>304</v>
      </c>
      <c r="G134">
        <v>32.3181049069374</v>
      </c>
      <c r="H134" s="25">
        <v>10.9754744201531</v>
      </c>
      <c r="I134" s="17">
        <f>H134/G134</f>
        <v>0.339607611639294</v>
      </c>
      <c r="J134" s="4">
        <v>0.1</v>
      </c>
      <c r="K134" s="4">
        <v>1.12094951017332</v>
      </c>
      <c r="L134" s="4">
        <v>1.5987</v>
      </c>
      <c r="M134" s="4">
        <v>1.488</v>
      </c>
      <c r="N134" s="4"/>
      <c r="O134" s="4"/>
      <c r="P134" s="4"/>
      <c r="Q134" s="4">
        <v>1.14</v>
      </c>
      <c r="R134" s="4">
        <f>B134</f>
        <v>1.64</v>
      </c>
      <c r="S134" s="18">
        <f>B134/Q134-1</f>
        <v>0.43859649122807</v>
      </c>
      <c r="T134" s="14">
        <v>-0.853828306264501</v>
      </c>
      <c r="U134" s="16">
        <v>-0.923076923076923</v>
      </c>
      <c r="V134" s="14">
        <v>2.35714285714286</v>
      </c>
      <c r="W134" s="31" t="s">
        <v>304</v>
      </c>
      <c r="X134" s="6">
        <v>-0.61</v>
      </c>
      <c r="Y134" s="6"/>
      <c r="Z134" s="6"/>
      <c r="AA134" s="6">
        <v>40000</v>
      </c>
      <c r="AB134" s="6"/>
      <c r="AC134" s="6"/>
      <c r="AD134" s="6">
        <v>0.114678899082569</v>
      </c>
      <c r="AE134" s="6">
        <v>0.146133682830931</v>
      </c>
      <c r="AF134" s="4">
        <v>3.86141</v>
      </c>
      <c r="AG134" s="4">
        <v>4.49</v>
      </c>
      <c r="AH134" s="4">
        <v>5.07</v>
      </c>
    </row>
    <row r="135" ht="15" hidden="1" spans="1:34">
      <c r="A135" s="37">
        <v>717</v>
      </c>
      <c r="B135" s="6">
        <v>0.82</v>
      </c>
      <c r="C135" s="6">
        <v>0.28</v>
      </c>
      <c r="D135" s="6">
        <v>2.03</v>
      </c>
      <c r="E135" s="15">
        <v>5025000000</v>
      </c>
      <c r="F135" s="47" t="s">
        <v>680</v>
      </c>
      <c r="G135">
        <v>34.1455383602239</v>
      </c>
      <c r="H135" s="27">
        <v>4.8767697954903</v>
      </c>
      <c r="I135" s="16">
        <f>H135/G135</f>
        <v>0.142823045987503</v>
      </c>
      <c r="J135" s="6">
        <v>0.92</v>
      </c>
      <c r="K135" s="6">
        <v>3.95904436860068</v>
      </c>
      <c r="L135" s="6">
        <v>7.7485</v>
      </c>
      <c r="M135" s="6">
        <v>5.583</v>
      </c>
      <c r="N135" s="6"/>
      <c r="O135" s="6"/>
      <c r="P135" s="6"/>
      <c r="Q135" s="6">
        <v>0.57</v>
      </c>
      <c r="R135" s="6">
        <f>B135</f>
        <v>0.82</v>
      </c>
      <c r="S135" s="19">
        <f>B135/Q135-1</f>
        <v>0.43859649122807</v>
      </c>
      <c r="T135" s="14">
        <v>-0.0975129970493185</v>
      </c>
      <c r="U135" s="16">
        <v>0.013571090421335</v>
      </c>
      <c r="V135" s="14">
        <v>-0.313249260470185</v>
      </c>
      <c r="W135" s="31" t="s">
        <v>680</v>
      </c>
      <c r="X135" s="6">
        <v>-1.2</v>
      </c>
      <c r="Y135" s="6"/>
      <c r="Z135" s="6"/>
      <c r="AA135" s="4"/>
      <c r="AB135" s="4"/>
      <c r="AC135" s="4"/>
      <c r="AD135" s="4">
        <v>0.439976175316807</v>
      </c>
      <c r="AE135" s="4">
        <v>0.899977407628006</v>
      </c>
      <c r="AF135" s="4">
        <v>0.57</v>
      </c>
      <c r="AG135" s="4">
        <v>0.57</v>
      </c>
      <c r="AH135" s="4">
        <v>0.67</v>
      </c>
    </row>
    <row r="136" ht="15" hidden="1" spans="1:34">
      <c r="A136" s="38">
        <v>689</v>
      </c>
      <c r="B136" s="4">
        <v>0.241</v>
      </c>
      <c r="C136" s="4">
        <v>0.142</v>
      </c>
      <c r="D136" s="4">
        <v>1.77</v>
      </c>
      <c r="E136" s="13">
        <v>934600000</v>
      </c>
      <c r="F136" s="46" t="s">
        <v>917</v>
      </c>
      <c r="G136">
        <v>45.6430159429034</v>
      </c>
      <c r="H136" s="27">
        <v>14.1083572960884</v>
      </c>
      <c r="I136" s="14">
        <f>H136/G136</f>
        <v>0.309102214317674</v>
      </c>
      <c r="J136" s="4">
        <v>1.24</v>
      </c>
      <c r="K136" s="4">
        <v>2.00218818380744</v>
      </c>
      <c r="Q136" s="32">
        <v>0.168</v>
      </c>
      <c r="R136" s="6">
        <f>B136</f>
        <v>0.241</v>
      </c>
      <c r="S136" s="19">
        <f>B136/Q136-1</f>
        <v>0.434523809523809</v>
      </c>
      <c r="T136" s="14">
        <v>0.723846407584328</v>
      </c>
      <c r="U136" s="14">
        <v>1.4127630105247</v>
      </c>
      <c r="V136" s="14">
        <v>-0.798018454734873</v>
      </c>
      <c r="W136" s="31" t="s">
        <v>917</v>
      </c>
      <c r="X136" s="6">
        <v>0.417</v>
      </c>
      <c r="Y136" s="6"/>
      <c r="Z136" s="6"/>
      <c r="AD136" s="4">
        <v>0.238095238095238</v>
      </c>
      <c r="AE136" s="4">
        <v>0.619047619047619</v>
      </c>
      <c r="AF136" s="4">
        <v>2.32</v>
      </c>
      <c r="AG136" s="4">
        <v>3.34</v>
      </c>
      <c r="AH136" s="4">
        <v>3.2</v>
      </c>
    </row>
    <row r="137" ht="15" spans="1:34">
      <c r="A137" s="37">
        <v>1375</v>
      </c>
      <c r="B137" s="6">
        <v>4.17</v>
      </c>
      <c r="C137" s="6">
        <v>2.3</v>
      </c>
      <c r="D137" s="6">
        <v>9.92</v>
      </c>
      <c r="E137" s="15">
        <v>12669000000</v>
      </c>
      <c r="F137" s="53" t="s">
        <v>462</v>
      </c>
      <c r="G137">
        <v>32.6145552560647</v>
      </c>
      <c r="H137" s="27">
        <v>16.5501165501165</v>
      </c>
      <c r="I137" s="16">
        <f>H137/G137</f>
        <v>0.507445722321755</v>
      </c>
      <c r="J137" s="6">
        <v>0.97</v>
      </c>
      <c r="K137" s="6">
        <v>1.04745546493857</v>
      </c>
      <c r="L137" s="6">
        <v>14.2597</v>
      </c>
      <c r="M137" s="6">
        <v>9.655</v>
      </c>
      <c r="N137" s="6"/>
      <c r="O137" s="6"/>
      <c r="P137" s="4"/>
      <c r="Q137" s="6">
        <v>2.91</v>
      </c>
      <c r="R137" s="4">
        <f>B137</f>
        <v>4.17</v>
      </c>
      <c r="S137" s="70">
        <f>B137/Q137-1</f>
        <v>0.43298969072165</v>
      </c>
      <c r="T137" s="14">
        <v>0.349619892302819</v>
      </c>
      <c r="U137" s="14">
        <v>0.919905373436972</v>
      </c>
      <c r="V137" s="14">
        <v>-0.333215983101567</v>
      </c>
      <c r="W137" s="31" t="s">
        <v>462</v>
      </c>
      <c r="X137" s="4">
        <v>1.21</v>
      </c>
      <c r="Y137" s="61" t="s">
        <v>918</v>
      </c>
      <c r="Z137" s="4"/>
      <c r="AA137" s="4">
        <v>18000</v>
      </c>
      <c r="AB137" s="4"/>
      <c r="AC137" s="4"/>
      <c r="AD137" s="4">
        <v>0.110843373493976</v>
      </c>
      <c r="AE137" s="6">
        <v>0.23855421686747</v>
      </c>
      <c r="AF137" s="4">
        <v>4.79</v>
      </c>
      <c r="AG137" s="4">
        <v>4.817</v>
      </c>
      <c r="AH137" s="4">
        <v>4.303</v>
      </c>
    </row>
    <row r="138" ht="15" spans="1:34">
      <c r="A138" s="41">
        <v>1302</v>
      </c>
      <c r="B138" s="6">
        <v>1.88</v>
      </c>
      <c r="C138" s="6">
        <v>0.72</v>
      </c>
      <c r="D138" s="6">
        <v>3.08</v>
      </c>
      <c r="E138" s="15">
        <v>7440000000</v>
      </c>
      <c r="F138" s="57" t="s">
        <v>117</v>
      </c>
      <c r="G138">
        <v>39.3608635013037</v>
      </c>
      <c r="H138" s="23">
        <v>5.85371017254155</v>
      </c>
      <c r="I138" s="16">
        <f>H138/G138</f>
        <v>0.148719048614054</v>
      </c>
      <c r="J138" s="6">
        <v>21.71</v>
      </c>
      <c r="K138" s="6">
        <v>13.4704295876628</v>
      </c>
      <c r="L138" s="6"/>
      <c r="M138" s="6"/>
      <c r="N138" s="6"/>
      <c r="O138" s="6"/>
      <c r="P138" s="6"/>
      <c r="Q138" s="6">
        <v>1.32</v>
      </c>
      <c r="R138" s="4">
        <f>B138</f>
        <v>1.88</v>
      </c>
      <c r="S138" s="68">
        <f>B138/Q138-1</f>
        <v>0.424242424242424</v>
      </c>
      <c r="T138" s="16">
        <v>-0.429797245865338</v>
      </c>
      <c r="U138" s="14">
        <v>-0.263200250368847</v>
      </c>
      <c r="V138" s="16">
        <v>-0.605582524271845</v>
      </c>
      <c r="W138" s="31" t="s">
        <v>117</v>
      </c>
      <c r="X138" s="4">
        <v>1.08</v>
      </c>
      <c r="Y138" s="61" t="s">
        <v>919</v>
      </c>
      <c r="Z138" s="4"/>
      <c r="AA138" s="6"/>
      <c r="AB138" s="6"/>
      <c r="AC138" s="6"/>
      <c r="AD138" s="4">
        <v>0.442307692307692</v>
      </c>
      <c r="AE138" s="4">
        <v>0.673076923076923</v>
      </c>
      <c r="AF138" s="4">
        <v>4.601</v>
      </c>
      <c r="AG138" s="4">
        <v>4.719</v>
      </c>
      <c r="AH138" s="4">
        <v>4.04</v>
      </c>
    </row>
    <row r="139" s="6" customFormat="1" ht="15" hidden="1" spans="1:34">
      <c r="A139" s="65">
        <v>3380</v>
      </c>
      <c r="B139" s="6">
        <v>3.09</v>
      </c>
      <c r="C139" s="6">
        <v>2.11</v>
      </c>
      <c r="D139" s="6">
        <v>3.7</v>
      </c>
      <c r="E139" s="15">
        <v>18425000000</v>
      </c>
      <c r="F139" s="47" t="s">
        <v>241</v>
      </c>
      <c r="G139">
        <v>32.0375152915591</v>
      </c>
      <c r="H139" s="27">
        <v>21.684108055488</v>
      </c>
      <c r="I139" s="16">
        <f>H139/G139</f>
        <v>0.676834887417161</v>
      </c>
      <c r="J139" s="6">
        <v>0.79</v>
      </c>
      <c r="K139" s="16">
        <v>0.868048387168017</v>
      </c>
      <c r="L139" s="6">
        <v>4.2787</v>
      </c>
      <c r="M139" s="6">
        <v>3.713</v>
      </c>
      <c r="N139" s="6"/>
      <c r="O139" s="6"/>
      <c r="P139" s="6"/>
      <c r="Q139" s="6">
        <v>2.18</v>
      </c>
      <c r="R139" s="6">
        <f>B139</f>
        <v>3.09</v>
      </c>
      <c r="S139" s="19">
        <f>B139/Q139-1</f>
        <v>0.41743119266055</v>
      </c>
      <c r="T139" s="14">
        <v>-0.384480160723255</v>
      </c>
      <c r="U139" s="14">
        <v>-0.587582029278142</v>
      </c>
      <c r="V139" s="14">
        <v>-0.309906976744186</v>
      </c>
      <c r="W139" s="31" t="s">
        <v>241</v>
      </c>
      <c r="X139" s="6">
        <v>-0.32</v>
      </c>
      <c r="Y139" s="4"/>
      <c r="Z139" s="4"/>
      <c r="AA139" s="4"/>
      <c r="AB139" s="4"/>
      <c r="AC139" s="4"/>
      <c r="AD139" s="6">
        <v>0.0868055555555556</v>
      </c>
      <c r="AE139" s="4">
        <v>0.163194444444445</v>
      </c>
      <c r="AF139" s="6">
        <v>0.51</v>
      </c>
      <c r="AG139" s="6">
        <v>1.95</v>
      </c>
      <c r="AH139" s="6">
        <v>0.32</v>
      </c>
    </row>
    <row r="140" ht="15" spans="1:34">
      <c r="A140" s="37">
        <v>953</v>
      </c>
      <c r="B140" s="6">
        <v>0.99</v>
      </c>
      <c r="C140" s="6">
        <v>0.27</v>
      </c>
      <c r="D140" s="6">
        <v>1.32</v>
      </c>
      <c r="E140" s="15">
        <v>1491000000</v>
      </c>
      <c r="F140" s="47" t="s">
        <v>470</v>
      </c>
      <c r="G140">
        <v>33.3333333333333</v>
      </c>
      <c r="H140" s="27">
        <v>46.4557703573521</v>
      </c>
      <c r="I140" s="16">
        <f>H140/G140</f>
        <v>1.39367311072056</v>
      </c>
      <c r="J140" s="6">
        <v>2.52</v>
      </c>
      <c r="K140" s="6">
        <v>4.52868717475792</v>
      </c>
      <c r="L140" s="6"/>
      <c r="M140" s="6"/>
      <c r="N140" s="6"/>
      <c r="O140" s="6"/>
      <c r="P140" s="6"/>
      <c r="Q140" s="6">
        <v>0.7</v>
      </c>
      <c r="R140" s="6">
        <f>B140</f>
        <v>0.99</v>
      </c>
      <c r="S140" s="19">
        <f>B140/Q140-1</f>
        <v>0.414285714285714</v>
      </c>
      <c r="T140" s="16">
        <v>0</v>
      </c>
      <c r="U140" s="16">
        <v>0</v>
      </c>
      <c r="V140" s="16">
        <v>0</v>
      </c>
      <c r="W140" s="5" t="s">
        <v>470</v>
      </c>
      <c r="X140" s="6">
        <v>6.45</v>
      </c>
      <c r="Y140" s="4" t="s">
        <v>920</v>
      </c>
      <c r="Z140" s="4"/>
      <c r="AA140" s="4"/>
      <c r="AB140" s="4"/>
      <c r="AC140" s="4"/>
      <c r="AD140" s="4">
        <v>0</v>
      </c>
      <c r="AE140" s="4">
        <v>0</v>
      </c>
      <c r="AF140" s="4">
        <v>2.821</v>
      </c>
      <c r="AG140" s="4">
        <v>2.859</v>
      </c>
      <c r="AH140" s="4">
        <v>2.62</v>
      </c>
    </row>
    <row r="141" ht="15" hidden="1" spans="1:34">
      <c r="A141" s="22">
        <v>3330</v>
      </c>
      <c r="B141" s="6">
        <v>1.89</v>
      </c>
      <c r="C141" s="6">
        <v>1.08</v>
      </c>
      <c r="D141" s="6">
        <v>2.8</v>
      </c>
      <c r="E141" s="15">
        <v>1517000000</v>
      </c>
      <c r="F141" s="47" t="s">
        <v>236</v>
      </c>
      <c r="G141">
        <v>42.8571428571429</v>
      </c>
      <c r="H141" s="23">
        <v>13.2246376811594</v>
      </c>
      <c r="I141" s="16">
        <f>H141/G141</f>
        <v>0.308574879227053</v>
      </c>
      <c r="J141" s="6">
        <v>0.54</v>
      </c>
      <c r="K141" s="16">
        <v>0.152211611889005</v>
      </c>
      <c r="L141" s="6">
        <v>24.869</v>
      </c>
      <c r="M141" s="6">
        <v>24.497</v>
      </c>
      <c r="N141" s="6"/>
      <c r="O141" s="6"/>
      <c r="P141" s="6"/>
      <c r="Q141" s="6">
        <v>1.34</v>
      </c>
      <c r="R141" s="6">
        <f>B141</f>
        <v>1.89</v>
      </c>
      <c r="S141" s="19">
        <f>B141/Q141-1</f>
        <v>0.41044776119403</v>
      </c>
      <c r="T141" s="16">
        <v>-0.400599400599401</v>
      </c>
      <c r="U141" s="16">
        <v>0.96078431372549</v>
      </c>
      <c r="V141" s="16">
        <v>2.47</v>
      </c>
      <c r="W141" s="31" t="s">
        <v>236</v>
      </c>
      <c r="X141" s="4">
        <v>3.85</v>
      </c>
      <c r="Y141" s="6"/>
      <c r="Z141" s="6"/>
      <c r="AA141" s="4"/>
      <c r="AB141" s="4"/>
      <c r="AC141" s="4"/>
      <c r="AD141" s="4">
        <v>0.195121951219512</v>
      </c>
      <c r="AE141" s="4">
        <v>0.32520325203252</v>
      </c>
      <c r="AF141" s="4">
        <v>0.396</v>
      </c>
      <c r="AG141" s="4">
        <v>0.445</v>
      </c>
      <c r="AH141" s="4">
        <v>0.325</v>
      </c>
    </row>
    <row r="142" s="6" customFormat="1" ht="15" hidden="1" spans="1:34">
      <c r="A142" s="38">
        <v>1058</v>
      </c>
      <c r="B142" s="4">
        <v>0.83</v>
      </c>
      <c r="C142" s="4">
        <v>0.42</v>
      </c>
      <c r="D142" s="4">
        <v>1.82</v>
      </c>
      <c r="E142" s="13">
        <v>436000000</v>
      </c>
      <c r="F142" s="53" t="s">
        <v>104</v>
      </c>
      <c r="G142">
        <v>36.1430395913155</v>
      </c>
      <c r="H142" s="25">
        <v>8.43634786380395</v>
      </c>
      <c r="I142" s="14">
        <f>H142/G142</f>
        <v>0.233415561037402</v>
      </c>
      <c r="J142" s="4">
        <v>0.95</v>
      </c>
      <c r="K142" s="4">
        <v>0.468018720748829</v>
      </c>
      <c r="L142" s="4">
        <v>161.5673</v>
      </c>
      <c r="M142" s="4">
        <v>159.459</v>
      </c>
      <c r="N142" s="4"/>
      <c r="O142" s="4"/>
      <c r="P142" s="4"/>
      <c r="Q142" s="4">
        <v>0.59</v>
      </c>
      <c r="R142" s="4">
        <f>B142</f>
        <v>0.83</v>
      </c>
      <c r="S142" s="18">
        <f>B142/Q142-1</f>
        <v>0.406779661016949</v>
      </c>
      <c r="T142" s="16">
        <v>0.679425837320574</v>
      </c>
      <c r="U142" s="14">
        <v>8.75</v>
      </c>
      <c r="V142" s="14">
        <v>0</v>
      </c>
      <c r="W142" s="31" t="s">
        <v>104</v>
      </c>
      <c r="X142" s="6">
        <v>9.21</v>
      </c>
      <c r="Y142" s="4"/>
      <c r="Z142" s="4"/>
      <c r="AA142" s="6"/>
      <c r="AB142" s="6"/>
      <c r="AC142" s="4"/>
      <c r="AD142" s="4">
        <v>0.315789473684211</v>
      </c>
      <c r="AE142" s="6">
        <v>0.543859649122807</v>
      </c>
      <c r="AF142" s="6">
        <v>14.78</v>
      </c>
      <c r="AG142" s="6">
        <v>8.61</v>
      </c>
      <c r="AH142" s="6">
        <v>8.7</v>
      </c>
    </row>
    <row r="143" ht="15" spans="1:34">
      <c r="A143" s="58">
        <v>371</v>
      </c>
      <c r="B143" s="6">
        <v>5.71</v>
      </c>
      <c r="C143" s="6">
        <v>3.98</v>
      </c>
      <c r="D143" s="6">
        <v>7.37</v>
      </c>
      <c r="E143" s="15">
        <v>52092000000</v>
      </c>
      <c r="F143" s="47" t="s">
        <v>297</v>
      </c>
      <c r="G143">
        <v>38.1800197823937</v>
      </c>
      <c r="H143" s="23">
        <v>10.6806862202546</v>
      </c>
      <c r="I143" s="16">
        <f>H143/G143</f>
        <v>0.279745434421693</v>
      </c>
      <c r="J143" s="6">
        <v>2.25</v>
      </c>
      <c r="K143" s="6">
        <v>3.04412917943965</v>
      </c>
      <c r="L143" s="6">
        <v>20.7572</v>
      </c>
      <c r="M143" s="6">
        <v>19.557</v>
      </c>
      <c r="N143" s="6"/>
      <c r="O143" s="6"/>
      <c r="P143" s="6"/>
      <c r="Q143" s="6">
        <v>4.06</v>
      </c>
      <c r="R143" s="6">
        <f>B143</f>
        <v>5.71</v>
      </c>
      <c r="S143" s="19">
        <f>B143/Q143-1</f>
        <v>0.4064039408867</v>
      </c>
      <c r="T143" s="14">
        <v>-0.187493744489193</v>
      </c>
      <c r="U143" s="14">
        <v>-0.0765113759479957</v>
      </c>
      <c r="V143" s="14">
        <v>-0.297652279499754</v>
      </c>
      <c r="W143" s="31" t="s">
        <v>297</v>
      </c>
      <c r="X143" s="4">
        <v>1.78</v>
      </c>
      <c r="Y143" s="6" t="s">
        <v>921</v>
      </c>
      <c r="Z143" s="6"/>
      <c r="AA143" s="4"/>
      <c r="AB143" s="4"/>
      <c r="AC143" s="4"/>
      <c r="AD143" s="6">
        <v>0.119001919385797</v>
      </c>
      <c r="AE143" s="4">
        <v>0.134357005758157</v>
      </c>
      <c r="AF143" s="4">
        <v>0.128</v>
      </c>
      <c r="AG143" s="4">
        <v>0.192</v>
      </c>
      <c r="AH143" s="4">
        <v>0.182</v>
      </c>
    </row>
    <row r="144" ht="15" spans="1:34">
      <c r="A144" s="41">
        <v>1112</v>
      </c>
      <c r="B144" s="6">
        <v>22.85</v>
      </c>
      <c r="C144" s="6">
        <v>11.8</v>
      </c>
      <c r="D144" s="6">
        <v>42</v>
      </c>
      <c r="E144" s="15">
        <v>12306000000</v>
      </c>
      <c r="F144" s="53" t="s">
        <v>527</v>
      </c>
      <c r="G144">
        <v>45.3820525424655</v>
      </c>
      <c r="H144" s="23">
        <v>39.1594767603674</v>
      </c>
      <c r="I144" s="16">
        <f>H144/G144</f>
        <v>0.862884655199863</v>
      </c>
      <c r="J144" s="6">
        <v>3.1</v>
      </c>
      <c r="K144" s="6">
        <v>2.08463054506657</v>
      </c>
      <c r="L144" s="6">
        <v>10.1682</v>
      </c>
      <c r="M144" s="6">
        <v>9.721</v>
      </c>
      <c r="N144" s="6"/>
      <c r="O144" s="6"/>
      <c r="P144" s="6"/>
      <c r="Q144" s="6">
        <v>16.28</v>
      </c>
      <c r="R144" s="41">
        <f>B144</f>
        <v>22.85</v>
      </c>
      <c r="S144" s="19">
        <f>B144/Q144-1</f>
        <v>0.403562653562654</v>
      </c>
      <c r="T144" s="16">
        <v>0.248724303834378</v>
      </c>
      <c r="U144" s="14">
        <v>0.0705413639559409</v>
      </c>
      <c r="V144" s="14">
        <v>-0.580339754816112</v>
      </c>
      <c r="W144" s="31" t="s">
        <v>527</v>
      </c>
      <c r="X144" s="6">
        <v>-0.65</v>
      </c>
      <c r="Y144" s="61" t="s">
        <v>922</v>
      </c>
      <c r="AA144" s="6"/>
      <c r="AB144" s="6"/>
      <c r="AD144" s="4">
        <v>0.0456369107321966</v>
      </c>
      <c r="AE144" s="4">
        <v>0.0732196589769307</v>
      </c>
      <c r="AF144" s="4">
        <v>0.235</v>
      </c>
      <c r="AG144" s="4">
        <v>0.249</v>
      </c>
      <c r="AH144" s="4">
        <v>0.35</v>
      </c>
    </row>
    <row r="145" s="6" customFormat="1" ht="15" hidden="1" spans="1:34">
      <c r="A145" s="43">
        <v>8105</v>
      </c>
      <c r="B145" s="4">
        <v>2.16</v>
      </c>
      <c r="C145" s="4">
        <v>1.08</v>
      </c>
      <c r="D145" s="4">
        <v>5.38</v>
      </c>
      <c r="E145" s="13">
        <v>1070000000</v>
      </c>
      <c r="F145" s="45" t="s">
        <v>309</v>
      </c>
      <c r="G145">
        <v>39.8134216069816</v>
      </c>
      <c r="H145" s="28">
        <v>44.4460494005489</v>
      </c>
      <c r="I145" s="14">
        <f>H145/G145</f>
        <v>1.11635844412717</v>
      </c>
      <c r="J145" s="4">
        <v>7.38</v>
      </c>
      <c r="K145" s="14">
        <v>7.35229759299781</v>
      </c>
      <c r="L145" s="4">
        <v>32.0256</v>
      </c>
      <c r="M145" s="4">
        <v>24.483</v>
      </c>
      <c r="N145" s="4"/>
      <c r="O145" s="4"/>
      <c r="P145" s="4"/>
      <c r="Q145" s="4">
        <v>1.54</v>
      </c>
      <c r="R145" s="4">
        <f>B145</f>
        <v>2.16</v>
      </c>
      <c r="S145" s="18">
        <f>B145/Q145-1</f>
        <v>0.402597402597403</v>
      </c>
      <c r="T145" s="14">
        <v>0</v>
      </c>
      <c r="U145" s="14">
        <v>0</v>
      </c>
      <c r="V145" s="16">
        <v>0</v>
      </c>
      <c r="W145" s="31" t="s">
        <v>309</v>
      </c>
      <c r="X145" s="6">
        <v>1.89</v>
      </c>
      <c r="Y145" s="4"/>
      <c r="Z145" s="4"/>
      <c r="AA145" s="4"/>
      <c r="AB145" s="4"/>
      <c r="AC145" s="4"/>
      <c r="AD145" s="4">
        <v>0.246666666666667</v>
      </c>
      <c r="AE145" s="4">
        <v>0.6</v>
      </c>
      <c r="AF145" s="6">
        <v>2.92</v>
      </c>
      <c r="AG145" s="6">
        <v>1.82</v>
      </c>
      <c r="AH145" s="6">
        <v>1.31</v>
      </c>
    </row>
    <row r="146" ht="15" hidden="1" spans="1:34">
      <c r="A146" s="38">
        <v>8090</v>
      </c>
      <c r="B146" s="4">
        <v>1.05</v>
      </c>
      <c r="C146" s="4">
        <v>0.65</v>
      </c>
      <c r="D146" s="4">
        <v>3.25</v>
      </c>
      <c r="E146" s="13">
        <v>1844000000</v>
      </c>
      <c r="F146" s="45" t="s">
        <v>923</v>
      </c>
      <c r="G146">
        <v>37.1424979571312</v>
      </c>
      <c r="H146" s="27">
        <v>33.3333333333333</v>
      </c>
      <c r="I146" s="14">
        <f>H146/G146</f>
        <v>0.897444576070401</v>
      </c>
      <c r="J146" s="4">
        <v>2.99</v>
      </c>
      <c r="K146" s="4">
        <v>49.0874577024357</v>
      </c>
      <c r="Q146" s="32">
        <v>0.75</v>
      </c>
      <c r="R146" s="6">
        <f>B146</f>
        <v>1.05</v>
      </c>
      <c r="S146" s="19">
        <f>B146/Q146-1</f>
        <v>0.4</v>
      </c>
      <c r="T146" s="14">
        <v>0.0179533213644524</v>
      </c>
      <c r="U146" s="14">
        <v>-0.112676056338028</v>
      </c>
      <c r="V146" s="14">
        <v>-0.888888888888889</v>
      </c>
      <c r="W146" s="31" t="s">
        <v>923</v>
      </c>
      <c r="X146" s="4">
        <v>-1.87</v>
      </c>
      <c r="Y146" s="6"/>
      <c r="Z146" s="6"/>
      <c r="AD146" s="6">
        <v>0.138613861386139</v>
      </c>
      <c r="AE146" s="4">
        <v>0.287128712871287</v>
      </c>
      <c r="AF146" s="4">
        <v>2.501</v>
      </c>
      <c r="AG146" s="4">
        <v>2.77</v>
      </c>
      <c r="AH146" s="4">
        <v>5.71</v>
      </c>
    </row>
    <row r="147" ht="15" spans="1:34">
      <c r="A147" s="38">
        <v>2282</v>
      </c>
      <c r="B147" s="4">
        <v>15.32</v>
      </c>
      <c r="C147" s="4">
        <v>7.83</v>
      </c>
      <c r="D147" s="4">
        <v>28.8</v>
      </c>
      <c r="E147" s="13">
        <v>49400000000</v>
      </c>
      <c r="F147" s="46" t="s">
        <v>924</v>
      </c>
      <c r="G147">
        <v>48.8909332515588</v>
      </c>
      <c r="H147" s="49">
        <v>0.391526955124987</v>
      </c>
      <c r="I147" s="14">
        <f>H147/G147</f>
        <v>0.00800817102652677</v>
      </c>
      <c r="J147" s="4">
        <v>8.38</v>
      </c>
      <c r="K147" s="4">
        <v>2.39732843841917</v>
      </c>
      <c r="L147" s="4">
        <v>13.2343</v>
      </c>
      <c r="M147" s="4">
        <v>13.234</v>
      </c>
      <c r="N147" s="4"/>
      <c r="O147" s="4"/>
      <c r="P147" s="4"/>
      <c r="Q147" s="4">
        <v>11</v>
      </c>
      <c r="R147" s="61">
        <f>B147</f>
        <v>15.32</v>
      </c>
      <c r="S147" s="18">
        <f>B147/Q147-1</f>
        <v>0.392727272727273</v>
      </c>
      <c r="T147" s="14">
        <v>0.352860709918908</v>
      </c>
      <c r="U147" s="14">
        <v>0.787642995097311</v>
      </c>
      <c r="V147" s="14">
        <v>0.0456467312826586</v>
      </c>
      <c r="W147" s="31" t="s">
        <v>924</v>
      </c>
      <c r="X147" s="4">
        <v>1.19</v>
      </c>
      <c r="Y147" s="61" t="s">
        <v>879</v>
      </c>
      <c r="Z147" s="4"/>
      <c r="AA147" s="4"/>
      <c r="AB147" s="4"/>
      <c r="AC147" s="4"/>
      <c r="AD147" s="4"/>
      <c r="AE147" s="4"/>
      <c r="AF147" s="4">
        <v>0.495</v>
      </c>
      <c r="AG147" s="4">
        <v>0.27</v>
      </c>
      <c r="AH147" s="4">
        <v>0.42</v>
      </c>
    </row>
    <row r="148" s="6" customFormat="1" ht="14.25" hidden="1" spans="1:34">
      <c r="A148" s="38">
        <v>1447</v>
      </c>
      <c r="B148" s="4">
        <v>1.81</v>
      </c>
      <c r="C148" s="4">
        <v>0.98</v>
      </c>
      <c r="D148" s="4">
        <v>1.75</v>
      </c>
      <c r="E148" s="13">
        <v>772000000</v>
      </c>
      <c r="F148" s="47" t="s">
        <v>24</v>
      </c>
      <c r="G148">
        <v>45.8552168498565</v>
      </c>
      <c r="H148" s="25">
        <v>30.3950971443474</v>
      </c>
      <c r="I148" s="17">
        <f>H148/G148</f>
        <v>0.662849272829084</v>
      </c>
      <c r="J148" s="4">
        <v>1.23</v>
      </c>
      <c r="K148" s="4">
        <v>6.6777</v>
      </c>
      <c r="L148" s="4"/>
      <c r="M148" s="4"/>
      <c r="N148" s="4"/>
      <c r="O148" s="4"/>
      <c r="P148" s="4"/>
      <c r="Q148" s="4">
        <v>1.31</v>
      </c>
      <c r="R148" s="4">
        <f>B148</f>
        <v>1.81</v>
      </c>
      <c r="S148" s="18">
        <f>B148/Q148-1</f>
        <v>0.381679389312977</v>
      </c>
      <c r="T148" s="16">
        <v>0.340425531914894</v>
      </c>
      <c r="U148" s="14">
        <v>0.130769230769231</v>
      </c>
      <c r="V148" s="14">
        <v>-0.496598639455782</v>
      </c>
      <c r="W148" s="31" t="s">
        <v>24</v>
      </c>
      <c r="X148" s="6">
        <v>0</v>
      </c>
      <c r="Y148" s="4"/>
      <c r="Z148" s="4"/>
      <c r="AA148" s="4"/>
      <c r="AB148" s="4"/>
      <c r="AC148" s="6"/>
      <c r="AD148" s="4">
        <v>0</v>
      </c>
      <c r="AE148" s="4">
        <v>0</v>
      </c>
      <c r="AF148" s="6">
        <v>0.315</v>
      </c>
      <c r="AG148" s="6">
        <v>0.233</v>
      </c>
      <c r="AH148" s="6">
        <v>0.193</v>
      </c>
    </row>
    <row r="149" ht="14.25" hidden="1" spans="1:34">
      <c r="A149" s="38">
        <v>1336</v>
      </c>
      <c r="B149" s="4">
        <v>35.45</v>
      </c>
      <c r="C149" s="4">
        <v>25.55</v>
      </c>
      <c r="D149" s="4">
        <v>56.55</v>
      </c>
      <c r="E149" s="13">
        <v>106065000000</v>
      </c>
      <c r="F149" s="47" t="s">
        <v>201</v>
      </c>
      <c r="G149">
        <v>37.9421620950726</v>
      </c>
      <c r="H149" s="25">
        <v>0.989699050696829</v>
      </c>
      <c r="I149" s="17">
        <f>H149/G149</f>
        <v>0.0260844136456145</v>
      </c>
      <c r="J149" s="4">
        <v>1.17</v>
      </c>
      <c r="K149" s="4">
        <v>3.5</v>
      </c>
      <c r="L149" s="4">
        <v>10.5152</v>
      </c>
      <c r="M149" s="4">
        <v>10.011</v>
      </c>
      <c r="Q149" s="4">
        <v>25.7</v>
      </c>
      <c r="R149" s="4">
        <f>B149</f>
        <v>35.45</v>
      </c>
      <c r="S149" s="18">
        <f>B149/Q149-1</f>
        <v>0.379377431906615</v>
      </c>
      <c r="T149" s="14">
        <v>0.310341153390537</v>
      </c>
      <c r="U149" s="14">
        <v>0.730966988747858</v>
      </c>
      <c r="V149" s="16">
        <v>-0.678081421211991</v>
      </c>
      <c r="W149" s="31" t="s">
        <v>201</v>
      </c>
      <c r="X149" s="6">
        <v>0.42</v>
      </c>
      <c r="AA149" s="6"/>
      <c r="AB149" s="6"/>
      <c r="AD149" s="6">
        <v>0.106446776611694</v>
      </c>
      <c r="AE149" s="4">
        <v>0.193403298350824</v>
      </c>
      <c r="AF149" s="4">
        <v>0.819</v>
      </c>
      <c r="AG149" s="4">
        <v>0.908</v>
      </c>
      <c r="AH149" s="4">
        <v>1.27</v>
      </c>
    </row>
    <row r="150" s="6" customFormat="1" ht="15" hidden="1" spans="1:31">
      <c r="A150" s="38">
        <v>1233</v>
      </c>
      <c r="B150" s="4">
        <v>3.7</v>
      </c>
      <c r="C150" s="4">
        <v>2.5</v>
      </c>
      <c r="D150" s="4">
        <v>3.94</v>
      </c>
      <c r="E150" s="13">
        <v>6427000000</v>
      </c>
      <c r="F150" s="45" t="s">
        <v>177</v>
      </c>
      <c r="G150">
        <v>32.4324324324324</v>
      </c>
      <c r="H150" s="25">
        <v>2.1659174499387</v>
      </c>
      <c r="I150" s="17">
        <f>H150/G150</f>
        <v>0.0667824547064433</v>
      </c>
      <c r="J150" s="4">
        <v>0.65</v>
      </c>
      <c r="K150" s="4">
        <v>0.475389250748645</v>
      </c>
      <c r="L150" s="4">
        <v>3.0273</v>
      </c>
      <c r="M150" s="4">
        <v>2.898</v>
      </c>
      <c r="N150" s="4"/>
      <c r="O150" s="4"/>
      <c r="P150" s="4"/>
      <c r="Q150" s="4">
        <v>2.69</v>
      </c>
      <c r="R150" s="4">
        <f>B150</f>
        <v>3.7</v>
      </c>
      <c r="S150" s="18">
        <f>B150/Q150-1</f>
        <v>0.37546468401487</v>
      </c>
      <c r="T150" s="16">
        <v>0.421580547112462</v>
      </c>
      <c r="U150" s="14">
        <v>0.438191881918819</v>
      </c>
      <c r="V150" s="14">
        <v>-0.551635663887107</v>
      </c>
      <c r="W150" s="31" t="s">
        <v>177</v>
      </c>
      <c r="X150" s="4">
        <v>-0.27</v>
      </c>
      <c r="Y150" s="4"/>
      <c r="Z150" s="4"/>
      <c r="AA150" s="4"/>
      <c r="AB150" s="4"/>
      <c r="AC150" s="4"/>
      <c r="AD150" s="4">
        <v>0.159090909090909</v>
      </c>
      <c r="AE150" s="4">
        <v>0.189393939393939</v>
      </c>
    </row>
    <row r="151" ht="15" hidden="1" spans="1:34">
      <c r="A151" s="37">
        <v>27</v>
      </c>
      <c r="B151" s="6">
        <v>34.9</v>
      </c>
      <c r="C151" s="6">
        <v>19.02</v>
      </c>
      <c r="D151" s="6">
        <v>66.8</v>
      </c>
      <c r="E151" s="69">
        <v>128323000000</v>
      </c>
      <c r="F151" s="53" t="s">
        <v>925</v>
      </c>
      <c r="G151">
        <v>42.9223744292237</v>
      </c>
      <c r="H151" s="27">
        <v>0.140196274784699</v>
      </c>
      <c r="I151" s="16">
        <f>H151/G151</f>
        <v>0.00326627491253713</v>
      </c>
      <c r="J151" s="6">
        <v>2.82</v>
      </c>
      <c r="K151" s="6">
        <v>2.18088839867642</v>
      </c>
      <c r="L151" s="6">
        <v>26.7255</v>
      </c>
      <c r="M151" s="6">
        <v>9.203</v>
      </c>
      <c r="N151" s="6"/>
      <c r="O151" s="6"/>
      <c r="P151" s="6"/>
      <c r="Q151" s="71">
        <v>25.45</v>
      </c>
      <c r="R151" s="6">
        <f>B151</f>
        <v>34.9</v>
      </c>
      <c r="S151" s="19">
        <f>B151/Q151-1</f>
        <v>0.3713163064833</v>
      </c>
      <c r="T151" s="16">
        <v>0.276334388616955</v>
      </c>
      <c r="U151" s="16">
        <v>0.472972153127465</v>
      </c>
      <c r="V151" s="16">
        <v>0.208697433996458</v>
      </c>
      <c r="W151" s="35" t="s">
        <v>925</v>
      </c>
      <c r="X151" s="6">
        <v>4.18</v>
      </c>
      <c r="Y151" s="6"/>
      <c r="Z151" s="6"/>
      <c r="AA151" s="6"/>
      <c r="AB151" s="6"/>
      <c r="AC151" s="6"/>
      <c r="AD151" s="6">
        <v>0.0730519480519479</v>
      </c>
      <c r="AE151" s="6">
        <v>0.150974025974026</v>
      </c>
      <c r="AF151" s="4">
        <v>0.502</v>
      </c>
      <c r="AG151" s="4">
        <v>0.474</v>
      </c>
      <c r="AH151" s="4">
        <v>0.53</v>
      </c>
    </row>
    <row r="152" ht="15" hidden="1" spans="1:34">
      <c r="A152" s="43">
        <v>378</v>
      </c>
      <c r="B152" s="4">
        <v>1.3</v>
      </c>
      <c r="C152" s="4">
        <v>0.65</v>
      </c>
      <c r="D152" s="4">
        <v>10.5</v>
      </c>
      <c r="E152" s="13">
        <v>6882000000</v>
      </c>
      <c r="F152" s="50" t="s">
        <v>926</v>
      </c>
      <c r="G152">
        <v>50</v>
      </c>
      <c r="H152" s="49">
        <v>41.5428167020524</v>
      </c>
      <c r="I152" s="14">
        <f>H152/G152</f>
        <v>0.830856334041048</v>
      </c>
      <c r="J152" s="4">
        <v>2.83</v>
      </c>
      <c r="K152" s="4">
        <v>85</v>
      </c>
      <c r="L152" s="4"/>
      <c r="M152" s="4"/>
      <c r="N152" s="4"/>
      <c r="O152" s="4"/>
      <c r="P152" s="4"/>
      <c r="Q152" s="4">
        <v>0.95</v>
      </c>
      <c r="R152" s="61">
        <f>B152</f>
        <v>1.3</v>
      </c>
      <c r="S152" s="18">
        <f>B152/Q152-1</f>
        <v>0.368421052631579</v>
      </c>
      <c r="T152" s="14">
        <v>-0.530612244897959</v>
      </c>
      <c r="U152" s="14">
        <v>-0.785411365564037</v>
      </c>
      <c r="V152" s="14">
        <v>1.89525691699605</v>
      </c>
      <c r="W152" s="31" t="s">
        <v>926</v>
      </c>
      <c r="X152" s="4">
        <v>0</v>
      </c>
      <c r="Y152" s="4"/>
      <c r="Z152" s="4"/>
      <c r="AA152" s="4"/>
      <c r="AB152" s="4"/>
      <c r="AC152" s="4"/>
      <c r="AD152" s="4"/>
      <c r="AE152" s="4"/>
      <c r="AF152" s="4">
        <v>0.67</v>
      </c>
      <c r="AG152" s="4">
        <v>0.5</v>
      </c>
      <c r="AH152" s="4">
        <v>1.29</v>
      </c>
    </row>
    <row r="153" ht="15" hidden="1" spans="1:34">
      <c r="A153" s="38">
        <v>8161</v>
      </c>
      <c r="B153" s="4">
        <v>0.26</v>
      </c>
      <c r="C153" s="4">
        <v>0.09</v>
      </c>
      <c r="D153" s="4">
        <v>0.22</v>
      </c>
      <c r="E153" s="13">
        <v>237100000</v>
      </c>
      <c r="F153" s="46" t="s">
        <v>757</v>
      </c>
      <c r="G153">
        <v>46.1526035216197</v>
      </c>
      <c r="H153" s="28">
        <v>49.9925003749812</v>
      </c>
      <c r="I153" s="17">
        <f>H153/G153</f>
        <v>1.083200005208</v>
      </c>
      <c r="J153" s="4">
        <v>1.41</v>
      </c>
      <c r="K153" s="14">
        <v>22.418</v>
      </c>
      <c r="Q153" s="4">
        <v>0.19</v>
      </c>
      <c r="R153" s="4">
        <f>B153</f>
        <v>0.26</v>
      </c>
      <c r="S153" s="18">
        <f>B153/Q153-1</f>
        <v>0.368421052631579</v>
      </c>
      <c r="T153" s="14">
        <v>0.773620972146368</v>
      </c>
      <c r="U153" s="14">
        <v>1.47428571428571</v>
      </c>
      <c r="V153" s="14">
        <v>-0.901154734411085</v>
      </c>
      <c r="W153" s="5" t="s">
        <v>757</v>
      </c>
      <c r="X153" s="6">
        <v>-1.89</v>
      </c>
      <c r="AD153" s="4">
        <v>0</v>
      </c>
      <c r="AE153" s="4">
        <v>0</v>
      </c>
      <c r="AF153" s="4">
        <v>23.653</v>
      </c>
      <c r="AG153" s="4">
        <v>23.461</v>
      </c>
      <c r="AH153" s="4">
        <v>19.84</v>
      </c>
    </row>
    <row r="154" ht="15" hidden="1" spans="1:34">
      <c r="A154" s="37">
        <v>1527</v>
      </c>
      <c r="B154" s="6">
        <v>6.84</v>
      </c>
      <c r="C154" s="6">
        <v>4.8</v>
      </c>
      <c r="D154" s="6">
        <v>12.5</v>
      </c>
      <c r="E154" s="15">
        <v>1079000000</v>
      </c>
      <c r="F154" s="53" t="s">
        <v>122</v>
      </c>
      <c r="G154">
        <v>29.8245614035088</v>
      </c>
      <c r="H154" s="23">
        <v>27.6324186343331</v>
      </c>
      <c r="I154" s="16">
        <f>H154/G154</f>
        <v>0.926498742445287</v>
      </c>
      <c r="J154" s="6">
        <v>1.15</v>
      </c>
      <c r="K154" s="6">
        <v>7.7857</v>
      </c>
      <c r="L154" s="6"/>
      <c r="M154" s="6"/>
      <c r="N154" s="6"/>
      <c r="O154" s="6"/>
      <c r="P154" s="6"/>
      <c r="Q154" s="6">
        <v>5.02</v>
      </c>
      <c r="R154" s="6">
        <f>B154</f>
        <v>6.84</v>
      </c>
      <c r="S154" s="63">
        <f>B154/Q154-1</f>
        <v>0.362549800796813</v>
      </c>
      <c r="T154" s="14">
        <v>-0.098939929328622</v>
      </c>
      <c r="U154" s="16">
        <v>-0.405594405594406</v>
      </c>
      <c r="V154" s="14">
        <v>0.505882352941176</v>
      </c>
      <c r="W154" s="5" t="s">
        <v>122</v>
      </c>
      <c r="X154" s="4">
        <v>-3.66</v>
      </c>
      <c r="Y154" s="4"/>
      <c r="Z154" s="4"/>
      <c r="AA154" s="4"/>
      <c r="AB154" s="4"/>
      <c r="AC154" s="4"/>
      <c r="AD154" s="4">
        <v>0</v>
      </c>
      <c r="AE154" s="4">
        <v>0</v>
      </c>
      <c r="AF154" s="4">
        <v>0.23623</v>
      </c>
      <c r="AG154" s="4">
        <v>0.14851</v>
      </c>
      <c r="AH154" s="4">
        <v>0.204</v>
      </c>
    </row>
    <row r="155" ht="15" hidden="1" spans="1:34">
      <c r="A155" s="37">
        <v>6837</v>
      </c>
      <c r="B155" s="6">
        <v>14.4</v>
      </c>
      <c r="C155" s="6">
        <v>10</v>
      </c>
      <c r="D155" s="6">
        <v>27.9</v>
      </c>
      <c r="E155" s="15">
        <v>158953000000</v>
      </c>
      <c r="F155" s="53" t="s">
        <v>163</v>
      </c>
      <c r="G155">
        <v>28.0575539568345</v>
      </c>
      <c r="H155" s="27">
        <v>4.0257983980027</v>
      </c>
      <c r="I155" s="16">
        <f>H155/G155</f>
        <v>0.143483583928814</v>
      </c>
      <c r="J155" s="6">
        <v>0.98</v>
      </c>
      <c r="K155" s="16">
        <v>1.69147521968462</v>
      </c>
      <c r="L155" s="6">
        <v>13.1941</v>
      </c>
      <c r="M155" s="6">
        <v>10.518</v>
      </c>
      <c r="N155" s="6"/>
      <c r="O155" s="6"/>
      <c r="P155" s="6"/>
      <c r="Q155" s="6">
        <v>10.58</v>
      </c>
      <c r="R155" s="6">
        <f>B155</f>
        <v>14.4</v>
      </c>
      <c r="S155" s="19">
        <f>B155/Q155-1</f>
        <v>0.361058601134216</v>
      </c>
      <c r="T155" s="16">
        <v>-0.282769326175094</v>
      </c>
      <c r="U155" s="14">
        <v>-0.359062297413162</v>
      </c>
      <c r="V155" s="14">
        <v>-0.32615248458351</v>
      </c>
      <c r="W155" s="31" t="s">
        <v>163</v>
      </c>
      <c r="X155" s="4">
        <v>1.12</v>
      </c>
      <c r="AD155" s="6">
        <v>-0.00575539568345324</v>
      </c>
      <c r="AE155" s="4">
        <v>0.125179856115108</v>
      </c>
      <c r="AF155" s="4">
        <v>0.53117</v>
      </c>
      <c r="AG155" s="4">
        <v>0.48689</v>
      </c>
      <c r="AH155" s="4">
        <v>0.57452</v>
      </c>
    </row>
    <row r="156" s="6" customFormat="1" ht="15" hidden="1" spans="1:34">
      <c r="A156" s="38">
        <v>651</v>
      </c>
      <c r="B156" s="4">
        <v>0.242</v>
      </c>
      <c r="C156" s="4">
        <v>0.127</v>
      </c>
      <c r="D156" s="4">
        <v>0.45</v>
      </c>
      <c r="E156" s="13">
        <v>2615600000</v>
      </c>
      <c r="F156" s="53" t="s">
        <v>179</v>
      </c>
      <c r="G156">
        <v>35.9503999897521</v>
      </c>
      <c r="H156" s="25">
        <v>11.569786901707</v>
      </c>
      <c r="I156" s="17">
        <f>H156/G156</f>
        <v>0.321826374810992</v>
      </c>
      <c r="J156" s="4">
        <v>0</v>
      </c>
      <c r="K156" s="4">
        <v>13.5877862595419</v>
      </c>
      <c r="L156" s="4"/>
      <c r="M156" s="4"/>
      <c r="N156" s="4"/>
      <c r="O156" s="4"/>
      <c r="P156" s="4"/>
      <c r="Q156" s="4">
        <v>0.178</v>
      </c>
      <c r="R156" s="4">
        <f>B156</f>
        <v>0.242</v>
      </c>
      <c r="S156" s="18">
        <f>B156/Q156-1</f>
        <v>0.359550561797753</v>
      </c>
      <c r="T156" s="16">
        <v>0.616802471934241</v>
      </c>
      <c r="U156" s="14">
        <v>3.78588833562877</v>
      </c>
      <c r="V156" s="16">
        <v>-0.236994731482711</v>
      </c>
      <c r="W156" s="31" t="s">
        <v>179</v>
      </c>
      <c r="X156" s="4">
        <v>1.255</v>
      </c>
      <c r="Y156" s="4"/>
      <c r="Z156" s="4"/>
      <c r="AA156" s="6"/>
      <c r="AB156" s="6"/>
      <c r="AC156" s="6"/>
      <c r="AD156" s="4">
        <v>0.784615384615385</v>
      </c>
      <c r="AE156" s="4">
        <v>1.15384615384615</v>
      </c>
      <c r="AF156" s="6">
        <v>1.662</v>
      </c>
      <c r="AG156" s="6">
        <v>1.521</v>
      </c>
      <c r="AH156" s="6">
        <v>1.23</v>
      </c>
    </row>
    <row r="157" ht="15" hidden="1" spans="1:34">
      <c r="A157" s="58">
        <v>895</v>
      </c>
      <c r="B157" s="4">
        <v>13.44</v>
      </c>
      <c r="C157" s="4">
        <v>8.6</v>
      </c>
      <c r="D157" s="4">
        <v>19.3</v>
      </c>
      <c r="E157" s="13">
        <v>10833000000</v>
      </c>
      <c r="F157" s="47" t="s">
        <v>927</v>
      </c>
      <c r="G157">
        <v>36.0122856411569</v>
      </c>
      <c r="H157" s="28">
        <v>6.84902233144567</v>
      </c>
      <c r="I157" s="14">
        <f>H157/G157</f>
        <v>0.19018571605514</v>
      </c>
      <c r="J157" s="4">
        <v>2.72</v>
      </c>
      <c r="K157" s="4">
        <v>3.0731376330777</v>
      </c>
      <c r="L157" s="4">
        <v>27.7991</v>
      </c>
      <c r="M157" s="4">
        <v>25.102</v>
      </c>
      <c r="Q157" s="33">
        <v>9.89</v>
      </c>
      <c r="R157" s="4">
        <f>B157</f>
        <v>13.44</v>
      </c>
      <c r="S157" s="18">
        <f>B157/Q157-1</f>
        <v>0.358948432760364</v>
      </c>
      <c r="T157" s="14">
        <v>-0.580974771679175</v>
      </c>
      <c r="U157" s="14">
        <v>-0.732679550043265</v>
      </c>
      <c r="V157" s="14">
        <v>-0.653431160984031</v>
      </c>
      <c r="W157" s="34" t="s">
        <v>927</v>
      </c>
      <c r="X157" s="4">
        <v>0.3</v>
      </c>
      <c r="AD157" s="4">
        <v>0</v>
      </c>
      <c r="AE157" s="4">
        <v>0</v>
      </c>
      <c r="AF157" s="4">
        <v>4.609</v>
      </c>
      <c r="AG157" s="4">
        <v>7.573</v>
      </c>
      <c r="AH157" s="4">
        <v>6.15</v>
      </c>
    </row>
    <row r="158" ht="15" hidden="1" spans="1:34">
      <c r="A158" s="38">
        <v>546</v>
      </c>
      <c r="B158" s="4">
        <v>3.51</v>
      </c>
      <c r="C158" s="4">
        <v>2.43</v>
      </c>
      <c r="D158" s="4">
        <v>6.82</v>
      </c>
      <c r="E158" s="13">
        <v>7762000000</v>
      </c>
      <c r="F158" s="46" t="s">
        <v>560</v>
      </c>
      <c r="G158">
        <v>42.1664449713724</v>
      </c>
      <c r="H158" s="28">
        <v>10.5460977227504</v>
      </c>
      <c r="I158" s="17">
        <f>H158/G158</f>
        <v>0.250106399292384</v>
      </c>
      <c r="J158" s="4">
        <v>0.76</v>
      </c>
      <c r="K158" s="4">
        <v>0.374186644688826</v>
      </c>
      <c r="L158" s="4">
        <v>6.8692</v>
      </c>
      <c r="M158" s="4">
        <v>6.935</v>
      </c>
      <c r="Q158" s="4">
        <v>2.6</v>
      </c>
      <c r="R158" s="4">
        <f>B158</f>
        <v>3.51</v>
      </c>
      <c r="S158" s="18">
        <f>B158/Q158-1</f>
        <v>0.35</v>
      </c>
      <c r="T158" s="14">
        <v>0.0894342000935206</v>
      </c>
      <c r="U158" s="14">
        <v>0.000672268907563025</v>
      </c>
      <c r="V158" s="16">
        <v>-0.932384951293248</v>
      </c>
      <c r="W158" s="31" t="s">
        <v>560</v>
      </c>
      <c r="X158" s="4">
        <v>0.86</v>
      </c>
      <c r="AC158" s="6"/>
      <c r="AD158" s="4">
        <v>0.145985401459854</v>
      </c>
      <c r="AE158" s="6">
        <v>0.265206812652068</v>
      </c>
      <c r="AF158" s="4">
        <v>37.85</v>
      </c>
      <c r="AG158" s="4">
        <v>30.8</v>
      </c>
      <c r="AH158" s="4">
        <v>22.35</v>
      </c>
    </row>
    <row r="159" ht="15" hidden="1" spans="1:34">
      <c r="A159" s="41">
        <v>8138</v>
      </c>
      <c r="B159" s="4">
        <v>11.2</v>
      </c>
      <c r="C159" s="4">
        <v>7.71</v>
      </c>
      <c r="D159" s="4">
        <v>14.82</v>
      </c>
      <c r="E159" s="13">
        <v>9844000000</v>
      </c>
      <c r="F159" s="46" t="s">
        <v>479</v>
      </c>
      <c r="G159">
        <v>32.5872994472159</v>
      </c>
      <c r="H159" s="23">
        <v>8.93246187363834</v>
      </c>
      <c r="I159" s="17">
        <f>H159/G159</f>
        <v>0.274108687284963</v>
      </c>
      <c r="J159" s="4">
        <v>4.31</v>
      </c>
      <c r="K159" s="14">
        <v>7.56016820255882</v>
      </c>
      <c r="L159" s="4">
        <v>24.6357</v>
      </c>
      <c r="M159" s="4">
        <v>24.024</v>
      </c>
      <c r="Q159" s="4">
        <v>8.31</v>
      </c>
      <c r="R159" s="4">
        <f>B159</f>
        <v>11.2</v>
      </c>
      <c r="S159" s="18">
        <f>B159/Q159-1</f>
        <v>0.34777376654633</v>
      </c>
      <c r="T159" s="16">
        <v>-0.384473197781885</v>
      </c>
      <c r="U159" s="16">
        <v>-0.507881773399015</v>
      </c>
      <c r="V159" s="14">
        <v>-0.174174174174174</v>
      </c>
      <c r="W159" s="31" t="s">
        <v>479</v>
      </c>
      <c r="X159" s="4">
        <v>0</v>
      </c>
      <c r="AA159" s="6"/>
      <c r="AB159" s="6"/>
      <c r="AC159" s="6"/>
      <c r="AD159" s="4">
        <v>0.166156982670744</v>
      </c>
      <c r="AE159" s="4">
        <v>0.225280326197757</v>
      </c>
      <c r="AF159" s="4">
        <v>0.0172</v>
      </c>
      <c r="AG159" s="4">
        <v>0.083</v>
      </c>
      <c r="AH159" s="4">
        <v>0.016</v>
      </c>
    </row>
    <row r="160" ht="15" hidden="1" spans="1:34">
      <c r="A160" s="43">
        <v>2193</v>
      </c>
      <c r="B160" s="4">
        <v>1.13</v>
      </c>
      <c r="C160" s="4">
        <v>0.5</v>
      </c>
      <c r="D160" s="4">
        <v>1.52</v>
      </c>
      <c r="E160" s="13">
        <v>484000000</v>
      </c>
      <c r="F160" s="45" t="s">
        <v>928</v>
      </c>
      <c r="G160">
        <v>33.6297869516161</v>
      </c>
      <c r="H160" s="56">
        <v>27.4372371606984</v>
      </c>
      <c r="I160" s="14">
        <f>H160/G160</f>
        <v>0.815861164989623</v>
      </c>
      <c r="J160" s="4">
        <v>1.43</v>
      </c>
      <c r="K160" s="4">
        <v>1.45562960364784</v>
      </c>
      <c r="L160" s="4">
        <v>9.8456</v>
      </c>
      <c r="Q160" s="4">
        <v>0.84</v>
      </c>
      <c r="R160" s="61">
        <f>B160</f>
        <v>1.13</v>
      </c>
      <c r="S160" s="60">
        <f>B160/Q160-1</f>
        <v>0.345238095238095</v>
      </c>
      <c r="T160" s="14">
        <v>-0.520491803278688</v>
      </c>
      <c r="U160" s="14">
        <v>-0.706766917293233</v>
      </c>
      <c r="V160" s="14">
        <v>-0.41025641025641</v>
      </c>
      <c r="W160" s="62" t="s">
        <v>928</v>
      </c>
      <c r="X160" s="4">
        <v>0</v>
      </c>
      <c r="AF160" s="4">
        <v>0.166</v>
      </c>
      <c r="AG160" s="4">
        <v>0.144</v>
      </c>
      <c r="AH160" s="4">
        <v>0.103</v>
      </c>
    </row>
    <row r="161" ht="15" hidden="1" spans="1:34">
      <c r="A161" s="38">
        <v>8307</v>
      </c>
      <c r="B161" s="4">
        <v>0.86</v>
      </c>
      <c r="C161" s="4">
        <v>0.31</v>
      </c>
      <c r="D161" s="4">
        <v>4</v>
      </c>
      <c r="E161" s="13">
        <v>416000000</v>
      </c>
      <c r="F161" s="45" t="s">
        <v>929</v>
      </c>
      <c r="G161">
        <v>41.8604651162791</v>
      </c>
      <c r="H161" s="49">
        <v>36.0544217687075</v>
      </c>
      <c r="I161" s="14">
        <f>H161/G161</f>
        <v>0.86130007558579</v>
      </c>
      <c r="J161" s="4">
        <v>5.52</v>
      </c>
      <c r="K161" s="4">
        <v>4.15094339622641</v>
      </c>
      <c r="L161" s="4">
        <v>79.3269</v>
      </c>
      <c r="M161" s="4">
        <v>70.213</v>
      </c>
      <c r="Q161" s="4">
        <v>0.64</v>
      </c>
      <c r="R161" s="61">
        <f>B161</f>
        <v>0.86</v>
      </c>
      <c r="S161" s="60">
        <f>B161/Q161-1</f>
        <v>0.34375</v>
      </c>
      <c r="T161" s="14">
        <v>-0.149732620320856</v>
      </c>
      <c r="U161" s="14">
        <v>-0.0862068965517241</v>
      </c>
      <c r="V161" s="14">
        <v>-0.622641509433962</v>
      </c>
      <c r="W161" s="31" t="s">
        <v>929</v>
      </c>
      <c r="X161" s="4">
        <v>0</v>
      </c>
      <c r="AF161" s="4">
        <v>0.812</v>
      </c>
      <c r="AG161" s="4">
        <v>0.856</v>
      </c>
      <c r="AH161" s="4">
        <v>0.114</v>
      </c>
    </row>
    <row r="162" ht="15" hidden="1" spans="1:34">
      <c r="A162" s="38">
        <v>10</v>
      </c>
      <c r="B162" s="4">
        <v>29.35</v>
      </c>
      <c r="C162" s="4">
        <v>19.46</v>
      </c>
      <c r="D162" s="4">
        <v>45</v>
      </c>
      <c r="E162" s="13">
        <v>39741000000</v>
      </c>
      <c r="F162" s="59" t="s">
        <v>930</v>
      </c>
      <c r="G162">
        <v>33.6957963134863</v>
      </c>
      <c r="H162" s="49">
        <v>10.2171277416511</v>
      </c>
      <c r="I162" s="14">
        <f>H162/G162</f>
        <v>0.303216687523773</v>
      </c>
      <c r="J162" s="4">
        <v>0.39</v>
      </c>
      <c r="K162" s="4">
        <v>2.71794221996958</v>
      </c>
      <c r="L162" s="4">
        <v>9.0511</v>
      </c>
      <c r="M162" s="4">
        <v>9.052</v>
      </c>
      <c r="N162" s="4"/>
      <c r="O162" s="4"/>
      <c r="P162" s="4"/>
      <c r="Q162" s="4">
        <v>21.85</v>
      </c>
      <c r="R162" s="61">
        <f>B162</f>
        <v>29.35</v>
      </c>
      <c r="S162" s="18">
        <f>B162/Q162-1</f>
        <v>0.34324942791762</v>
      </c>
      <c r="T162" s="14">
        <v>0.517856221293286</v>
      </c>
      <c r="U162" s="14">
        <v>0.320381593714927</v>
      </c>
      <c r="V162" s="14">
        <v>-0.588426295836663</v>
      </c>
      <c r="W162" s="31" t="s">
        <v>930</v>
      </c>
      <c r="X162" s="4">
        <v>0.51</v>
      </c>
      <c r="Y162" s="4"/>
      <c r="Z162" s="4"/>
      <c r="AA162" s="4"/>
      <c r="AB162" s="4"/>
      <c r="AC162" s="4"/>
      <c r="AD162" s="4"/>
      <c r="AE162" s="4"/>
      <c r="AF162" s="4">
        <v>1.49744</v>
      </c>
      <c r="AG162" s="4">
        <v>1.96046</v>
      </c>
      <c r="AH162" s="4">
        <v>2.13</v>
      </c>
    </row>
    <row r="163" s="6" customFormat="1" ht="15" spans="1:34">
      <c r="A163" s="37">
        <v>1117</v>
      </c>
      <c r="B163" s="6">
        <v>1.88</v>
      </c>
      <c r="C163" s="6">
        <v>1.38</v>
      </c>
      <c r="D163" s="6">
        <v>4.19</v>
      </c>
      <c r="E163" s="15">
        <v>8859000000</v>
      </c>
      <c r="F163" s="47" t="s">
        <v>106</v>
      </c>
      <c r="G163">
        <v>47.8732276897415</v>
      </c>
      <c r="H163" s="23">
        <v>19.1469081377338</v>
      </c>
      <c r="I163" s="16">
        <f>H163/G163</f>
        <v>0.399950223992036</v>
      </c>
      <c r="J163" s="6">
        <v>0.89</v>
      </c>
      <c r="K163" s="6">
        <v>1.16528259701304</v>
      </c>
      <c r="L163" s="6">
        <v>8.0774</v>
      </c>
      <c r="M163" s="6">
        <v>7.349</v>
      </c>
      <c r="N163" s="6"/>
      <c r="O163" s="6"/>
      <c r="P163" s="6"/>
      <c r="Q163" s="6">
        <v>1.4</v>
      </c>
      <c r="R163" s="6">
        <f>B163</f>
        <v>1.88</v>
      </c>
      <c r="S163" s="63">
        <f>B163/Q163-1</f>
        <v>0.342857142857143</v>
      </c>
      <c r="T163" s="14">
        <v>-0.228709717453357</v>
      </c>
      <c r="U163" s="14">
        <v>-0.409082265241699</v>
      </c>
      <c r="V163" s="14">
        <v>-0.728840831563365</v>
      </c>
      <c r="W163" s="31" t="s">
        <v>106</v>
      </c>
      <c r="X163" s="4">
        <v>-2.59</v>
      </c>
      <c r="Y163" s="6" t="s">
        <v>931</v>
      </c>
      <c r="Z163" s="6"/>
      <c r="AA163" s="6"/>
      <c r="AB163" s="6"/>
      <c r="AC163" s="6"/>
      <c r="AD163" s="6">
        <v>0.0818181818181817</v>
      </c>
      <c r="AE163" s="4">
        <v>0.145454545454545</v>
      </c>
      <c r="AF163" s="6">
        <v>6.243</v>
      </c>
      <c r="AG163" s="6">
        <v>4.21</v>
      </c>
      <c r="AH163" s="6">
        <v>3.12</v>
      </c>
    </row>
    <row r="164" ht="15" spans="1:34">
      <c r="A164" s="65">
        <v>777</v>
      </c>
      <c r="B164" s="6">
        <v>23.55</v>
      </c>
      <c r="C164" s="6">
        <v>11.8</v>
      </c>
      <c r="D164" s="6">
        <v>42.05</v>
      </c>
      <c r="E164" s="15">
        <v>12728000000</v>
      </c>
      <c r="F164" s="47" t="s">
        <v>541</v>
      </c>
      <c r="G164">
        <v>26.1120141864933</v>
      </c>
      <c r="H164" s="27">
        <v>24.4090569793481</v>
      </c>
      <c r="I164" s="16">
        <f>H164/G164</f>
        <v>0.934782617879166</v>
      </c>
      <c r="J164" s="6">
        <v>1.71</v>
      </c>
      <c r="K164" s="6">
        <v>6.31895569125926</v>
      </c>
      <c r="L164" s="6">
        <v>40.7741</v>
      </c>
      <c r="M164" s="6">
        <v>40.386</v>
      </c>
      <c r="N164" s="6"/>
      <c r="O164" s="6"/>
      <c r="P164" s="6"/>
      <c r="Q164" s="6">
        <v>17.56</v>
      </c>
      <c r="R164" s="4">
        <f>B164</f>
        <v>23.55</v>
      </c>
      <c r="S164" s="19">
        <f>B164/Q164-1</f>
        <v>0.341116173120729</v>
      </c>
      <c r="T164" s="14">
        <v>-0.330037837178079</v>
      </c>
      <c r="U164" s="14">
        <v>-0.505272645335737</v>
      </c>
      <c r="V164" s="16">
        <v>-0.601931134997267</v>
      </c>
      <c r="W164" s="5" t="s">
        <v>541</v>
      </c>
      <c r="X164" s="4">
        <v>-1.46</v>
      </c>
      <c r="Y164" s="61" t="s">
        <v>932</v>
      </c>
      <c r="Z164" s="4">
        <v>1</v>
      </c>
      <c r="AA164" s="4">
        <v>500</v>
      </c>
      <c r="AB164" s="4">
        <v>36</v>
      </c>
      <c r="AC164" s="4"/>
      <c r="AD164" s="6">
        <v>0.328813559322034</v>
      </c>
      <c r="AE164" s="4">
        <v>0.398870056497175</v>
      </c>
      <c r="AF164" s="4">
        <v>0.80556</v>
      </c>
      <c r="AG164" s="4">
        <v>1.25</v>
      </c>
      <c r="AH164" s="4">
        <v>1.4</v>
      </c>
    </row>
    <row r="165" ht="15" hidden="1" spans="1:34">
      <c r="A165" s="41">
        <v>338</v>
      </c>
      <c r="B165" s="4">
        <v>4</v>
      </c>
      <c r="C165" s="4">
        <v>2.17</v>
      </c>
      <c r="D165" s="4">
        <v>5.35</v>
      </c>
      <c r="E165" s="13">
        <v>43200000000</v>
      </c>
      <c r="F165" s="46" t="s">
        <v>563</v>
      </c>
      <c r="G165">
        <v>33.7485093414602</v>
      </c>
      <c r="H165" s="25">
        <v>3.74520178441747</v>
      </c>
      <c r="I165" s="17">
        <f>H165/G165</f>
        <v>0.110973843215542</v>
      </c>
      <c r="J165" s="4">
        <v>1.41</v>
      </c>
      <c r="K165" s="4">
        <v>0.31015090565303</v>
      </c>
      <c r="L165" s="4"/>
      <c r="M165" s="4"/>
      <c r="N165" s="4"/>
      <c r="O165" s="4"/>
      <c r="P165" s="4"/>
      <c r="Q165" s="4">
        <v>2.99</v>
      </c>
      <c r="R165" s="4">
        <f>B165</f>
        <v>4</v>
      </c>
      <c r="S165" s="18">
        <f>B165/Q165-1</f>
        <v>0.337792642140468</v>
      </c>
      <c r="T165" s="16">
        <v>-0.218579046794443</v>
      </c>
      <c r="U165" s="16">
        <v>-0.274748304910623</v>
      </c>
      <c r="V165" s="16">
        <v>-0.47808516063233</v>
      </c>
      <c r="W165" s="31" t="s">
        <v>563</v>
      </c>
      <c r="X165" s="4">
        <v>0.25</v>
      </c>
      <c r="Y165" s="4"/>
      <c r="Z165" s="4"/>
      <c r="AA165" s="4"/>
      <c r="AB165" s="4"/>
      <c r="AC165" s="6"/>
      <c r="AD165" s="4">
        <v>0.267206477732793</v>
      </c>
      <c r="AE165" s="6">
        <v>0.449392712550607</v>
      </c>
      <c r="AF165" s="4">
        <v>0.159</v>
      </c>
      <c r="AG165" s="4">
        <v>0.108</v>
      </c>
      <c r="AH165" s="4">
        <v>0.085</v>
      </c>
    </row>
    <row r="166" ht="15" hidden="1" spans="1:34">
      <c r="A166" s="38">
        <v>296</v>
      </c>
      <c r="B166" s="4">
        <v>1.87</v>
      </c>
      <c r="C166" s="4">
        <v>1.16</v>
      </c>
      <c r="D166" s="4">
        <v>2.78</v>
      </c>
      <c r="E166" s="13">
        <v>2501000000</v>
      </c>
      <c r="F166" s="47" t="s">
        <v>933</v>
      </c>
      <c r="G166">
        <v>37.9691086160908</v>
      </c>
      <c r="H166" s="26">
        <v>32.6259946949602</v>
      </c>
      <c r="I166" s="14">
        <f>H166/G166</f>
        <v>0.859277341083897</v>
      </c>
      <c r="J166" s="4">
        <v>0.54</v>
      </c>
      <c r="K166" s="4">
        <v>0.978307103360272</v>
      </c>
      <c r="L166" s="4">
        <v>3.5645</v>
      </c>
      <c r="M166" s="4">
        <v>3.513</v>
      </c>
      <c r="N166" s="4"/>
      <c r="O166" s="4"/>
      <c r="P166" s="4"/>
      <c r="Q166" s="32">
        <v>1.4</v>
      </c>
      <c r="R166" s="6">
        <f>B166</f>
        <v>1.87</v>
      </c>
      <c r="S166" s="19">
        <f>B166/Q166-1</f>
        <v>0.335714285714286</v>
      </c>
      <c r="T166" s="14">
        <v>0.56</v>
      </c>
      <c r="U166" s="14">
        <v>0.378787878787879</v>
      </c>
      <c r="V166" s="16">
        <v>0.307692307692308</v>
      </c>
      <c r="W166" s="31" t="s">
        <v>933</v>
      </c>
      <c r="X166" s="4">
        <v>2.75</v>
      </c>
      <c r="Y166" s="6"/>
      <c r="Z166" s="6"/>
      <c r="AA166" s="4"/>
      <c r="AB166" s="4"/>
      <c r="AC166" s="6"/>
      <c r="AD166" s="4">
        <v>0.0243261012491783</v>
      </c>
      <c r="AE166" s="4">
        <v>0.0802103879026957</v>
      </c>
      <c r="AF166" s="4">
        <v>0.83</v>
      </c>
      <c r="AG166" s="4">
        <v>1.05</v>
      </c>
      <c r="AH166" s="4">
        <v>0.6</v>
      </c>
    </row>
    <row r="167" ht="15" hidden="1" spans="1:34">
      <c r="A167" s="43">
        <v>727</v>
      </c>
      <c r="B167" s="4">
        <v>1.87</v>
      </c>
      <c r="C167" s="4">
        <v>0.37</v>
      </c>
      <c r="D167" s="4">
        <v>1.75</v>
      </c>
      <c r="E167" s="13">
        <v>5834000000</v>
      </c>
      <c r="F167" s="46" t="s">
        <v>934</v>
      </c>
      <c r="G167">
        <v>3.74434498026759</v>
      </c>
      <c r="H167" s="49">
        <v>8.02635843145728</v>
      </c>
      <c r="I167" s="14">
        <f>H167/G167</f>
        <v>2.1435948006275</v>
      </c>
      <c r="J167" s="4">
        <v>6.72</v>
      </c>
      <c r="K167" s="4">
        <v>873.684210526315</v>
      </c>
      <c r="L167" s="4">
        <v>30.6164</v>
      </c>
      <c r="M167" s="4">
        <v>20.881</v>
      </c>
      <c r="Q167" s="4">
        <v>1.4</v>
      </c>
      <c r="R167" s="61">
        <f>B167</f>
        <v>1.87</v>
      </c>
      <c r="S167" s="18">
        <f>B167/Q167-1</f>
        <v>0.335714285714286</v>
      </c>
      <c r="T167" s="14">
        <v>-0.33930247671312</v>
      </c>
      <c r="U167" s="14">
        <v>-0.396994859628312</v>
      </c>
      <c r="V167" s="14">
        <v>-0.336065573770492</v>
      </c>
      <c r="W167" s="31" t="s">
        <v>934</v>
      </c>
      <c r="X167" s="4">
        <v>0.54</v>
      </c>
      <c r="AG167" s="4">
        <v>1.32</v>
      </c>
      <c r="AH167" s="4">
        <v>1.22</v>
      </c>
    </row>
    <row r="168" s="6" customFormat="1" ht="15" hidden="1" spans="1:34">
      <c r="A168" s="38">
        <v>1260</v>
      </c>
      <c r="B168" s="4">
        <v>2.27</v>
      </c>
      <c r="C168" s="4">
        <v>1.17</v>
      </c>
      <c r="D168" s="4">
        <v>3.33</v>
      </c>
      <c r="E168" s="13">
        <v>2841000000</v>
      </c>
      <c r="F168" s="46" t="s">
        <v>10</v>
      </c>
      <c r="G168">
        <v>26.8738574040219</v>
      </c>
      <c r="H168" s="25">
        <v>7.93308148947652</v>
      </c>
      <c r="I168" s="17">
        <f>H168/G168</f>
        <v>0.295196977873718</v>
      </c>
      <c r="J168" s="4">
        <v>1.86</v>
      </c>
      <c r="K168" s="4">
        <v>3.38566294685076</v>
      </c>
      <c r="L168" s="4">
        <v>10.7199</v>
      </c>
      <c r="M168" s="4">
        <v>8.543</v>
      </c>
      <c r="N168" s="4"/>
      <c r="O168" s="4"/>
      <c r="P168" s="4"/>
      <c r="Q168" s="4">
        <v>1.7</v>
      </c>
      <c r="R168" s="4">
        <f>B168</f>
        <v>2.27</v>
      </c>
      <c r="S168" s="18">
        <f>B168/Q168-1</f>
        <v>0.335294117647059</v>
      </c>
      <c r="T168" s="14">
        <v>-0.208333333333333</v>
      </c>
      <c r="U168" s="14">
        <v>-0.146067415730337</v>
      </c>
      <c r="V168" s="16">
        <v>-0.947368421052632</v>
      </c>
      <c r="W168" s="31" t="s">
        <v>10</v>
      </c>
      <c r="X168" s="6">
        <v>-0.44</v>
      </c>
      <c r="Y168" s="4"/>
      <c r="Z168" s="4"/>
      <c r="AA168" s="4"/>
      <c r="AB168" s="4"/>
      <c r="AC168" s="6"/>
      <c r="AD168" s="4">
        <v>0.185185185185185</v>
      </c>
      <c r="AE168" s="4">
        <v>0.253086419753086</v>
      </c>
      <c r="AF168" s="6">
        <v>0.33</v>
      </c>
      <c r="AG168" s="6">
        <v>0.225</v>
      </c>
      <c r="AH168" s="6">
        <v>0.236</v>
      </c>
    </row>
    <row r="169" s="6" customFormat="1" ht="15" hidden="1" spans="1:34">
      <c r="A169" s="37">
        <v>2618</v>
      </c>
      <c r="B169" s="6">
        <v>7.47</v>
      </c>
      <c r="C169" s="6">
        <v>4.87</v>
      </c>
      <c r="D169" s="6">
        <v>10.96</v>
      </c>
      <c r="E169" s="15">
        <v>0</v>
      </c>
      <c r="F169" s="57" t="s">
        <v>683</v>
      </c>
      <c r="G169">
        <v>36.0122856411569</v>
      </c>
      <c r="H169" s="26">
        <v>0.270730973628798</v>
      </c>
      <c r="I169" s="16">
        <f>H169/G169</f>
        <v>0.00751773926060919</v>
      </c>
      <c r="J169" s="6">
        <v>1.92</v>
      </c>
      <c r="K169" s="6">
        <v>0.261637907620996</v>
      </c>
      <c r="L169" s="6">
        <v>6.7095</v>
      </c>
      <c r="M169" s="6">
        <v>6.115</v>
      </c>
      <c r="N169" s="6"/>
      <c r="O169" s="6"/>
      <c r="P169" s="6"/>
      <c r="Q169" s="6">
        <v>5.6</v>
      </c>
      <c r="R169" s="6">
        <f>B169</f>
        <v>7.47</v>
      </c>
      <c r="S169" s="19">
        <f>B169/Q169-1</f>
        <v>0.333928571428572</v>
      </c>
      <c r="T169" s="16">
        <v>0</v>
      </c>
      <c r="U169" s="16">
        <v>0</v>
      </c>
      <c r="V169" s="16">
        <v>0</v>
      </c>
      <c r="W169" s="31" t="s">
        <v>683</v>
      </c>
      <c r="X169" s="4">
        <v>0</v>
      </c>
      <c r="Y169" s="4"/>
      <c r="Z169" s="4"/>
      <c r="AA169" s="4"/>
      <c r="AB169" s="4"/>
      <c r="AC169" s="6"/>
      <c r="AD169" s="6">
        <v>0.17458542947643</v>
      </c>
      <c r="AE169" s="4">
        <v>0.241848332401714</v>
      </c>
      <c r="AF169" s="6">
        <v>11.45501</v>
      </c>
      <c r="AG169" s="6">
        <v>7.13</v>
      </c>
      <c r="AH169" s="6">
        <v>4.04</v>
      </c>
    </row>
    <row r="170" ht="15" spans="1:34">
      <c r="A170" s="38">
        <v>1205</v>
      </c>
      <c r="B170" s="4">
        <v>0.92</v>
      </c>
      <c r="C170" s="4">
        <v>0.51</v>
      </c>
      <c r="D170" s="4">
        <v>2.61</v>
      </c>
      <c r="E170" s="13">
        <v>7858000000</v>
      </c>
      <c r="F170" s="50" t="s">
        <v>935</v>
      </c>
      <c r="G170">
        <v>44.564554576196</v>
      </c>
      <c r="H170" s="49">
        <v>16.3061177017911</v>
      </c>
      <c r="I170" s="14">
        <f>H170/G170</f>
        <v>0.365898814806083</v>
      </c>
      <c r="J170" s="4">
        <v>1.28</v>
      </c>
      <c r="K170" s="4">
        <v>1.36655948553054</v>
      </c>
      <c r="L170" s="4"/>
      <c r="M170" s="4"/>
      <c r="N170" s="4"/>
      <c r="O170" s="4"/>
      <c r="P170" s="4"/>
      <c r="Q170" s="4">
        <v>0.69</v>
      </c>
      <c r="R170" s="61">
        <f>B170</f>
        <v>0.92</v>
      </c>
      <c r="S170" s="18">
        <f>B170/Q170-1</f>
        <v>0.333333333333333</v>
      </c>
      <c r="T170" s="14">
        <v>-0.328476862484282</v>
      </c>
      <c r="U170" s="14">
        <v>-0.150965707528577</v>
      </c>
      <c r="V170" s="14">
        <v>-0.823584029712163</v>
      </c>
      <c r="W170" s="31" t="s">
        <v>935</v>
      </c>
      <c r="X170" s="4">
        <v>0</v>
      </c>
      <c r="Y170" s="61" t="s">
        <v>879</v>
      </c>
      <c r="Z170" s="4"/>
      <c r="AA170" s="4"/>
      <c r="AB170" s="4"/>
      <c r="AC170" s="4"/>
      <c r="AD170" s="4"/>
      <c r="AE170" s="4"/>
      <c r="AF170" s="4">
        <v>2.063</v>
      </c>
      <c r="AG170" s="4">
        <v>1.71</v>
      </c>
      <c r="AH170" s="4">
        <v>1.5</v>
      </c>
    </row>
    <row r="171" s="6" customFormat="1" ht="15" hidden="1" spans="1:34">
      <c r="A171" s="38">
        <v>368</v>
      </c>
      <c r="B171" s="4">
        <v>1.61</v>
      </c>
      <c r="C171" s="4">
        <v>1.2</v>
      </c>
      <c r="D171" s="4">
        <v>2.55</v>
      </c>
      <c r="E171" s="13">
        <v>5150000000</v>
      </c>
      <c r="F171" s="46" t="s">
        <v>562</v>
      </c>
      <c r="G171">
        <v>31.6753211259907</v>
      </c>
      <c r="H171" s="28">
        <v>5.58547143912998</v>
      </c>
      <c r="I171" s="17">
        <f>H171/G171</f>
        <v>0.176335116443284</v>
      </c>
      <c r="J171" s="4">
        <v>0.31</v>
      </c>
      <c r="K171" s="4">
        <v>0.53023528422957</v>
      </c>
      <c r="L171" s="4">
        <v>345.541</v>
      </c>
      <c r="M171" s="4">
        <v>336.111</v>
      </c>
      <c r="N171" s="4"/>
      <c r="O171" s="4"/>
      <c r="P171" s="4"/>
      <c r="Q171" s="4">
        <v>1.21</v>
      </c>
      <c r="R171" s="4">
        <f>B171</f>
        <v>1.61</v>
      </c>
      <c r="S171" s="18">
        <f>B171/Q171-1</f>
        <v>0.330578512396694</v>
      </c>
      <c r="T171" s="14">
        <v>-0.445931899866004</v>
      </c>
      <c r="U171" s="14">
        <v>-0.458947831829188</v>
      </c>
      <c r="V171" s="14">
        <v>0.324382967181991</v>
      </c>
      <c r="W171" s="31" t="s">
        <v>562</v>
      </c>
      <c r="X171" s="6">
        <v>1.9</v>
      </c>
      <c r="Y171" s="4"/>
      <c r="Z171" s="4"/>
      <c r="AA171" s="6"/>
      <c r="AB171" s="6"/>
      <c r="AC171" s="6"/>
      <c r="AD171" s="4">
        <v>0.12</v>
      </c>
      <c r="AE171" s="6">
        <v>0.133333333333333</v>
      </c>
      <c r="AF171" s="6">
        <v>0.325</v>
      </c>
      <c r="AG171" s="6">
        <v>0.58</v>
      </c>
      <c r="AH171" s="6">
        <v>0.58</v>
      </c>
    </row>
    <row r="172" ht="15" hidden="1" spans="1:34">
      <c r="A172" s="22">
        <v>111</v>
      </c>
      <c r="B172" s="6">
        <v>1.09</v>
      </c>
      <c r="C172" s="6">
        <v>0.7</v>
      </c>
      <c r="D172" s="6">
        <v>2.44</v>
      </c>
      <c r="E172" s="15">
        <v>641000000</v>
      </c>
      <c r="F172" s="53" t="s">
        <v>767</v>
      </c>
      <c r="G172">
        <v>28.43852869615</v>
      </c>
      <c r="H172" s="27">
        <v>9.1703056768559</v>
      </c>
      <c r="I172" s="16">
        <f>H172/G172</f>
        <v>0.322460622869613</v>
      </c>
      <c r="J172" s="6">
        <v>0.71</v>
      </c>
      <c r="K172" s="6">
        <v>2.71142672692059</v>
      </c>
      <c r="L172" s="6">
        <v>19.0794</v>
      </c>
      <c r="M172" s="6">
        <v>18.636</v>
      </c>
      <c r="N172" s="6"/>
      <c r="O172" s="6"/>
      <c r="P172" s="6"/>
      <c r="Q172" s="6">
        <v>0.82</v>
      </c>
      <c r="R172" s="6">
        <f>B172</f>
        <v>1.09</v>
      </c>
      <c r="S172" s="19">
        <f>B172/Q172-1</f>
        <v>0.329268292682927</v>
      </c>
      <c r="T172" s="14">
        <v>-0.668972021376925</v>
      </c>
      <c r="U172" s="14">
        <v>-0.398972602739726</v>
      </c>
      <c r="V172" s="16">
        <v>-0.376068376068376</v>
      </c>
      <c r="W172" s="31" t="s">
        <v>767</v>
      </c>
      <c r="X172" s="4">
        <v>-1.8</v>
      </c>
      <c r="AA172" s="6"/>
      <c r="AB172" s="6"/>
      <c r="AD172" s="4">
        <v>0.310344827586207</v>
      </c>
      <c r="AE172" s="4">
        <v>0.494252873563218</v>
      </c>
      <c r="AF172" s="4">
        <v>0.279</v>
      </c>
      <c r="AG172" s="4">
        <v>0.8</v>
      </c>
      <c r="AH172" s="4">
        <v>0.86</v>
      </c>
    </row>
    <row r="173" ht="15" hidden="1" spans="1:34">
      <c r="A173" s="65">
        <v>1211</v>
      </c>
      <c r="B173" s="4">
        <v>45.1</v>
      </c>
      <c r="C173" s="4">
        <v>18.7</v>
      </c>
      <c r="D173" s="4">
        <v>62.3</v>
      </c>
      <c r="E173" s="13">
        <v>140227000000</v>
      </c>
      <c r="F173" s="47" t="s">
        <v>526</v>
      </c>
      <c r="G173">
        <v>28.9368959636157</v>
      </c>
      <c r="H173" s="25">
        <v>26.9357705001269</v>
      </c>
      <c r="I173" s="17">
        <f>H173/G173</f>
        <v>0.930845192725408</v>
      </c>
      <c r="J173" s="4">
        <v>2.69</v>
      </c>
      <c r="K173" s="4">
        <v>1.13650834672927</v>
      </c>
      <c r="L173" s="4">
        <v>162.6064</v>
      </c>
      <c r="M173" s="4">
        <v>152.573</v>
      </c>
      <c r="N173" s="4"/>
      <c r="O173" s="4"/>
      <c r="P173" s="4"/>
      <c r="Q173" s="4">
        <v>34.1</v>
      </c>
      <c r="R173" s="4">
        <f>B173</f>
        <v>45.1</v>
      </c>
      <c r="S173" s="18">
        <f>B173/Q173-1</f>
        <v>0.32258064516129</v>
      </c>
      <c r="T173" s="14">
        <v>-0.331430655314021</v>
      </c>
      <c r="U173" s="14">
        <v>0.0562360662308058</v>
      </c>
      <c r="V173" s="16">
        <v>-0.190723568752075</v>
      </c>
      <c r="W173" s="31" t="s">
        <v>526</v>
      </c>
      <c r="X173" s="6">
        <v>-1.74</v>
      </c>
      <c r="Y173" s="4"/>
      <c r="Z173" s="4"/>
      <c r="AA173" s="6"/>
      <c r="AB173" s="6"/>
      <c r="AC173" s="4"/>
      <c r="AD173" s="6">
        <v>0.129934210526316</v>
      </c>
      <c r="AE173" s="6">
        <v>0.294407894736842</v>
      </c>
      <c r="AF173" s="4">
        <v>0.442</v>
      </c>
      <c r="AG173" s="4">
        <v>0.368</v>
      </c>
      <c r="AH173" s="4">
        <v>0.51</v>
      </c>
    </row>
    <row r="174" s="6" customFormat="1" ht="15" spans="1:34">
      <c r="A174" s="37">
        <v>1495</v>
      </c>
      <c r="B174" s="6">
        <v>1.12</v>
      </c>
      <c r="C174" s="6">
        <v>0.74</v>
      </c>
      <c r="D174" s="6">
        <v>1.76</v>
      </c>
      <c r="E174" s="15">
        <v>492000000</v>
      </c>
      <c r="F174" s="47" t="s">
        <v>245</v>
      </c>
      <c r="G174">
        <v>33.9279814998348</v>
      </c>
      <c r="H174" s="27">
        <v>9.81770261366132</v>
      </c>
      <c r="I174" s="16">
        <f>H174/G174</f>
        <v>0.289368897872958</v>
      </c>
      <c r="J174" s="6">
        <v>1</v>
      </c>
      <c r="K174" s="6">
        <v>5.6891</v>
      </c>
      <c r="L174" s="6"/>
      <c r="M174" s="6"/>
      <c r="N174" s="6"/>
      <c r="O174" s="6"/>
      <c r="P174" s="6"/>
      <c r="Q174" s="6">
        <v>0.85</v>
      </c>
      <c r="R174" s="6">
        <f>B174</f>
        <v>1.12</v>
      </c>
      <c r="S174" s="19">
        <f>B174/Q174-1</f>
        <v>0.31764705882353</v>
      </c>
      <c r="T174" s="14">
        <v>-0.410891089108911</v>
      </c>
      <c r="U174" s="16">
        <v>-0.674863387978142</v>
      </c>
      <c r="V174" s="14">
        <v>-0.273109243697479</v>
      </c>
      <c r="W174" s="31" t="s">
        <v>245</v>
      </c>
      <c r="X174" s="4">
        <v>0.9</v>
      </c>
      <c r="Y174" s="61" t="s">
        <v>936</v>
      </c>
      <c r="Z174" s="4"/>
      <c r="AA174" s="6"/>
      <c r="AB174" s="6"/>
      <c r="AC174" s="4"/>
      <c r="AD174" s="6">
        <v>0</v>
      </c>
      <c r="AE174" s="4">
        <v>0</v>
      </c>
      <c r="AF174" s="6">
        <v>1.024</v>
      </c>
      <c r="AG174" s="6">
        <v>1.149</v>
      </c>
      <c r="AH174" s="6">
        <v>1.21</v>
      </c>
    </row>
    <row r="175" s="6" customFormat="1" ht="15" spans="1:34">
      <c r="A175" s="41">
        <v>1003</v>
      </c>
      <c r="B175" s="6">
        <v>2.74</v>
      </c>
      <c r="C175" s="6">
        <v>0.61</v>
      </c>
      <c r="D175" s="6">
        <v>6.8</v>
      </c>
      <c r="E175" s="15">
        <v>5744000000</v>
      </c>
      <c r="F175" s="41" t="s">
        <v>369</v>
      </c>
      <c r="G175">
        <v>35.0354057038914</v>
      </c>
      <c r="H175" s="23">
        <v>14.6000458400183</v>
      </c>
      <c r="I175" s="16">
        <f>H175/G175</f>
        <v>0.416722613787136</v>
      </c>
      <c r="J175" s="6">
        <v>4.75</v>
      </c>
      <c r="K175" s="6">
        <v>16.2627052384675</v>
      </c>
      <c r="L175" s="6"/>
      <c r="M175" s="6"/>
      <c r="N175" s="6"/>
      <c r="O175" s="6"/>
      <c r="P175" s="6"/>
      <c r="Q175" s="6">
        <v>2.08</v>
      </c>
      <c r="R175" s="6">
        <f>B175</f>
        <v>2.74</v>
      </c>
      <c r="S175" s="19">
        <f>B175/Q175-1</f>
        <v>0.317307692307692</v>
      </c>
      <c r="T175" s="14">
        <v>0.657535761901712</v>
      </c>
      <c r="U175" s="14">
        <v>0.797348484848485</v>
      </c>
      <c r="V175" s="14">
        <v>-0.807112750263435</v>
      </c>
      <c r="W175" s="31" t="s">
        <v>369</v>
      </c>
      <c r="X175" s="6">
        <v>-2.14</v>
      </c>
      <c r="Y175" s="4" t="s">
        <v>937</v>
      </c>
      <c r="Z175" s="4"/>
      <c r="AA175" s="6"/>
      <c r="AB175" s="6"/>
      <c r="AC175" s="4"/>
      <c r="AD175" s="4">
        <v>0.577380952380952</v>
      </c>
      <c r="AE175" s="4">
        <v>0.827380952380952</v>
      </c>
      <c r="AF175" s="6">
        <v>2.57</v>
      </c>
      <c r="AG175" s="6">
        <v>2.33</v>
      </c>
      <c r="AH175" s="6">
        <v>2.89</v>
      </c>
    </row>
    <row r="176" s="6" customFormat="1" ht="14.25" hidden="1" spans="1:34">
      <c r="A176" s="37">
        <v>596</v>
      </c>
      <c r="B176" s="6">
        <v>1.7</v>
      </c>
      <c r="C176" s="6">
        <v>1.24</v>
      </c>
      <c r="D176" s="6">
        <v>2.93</v>
      </c>
      <c r="E176" s="15">
        <v>1388000000</v>
      </c>
      <c r="F176" s="47" t="s">
        <v>805</v>
      </c>
      <c r="G176">
        <v>28.2330988947897</v>
      </c>
      <c r="H176" s="29">
        <v>4.70107842110774</v>
      </c>
      <c r="I176" s="16">
        <f>H176/G176</f>
        <v>0.166509473105529</v>
      </c>
      <c r="J176" s="6">
        <v>0.64</v>
      </c>
      <c r="K176" s="6">
        <v>1.07679465776293</v>
      </c>
      <c r="L176" s="6"/>
      <c r="M176" s="6"/>
      <c r="N176" s="6"/>
      <c r="O176" s="6"/>
      <c r="P176" s="6"/>
      <c r="Q176" s="6">
        <v>1.3</v>
      </c>
      <c r="R176" s="6">
        <f>B176</f>
        <v>1.7</v>
      </c>
      <c r="S176" s="19">
        <f>B176/Q176-1</f>
        <v>0.307692307692308</v>
      </c>
      <c r="T176" s="16">
        <v>0.0897896357106209</v>
      </c>
      <c r="U176" s="16">
        <v>0.697841726618705</v>
      </c>
      <c r="V176" s="14">
        <v>-0.531073446327684</v>
      </c>
      <c r="W176" s="31" t="s">
        <v>805</v>
      </c>
      <c r="X176" s="6">
        <v>-1.73</v>
      </c>
      <c r="Y176" s="4"/>
      <c r="Z176" s="4"/>
      <c r="AA176" s="4"/>
      <c r="AB176" s="4"/>
      <c r="AC176" s="6"/>
      <c r="AD176" s="4">
        <v>0.208955223880597</v>
      </c>
      <c r="AE176" s="6">
        <v>0.343283582089552</v>
      </c>
      <c r="AF176" s="6">
        <v>1.09</v>
      </c>
      <c r="AG176" s="6">
        <v>0.87</v>
      </c>
      <c r="AH176" s="6">
        <v>0.91</v>
      </c>
    </row>
    <row r="177" ht="15" hidden="1" spans="1:34">
      <c r="A177" s="38">
        <v>35</v>
      </c>
      <c r="B177" s="4">
        <v>3.13</v>
      </c>
      <c r="C177" s="4">
        <v>2.39</v>
      </c>
      <c r="D177" s="4">
        <v>4.1</v>
      </c>
      <c r="E177" s="13">
        <v>7089000000</v>
      </c>
      <c r="F177" s="53" t="s">
        <v>165</v>
      </c>
      <c r="G177">
        <v>30.352416771138</v>
      </c>
      <c r="H177" s="28">
        <v>5.10826150935464</v>
      </c>
      <c r="I177" s="56">
        <f>H177/G177</f>
        <v>0.16829834500072</v>
      </c>
      <c r="J177" s="4">
        <v>0.58</v>
      </c>
      <c r="K177" s="4">
        <v>1.1901205059257</v>
      </c>
      <c r="L177" s="4">
        <v>5.3904</v>
      </c>
      <c r="M177" s="4">
        <v>4.703</v>
      </c>
      <c r="Q177" s="4">
        <v>2.4</v>
      </c>
      <c r="R177" s="4">
        <f>B177</f>
        <v>3.13</v>
      </c>
      <c r="S177" s="18">
        <f>B177/Q177-1</f>
        <v>0.304166666666667</v>
      </c>
      <c r="T177" s="14">
        <v>0.726600892823649</v>
      </c>
      <c r="U177" s="14">
        <v>1.85698324022346</v>
      </c>
      <c r="V177" s="16">
        <v>-0.836649719723634</v>
      </c>
      <c r="W177" s="31" t="s">
        <v>165</v>
      </c>
      <c r="X177" s="4">
        <v>1.62</v>
      </c>
      <c r="AD177" s="4">
        <v>0.0860440713536201</v>
      </c>
      <c r="AE177" s="4">
        <v>0.21196222455404</v>
      </c>
      <c r="AF177" s="4">
        <v>0.81</v>
      </c>
      <c r="AG177" s="4">
        <v>1.1</v>
      </c>
      <c r="AH177" s="4">
        <v>0.92</v>
      </c>
    </row>
    <row r="178" ht="15" hidden="1" spans="1:34">
      <c r="A178" s="38">
        <v>1088</v>
      </c>
      <c r="B178" s="4">
        <v>16.32</v>
      </c>
      <c r="C178" s="4">
        <v>10.12</v>
      </c>
      <c r="D178" s="4">
        <v>24.4</v>
      </c>
      <c r="E178" s="13">
        <v>320223000000</v>
      </c>
      <c r="F178" s="50" t="s">
        <v>938</v>
      </c>
      <c r="G178">
        <v>37.98834180826</v>
      </c>
      <c r="H178" s="49">
        <v>8.45986984815618</v>
      </c>
      <c r="I178" s="14">
        <f>H178/G178</f>
        <v>0.222696475957177</v>
      </c>
      <c r="J178" s="4">
        <v>0.67</v>
      </c>
      <c r="K178" s="4">
        <v>1.14389716343903</v>
      </c>
      <c r="L178" s="4">
        <v>5.1146</v>
      </c>
      <c r="M178" s="4">
        <v>5.115</v>
      </c>
      <c r="Q178" s="4">
        <v>12.58</v>
      </c>
      <c r="R178" s="61">
        <f>B178</f>
        <v>16.32</v>
      </c>
      <c r="S178" s="18">
        <f>B178/Q178-1</f>
        <v>0.297297297297297</v>
      </c>
      <c r="T178" s="14">
        <v>-0.0124966148076379</v>
      </c>
      <c r="U178" s="14">
        <v>-0.183667284136205</v>
      </c>
      <c r="V178" s="14">
        <v>-0.590068253708956</v>
      </c>
      <c r="W178" s="31" t="s">
        <v>938</v>
      </c>
      <c r="X178" s="4">
        <v>1.24</v>
      </c>
      <c r="AF178" s="4">
        <v>0.146</v>
      </c>
      <c r="AG178" s="4">
        <v>0.164</v>
      </c>
      <c r="AH178" s="4">
        <v>0.162</v>
      </c>
    </row>
    <row r="179" ht="15" spans="1:34">
      <c r="A179" s="41">
        <v>8095</v>
      </c>
      <c r="B179" s="6">
        <v>1.93</v>
      </c>
      <c r="C179" s="6">
        <v>0.56</v>
      </c>
      <c r="D179" s="6">
        <v>3.26</v>
      </c>
      <c r="E179" s="15">
        <v>2205000000</v>
      </c>
      <c r="F179" s="53" t="s">
        <v>686</v>
      </c>
      <c r="G179">
        <v>43.521969953688</v>
      </c>
      <c r="H179" s="27">
        <v>37.3060551970342</v>
      </c>
      <c r="I179" s="16">
        <f>H179/G179</f>
        <v>0.857177541290796</v>
      </c>
      <c r="J179" s="6">
        <v>1.31</v>
      </c>
      <c r="K179" s="16">
        <v>1.26846997996663</v>
      </c>
      <c r="L179" s="6">
        <v>14.376</v>
      </c>
      <c r="M179" s="6">
        <v>14.004</v>
      </c>
      <c r="N179" s="6"/>
      <c r="O179" s="6"/>
      <c r="P179" s="6"/>
      <c r="Q179" s="6">
        <v>1.49</v>
      </c>
      <c r="R179" s="4">
        <f>B179</f>
        <v>1.93</v>
      </c>
      <c r="S179" s="19">
        <f>B179/Q179-1</f>
        <v>0.295302013422819</v>
      </c>
      <c r="T179" s="16">
        <v>-0.00624707168514766</v>
      </c>
      <c r="U179" s="16">
        <v>0.079938900203666</v>
      </c>
      <c r="V179" s="16">
        <v>-0.426449787835926</v>
      </c>
      <c r="W179" s="5" t="s">
        <v>686</v>
      </c>
      <c r="X179" s="4">
        <v>-3.02</v>
      </c>
      <c r="Y179" s="61" t="s">
        <v>939</v>
      </c>
      <c r="Z179" s="4">
        <v>1</v>
      </c>
      <c r="AA179" s="4">
        <v>11000</v>
      </c>
      <c r="AB179" s="4">
        <v>3.3</v>
      </c>
      <c r="AC179" s="4"/>
      <c r="AD179" s="4">
        <v>0.647727272727273</v>
      </c>
      <c r="AE179" s="6">
        <v>0.897727272727273</v>
      </c>
      <c r="AF179" s="4">
        <v>0.51</v>
      </c>
      <c r="AG179" s="4">
        <v>0.31</v>
      </c>
      <c r="AH179" s="4">
        <v>0.185</v>
      </c>
    </row>
    <row r="180" s="6" customFormat="1" ht="15" hidden="1" spans="1:34">
      <c r="A180" s="37">
        <v>451</v>
      </c>
      <c r="B180" s="6">
        <v>0.44</v>
      </c>
      <c r="C180" s="6">
        <v>0.31</v>
      </c>
      <c r="D180" s="6">
        <v>1.44</v>
      </c>
      <c r="E180" s="15">
        <v>9060000000</v>
      </c>
      <c r="F180" s="53" t="s">
        <v>345</v>
      </c>
      <c r="G180">
        <v>30.6807153750173</v>
      </c>
      <c r="H180" s="27">
        <v>25</v>
      </c>
      <c r="I180" s="16">
        <f>H180/G180</f>
        <v>0.814844103027564</v>
      </c>
      <c r="J180" s="6">
        <v>2.22</v>
      </c>
      <c r="K180" s="6">
        <v>2.06155632984901</v>
      </c>
      <c r="L180" s="6"/>
      <c r="M180" s="6"/>
      <c r="N180" s="6"/>
      <c r="O180" s="6"/>
      <c r="P180" s="4"/>
      <c r="Q180" s="6">
        <v>0.34</v>
      </c>
      <c r="R180" s="4">
        <f>B180</f>
        <v>0.44</v>
      </c>
      <c r="S180" s="18">
        <f>B180/Q180-1</f>
        <v>0.294117647058823</v>
      </c>
      <c r="T180" s="16">
        <v>0.0384340790099952</v>
      </c>
      <c r="U180" s="16">
        <v>0.549813532232286</v>
      </c>
      <c r="V180" s="14">
        <v>2.28050876589893</v>
      </c>
      <c r="W180" s="31" t="s">
        <v>345</v>
      </c>
      <c r="X180" s="4">
        <v>1.15</v>
      </c>
      <c r="Y180" s="6"/>
      <c r="Z180" s="6"/>
      <c r="AA180" s="4"/>
      <c r="AB180" s="4"/>
      <c r="AC180" s="4"/>
      <c r="AD180" s="4">
        <v>0.41025641025641</v>
      </c>
      <c r="AE180" s="4">
        <v>0.615384615384615</v>
      </c>
      <c r="AF180" s="6">
        <v>0.305</v>
      </c>
      <c r="AG180" s="6">
        <v>0.219</v>
      </c>
      <c r="AH180" s="6">
        <v>0.072</v>
      </c>
    </row>
    <row r="181" ht="15" hidden="1" spans="1:34">
      <c r="A181" s="65">
        <v>2666</v>
      </c>
      <c r="B181" s="4">
        <v>6.91</v>
      </c>
      <c r="C181" s="4">
        <v>4.68</v>
      </c>
      <c r="D181" s="4">
        <v>8.29</v>
      </c>
      <c r="E181" s="13">
        <v>11619000000</v>
      </c>
      <c r="F181" s="45" t="s">
        <v>361</v>
      </c>
      <c r="G181">
        <v>28.3667621776504</v>
      </c>
      <c r="H181" s="27">
        <v>3.76673238559718</v>
      </c>
      <c r="I181" s="17">
        <f>H181/G181</f>
        <v>0.132786828542769</v>
      </c>
      <c r="J181" s="4">
        <v>1.37</v>
      </c>
      <c r="K181" s="4">
        <v>3.68294307169078</v>
      </c>
      <c r="L181" s="4">
        <v>16.1116</v>
      </c>
      <c r="M181" s="4"/>
      <c r="N181" s="4"/>
      <c r="O181" s="4"/>
      <c r="P181" s="4"/>
      <c r="Q181" s="4">
        <v>5.34</v>
      </c>
      <c r="R181" s="4">
        <f>B181</f>
        <v>6.91</v>
      </c>
      <c r="S181" s="18">
        <f>B181/Q181-1</f>
        <v>0.294007490636704</v>
      </c>
      <c r="T181" s="14">
        <v>0</v>
      </c>
      <c r="U181" s="14">
        <v>0</v>
      </c>
      <c r="V181" s="14">
        <v>0</v>
      </c>
      <c r="W181" s="31" t="s">
        <v>361</v>
      </c>
      <c r="X181" s="4">
        <v>-0.58</v>
      </c>
      <c r="Y181" s="4"/>
      <c r="Z181" s="4"/>
      <c r="AA181" s="6"/>
      <c r="AB181" s="6"/>
      <c r="AC181" s="4"/>
      <c r="AD181" s="6">
        <v>0.382</v>
      </c>
      <c r="AE181" s="4">
        <v>0</v>
      </c>
      <c r="AG181" s="4">
        <v>1.42</v>
      </c>
      <c r="AH181" s="4">
        <v>1.54</v>
      </c>
    </row>
    <row r="182" ht="15" hidden="1" spans="1:34">
      <c r="A182" s="38">
        <v>613</v>
      </c>
      <c r="B182" s="4">
        <v>0.141</v>
      </c>
      <c r="C182" s="4">
        <v>0.074</v>
      </c>
      <c r="D182" s="4">
        <v>0.181</v>
      </c>
      <c r="E182" s="13">
        <v>1209700000</v>
      </c>
      <c r="F182" s="46" t="s">
        <v>940</v>
      </c>
      <c r="G182">
        <v>31.9148936170213</v>
      </c>
      <c r="H182" s="28">
        <v>16.3115287987345</v>
      </c>
      <c r="I182" s="17">
        <f>H182/G182</f>
        <v>0.511094569027015</v>
      </c>
      <c r="J182" s="4">
        <v>0.35</v>
      </c>
      <c r="K182" s="4">
        <v>19.1525423728813</v>
      </c>
      <c r="L182" s="4">
        <v>3.5578</v>
      </c>
      <c r="M182" s="4">
        <v>3.428</v>
      </c>
      <c r="Q182" s="4">
        <v>0.109</v>
      </c>
      <c r="R182" s="4">
        <f>B182</f>
        <v>0.141</v>
      </c>
      <c r="S182" s="18">
        <f>B182/Q182-1</f>
        <v>0.293577981651376</v>
      </c>
      <c r="T182" s="14">
        <v>0.616007714561234</v>
      </c>
      <c r="U182" s="16">
        <v>0.719298245614035</v>
      </c>
      <c r="V182" s="16">
        <v>-0.826530612244898</v>
      </c>
      <c r="W182" s="31" t="s">
        <v>940</v>
      </c>
      <c r="X182" s="4">
        <v>-2.083</v>
      </c>
      <c r="AD182" s="4">
        <v>0.126126126126126</v>
      </c>
      <c r="AE182" s="4">
        <v>0.198198198198198</v>
      </c>
      <c r="AF182" s="4">
        <v>1.09</v>
      </c>
      <c r="AG182" s="4">
        <v>1.1</v>
      </c>
      <c r="AH182" s="4">
        <v>1.95</v>
      </c>
    </row>
    <row r="183" s="6" customFormat="1" ht="15" hidden="1" spans="1:34">
      <c r="A183" s="38">
        <v>1270</v>
      </c>
      <c r="B183" s="4">
        <v>3.1</v>
      </c>
      <c r="C183" s="4">
        <v>2.39</v>
      </c>
      <c r="D183" s="4">
        <v>3.72</v>
      </c>
      <c r="E183" s="13">
        <v>6429000000</v>
      </c>
      <c r="F183" s="45" t="s">
        <v>941</v>
      </c>
      <c r="G183">
        <v>22.9049417932311</v>
      </c>
      <c r="H183" s="26">
        <v>5.80890911014707</v>
      </c>
      <c r="I183" s="14">
        <f>H183/G183</f>
        <v>0.253609424664146</v>
      </c>
      <c r="J183" s="4">
        <v>0.48</v>
      </c>
      <c r="K183" s="4">
        <v>7.29689807976366</v>
      </c>
      <c r="L183" s="4">
        <v>3.4988</v>
      </c>
      <c r="M183" s="4">
        <v>8.87</v>
      </c>
      <c r="N183" s="4"/>
      <c r="O183" s="4"/>
      <c r="P183" s="4"/>
      <c r="Q183" s="32">
        <v>2.4</v>
      </c>
      <c r="R183" s="6">
        <f>B183</f>
        <v>3.1</v>
      </c>
      <c r="S183" s="19">
        <f>B183/Q183-1</f>
        <v>0.291666666666667</v>
      </c>
      <c r="T183" s="14">
        <v>0.14448051948052</v>
      </c>
      <c r="U183" s="14">
        <v>0.25633089476646</v>
      </c>
      <c r="V183" s="14">
        <v>-0.745800671892497</v>
      </c>
      <c r="W183" s="62" t="s">
        <v>941</v>
      </c>
      <c r="X183" s="6">
        <v>0.65</v>
      </c>
      <c r="Y183" s="4"/>
      <c r="Z183" s="4"/>
      <c r="AA183" s="4"/>
      <c r="AB183" s="4"/>
      <c r="AC183" s="6"/>
      <c r="AD183" s="4">
        <v>0.041958041958042</v>
      </c>
      <c r="AE183" s="4">
        <v>0.0664335664335664</v>
      </c>
      <c r="AF183" s="6">
        <v>0.5</v>
      </c>
      <c r="AG183" s="6">
        <v>0.59</v>
      </c>
      <c r="AH183" s="6">
        <v>0.485</v>
      </c>
    </row>
    <row r="184" s="6" customFormat="1" ht="15" spans="1:34">
      <c r="A184" s="38">
        <v>718</v>
      </c>
      <c r="B184" s="4">
        <v>1.03</v>
      </c>
      <c r="C184" s="4">
        <v>0.64</v>
      </c>
      <c r="D184" s="4">
        <v>1.89</v>
      </c>
      <c r="E184" s="13">
        <v>4819000000</v>
      </c>
      <c r="F184" s="46" t="s">
        <v>63</v>
      </c>
      <c r="G184">
        <v>41.8537039190604</v>
      </c>
      <c r="H184" s="28">
        <v>20.9043646475638</v>
      </c>
      <c r="I184" s="17">
        <f>H184/G184</f>
        <v>0.499462716322314</v>
      </c>
      <c r="J184" s="4">
        <v>1.25</v>
      </c>
      <c r="K184" s="4">
        <v>50.9554140127388</v>
      </c>
      <c r="L184" s="4"/>
      <c r="M184" s="4"/>
      <c r="N184" s="4"/>
      <c r="O184" s="4"/>
      <c r="P184" s="4"/>
      <c r="Q184" s="4">
        <v>0.8</v>
      </c>
      <c r="R184" s="4">
        <f>B184</f>
        <v>1.03</v>
      </c>
      <c r="S184" s="18">
        <f>B184/Q184-1</f>
        <v>0.2875</v>
      </c>
      <c r="T184" s="14">
        <v>-0.583984375</v>
      </c>
      <c r="U184" s="16">
        <v>-0.669767441860465</v>
      </c>
      <c r="V184" s="16">
        <v>28.3521183098592</v>
      </c>
      <c r="W184" s="31" t="s">
        <v>63</v>
      </c>
      <c r="X184" s="4">
        <v>3</v>
      </c>
      <c r="Y184" s="61" t="s">
        <v>942</v>
      </c>
      <c r="Z184" s="4"/>
      <c r="AA184" s="4"/>
      <c r="AB184" s="4"/>
      <c r="AC184" s="4"/>
      <c r="AD184" s="4">
        <v>0.24</v>
      </c>
      <c r="AE184" s="4">
        <v>0.373333333333333</v>
      </c>
      <c r="AF184" s="6">
        <v>39.56</v>
      </c>
      <c r="AG184" s="6">
        <v>33.35</v>
      </c>
      <c r="AH184" s="6">
        <v>27.75</v>
      </c>
    </row>
    <row r="185" ht="15" hidden="1" spans="1:34">
      <c r="A185" s="41">
        <v>819</v>
      </c>
      <c r="B185" s="6">
        <v>6.81</v>
      </c>
      <c r="C185" s="6">
        <v>1.8</v>
      </c>
      <c r="D185" s="6">
        <v>7.42</v>
      </c>
      <c r="E185" s="15">
        <v>8114000000</v>
      </c>
      <c r="F185" s="47" t="s">
        <v>538</v>
      </c>
      <c r="G185">
        <v>31.7173096620007</v>
      </c>
      <c r="H185" s="27">
        <v>17.1783454417624</v>
      </c>
      <c r="I185" s="16">
        <f>H185/G185</f>
        <v>0.541607898804327</v>
      </c>
      <c r="J185" s="6">
        <v>1.73</v>
      </c>
      <c r="K185" s="6">
        <v>0.316943111524205</v>
      </c>
      <c r="L185" s="6"/>
      <c r="M185" s="6"/>
      <c r="N185" s="6"/>
      <c r="O185" s="6"/>
      <c r="P185" s="6"/>
      <c r="Q185" s="6">
        <v>5.3</v>
      </c>
      <c r="R185" s="4">
        <f>B185</f>
        <v>6.81</v>
      </c>
      <c r="S185" s="19">
        <f>B185/Q185-1</f>
        <v>0.284905660377359</v>
      </c>
      <c r="T185" s="16">
        <v>0.162314749470713</v>
      </c>
      <c r="U185" s="16">
        <v>0.0300187617260788</v>
      </c>
      <c r="V185" s="16">
        <v>-0.702169398907104</v>
      </c>
      <c r="W185" s="31" t="s">
        <v>538</v>
      </c>
      <c r="X185" s="4">
        <v>0</v>
      </c>
      <c r="Y185" s="6"/>
      <c r="Z185" s="6"/>
      <c r="AD185" s="4">
        <v>0.201550387596899</v>
      </c>
      <c r="AE185" s="6">
        <v>0.364341085271318</v>
      </c>
      <c r="AH185" s="4">
        <v>1.23</v>
      </c>
    </row>
    <row r="186" ht="15" hidden="1" spans="1:34">
      <c r="A186" s="38">
        <v>1929</v>
      </c>
      <c r="B186" s="4">
        <v>5.82</v>
      </c>
      <c r="C186" s="4">
        <v>4.2</v>
      </c>
      <c r="D186" s="4">
        <v>11.78</v>
      </c>
      <c r="E186" s="13">
        <v>54800000000</v>
      </c>
      <c r="F186" s="45" t="s">
        <v>943</v>
      </c>
      <c r="G186">
        <v>27.8343075701811</v>
      </c>
      <c r="H186" s="26">
        <v>8.93246187363834</v>
      </c>
      <c r="I186" s="14">
        <f>H186/G186</f>
        <v>0.320915541050056</v>
      </c>
      <c r="J186" s="4">
        <v>1.15</v>
      </c>
      <c r="K186" s="4">
        <v>0.789552528154244</v>
      </c>
      <c r="L186" s="4">
        <v>8.2111</v>
      </c>
      <c r="M186" s="4">
        <v>7.845</v>
      </c>
      <c r="Q186" s="32">
        <v>4.53</v>
      </c>
      <c r="R186" s="6">
        <f>B186</f>
        <v>5.82</v>
      </c>
      <c r="S186" s="19">
        <f>B186/Q186-1</f>
        <v>0.28476821192053</v>
      </c>
      <c r="T186" s="14">
        <v>-0.123175221089155</v>
      </c>
      <c r="U186" s="14">
        <v>-0.190599570340473</v>
      </c>
      <c r="V186" s="14">
        <v>-0.570408261750796</v>
      </c>
      <c r="W186" s="31" t="s">
        <v>943</v>
      </c>
      <c r="X186" s="6">
        <v>2.11</v>
      </c>
      <c r="AA186" s="6"/>
      <c r="AB186" s="6"/>
      <c r="AC186" s="6"/>
      <c r="AD186" s="4">
        <v>-0.00654450261780102</v>
      </c>
      <c r="AE186" s="4">
        <v>-0.0104712041884817</v>
      </c>
      <c r="AF186" s="4">
        <v>0.87</v>
      </c>
      <c r="AG186" s="4">
        <v>0.92</v>
      </c>
      <c r="AH186" s="4">
        <v>1.1</v>
      </c>
    </row>
    <row r="187" s="6" customFormat="1" ht="15" hidden="1" spans="1:34">
      <c r="A187" s="38">
        <v>164</v>
      </c>
      <c r="B187" s="4">
        <v>0.25</v>
      </c>
      <c r="C187" s="4">
        <v>0.09</v>
      </c>
      <c r="D187" s="4">
        <v>0.5</v>
      </c>
      <c r="E187" s="13">
        <v>8139300000</v>
      </c>
      <c r="F187" s="46" t="s">
        <v>385</v>
      </c>
      <c r="G187">
        <v>47.6000838398659</v>
      </c>
      <c r="H187" s="28">
        <v>47.9946721918011</v>
      </c>
      <c r="I187" s="17">
        <f>H187/G187</f>
        <v>1.00828965665823</v>
      </c>
      <c r="J187" s="4">
        <v>6.12</v>
      </c>
      <c r="K187" s="4">
        <v>12.125</v>
      </c>
      <c r="L187" s="4"/>
      <c r="M187" s="4"/>
      <c r="N187" s="4"/>
      <c r="O187" s="4"/>
      <c r="P187" s="4"/>
      <c r="Q187" s="4">
        <v>0.195</v>
      </c>
      <c r="R187" s="4">
        <f>B187</f>
        <v>0.25</v>
      </c>
      <c r="S187" s="18">
        <f>B187/Q187-1</f>
        <v>0.282051282051282</v>
      </c>
      <c r="T187" s="16">
        <v>-0.448275862068966</v>
      </c>
      <c r="U187" s="14">
        <v>-0.758880516684607</v>
      </c>
      <c r="V187" s="14">
        <v>-0.838169642857143</v>
      </c>
      <c r="W187" s="31" t="s">
        <v>385</v>
      </c>
      <c r="X187" s="4">
        <v>-3.85</v>
      </c>
      <c r="Y187" s="6"/>
      <c r="Z187" s="6"/>
      <c r="AA187" s="4"/>
      <c r="AB187" s="4"/>
      <c r="AC187" s="4"/>
      <c r="AD187" s="4">
        <v>0.302083333333333</v>
      </c>
      <c r="AE187" s="6">
        <v>0.953125</v>
      </c>
      <c r="AF187" s="6">
        <v>1.02094</v>
      </c>
      <c r="AG187" s="6">
        <v>0.38657</v>
      </c>
      <c r="AH187" s="6">
        <v>0.395</v>
      </c>
    </row>
    <row r="188" ht="15" hidden="1" spans="1:34">
      <c r="A188" s="38">
        <v>2607</v>
      </c>
      <c r="B188" s="4">
        <v>19.4</v>
      </c>
      <c r="C188" s="4">
        <v>13.38</v>
      </c>
      <c r="D188" s="4">
        <v>29.45</v>
      </c>
      <c r="E188" s="13">
        <v>56198000000</v>
      </c>
      <c r="F188" s="59" t="s">
        <v>944</v>
      </c>
      <c r="G188">
        <v>31.029726188013</v>
      </c>
      <c r="H188" s="56">
        <v>15.2073732718894</v>
      </c>
      <c r="I188" s="14">
        <f>H188/G188</f>
        <v>0.490090475814902</v>
      </c>
      <c r="J188" s="4">
        <v>1.13</v>
      </c>
      <c r="K188" s="4">
        <v>0.319789393992747</v>
      </c>
      <c r="L188" s="4">
        <v>11.7915</v>
      </c>
      <c r="M188" s="4">
        <v>11.791</v>
      </c>
      <c r="Q188" s="4">
        <v>15.14</v>
      </c>
      <c r="R188" s="61">
        <f>B188</f>
        <v>19.4</v>
      </c>
      <c r="S188" s="18">
        <f>B188/Q188-1</f>
        <v>0.281373844121532</v>
      </c>
      <c r="T188" s="14">
        <v>0.408620199881207</v>
      </c>
      <c r="U188" s="14">
        <v>0.529312810160653</v>
      </c>
      <c r="V188" s="14">
        <v>-0.751952480475195</v>
      </c>
      <c r="W188" s="31" t="s">
        <v>944</v>
      </c>
      <c r="X188" s="4">
        <v>-0.31</v>
      </c>
      <c r="AF188" s="4">
        <v>0.529</v>
      </c>
      <c r="AG188" s="4">
        <v>0.407</v>
      </c>
      <c r="AH188" s="4">
        <v>0.35</v>
      </c>
    </row>
    <row r="189" ht="15" hidden="1" spans="1:34">
      <c r="A189" s="58">
        <v>958</v>
      </c>
      <c r="B189" s="4">
        <v>2.42</v>
      </c>
      <c r="C189" s="4">
        <v>1.39</v>
      </c>
      <c r="D189" s="4">
        <v>3.8</v>
      </c>
      <c r="E189" s="13">
        <v>26363000000</v>
      </c>
      <c r="F189" s="53" t="s">
        <v>945</v>
      </c>
      <c r="G189">
        <v>42.5617461229179</v>
      </c>
      <c r="H189" s="23">
        <v>32.6435866825839</v>
      </c>
      <c r="I189" s="14">
        <f>H189/G189</f>
        <v>0.76697010005909</v>
      </c>
      <c r="J189" s="4">
        <v>0.86</v>
      </c>
      <c r="K189" s="4">
        <v>1.82545379688019</v>
      </c>
      <c r="L189" s="4">
        <v>13.3247</v>
      </c>
      <c r="M189" s="4">
        <v>10.387</v>
      </c>
      <c r="Q189" s="32">
        <v>1.89</v>
      </c>
      <c r="R189" s="6">
        <f>B189</f>
        <v>2.42</v>
      </c>
      <c r="S189" s="19">
        <f>B189/Q189-1</f>
        <v>0.28042328042328</v>
      </c>
      <c r="T189" s="14">
        <v>-0.234056612142886</v>
      </c>
      <c r="U189" s="14">
        <v>-0.322124756335283</v>
      </c>
      <c r="V189" s="16">
        <v>-0.501437814521927</v>
      </c>
      <c r="W189" s="31" t="s">
        <v>945</v>
      </c>
      <c r="X189" s="6">
        <v>0</v>
      </c>
      <c r="AD189" s="4">
        <v>0.142857142857143</v>
      </c>
      <c r="AE189" s="6">
        <v>0.216216216216216</v>
      </c>
      <c r="AF189" s="4">
        <v>2.413</v>
      </c>
      <c r="AG189" s="4">
        <v>2.338</v>
      </c>
      <c r="AH189" s="4">
        <v>2.77</v>
      </c>
    </row>
    <row r="190" ht="15" hidden="1" spans="1:34">
      <c r="A190" s="38">
        <v>465</v>
      </c>
      <c r="B190" s="4">
        <v>1.22</v>
      </c>
      <c r="C190" s="4">
        <v>0.8</v>
      </c>
      <c r="D190" s="4">
        <v>2.01</v>
      </c>
      <c r="E190" s="13">
        <v>386000000</v>
      </c>
      <c r="F190" s="46" t="s">
        <v>89</v>
      </c>
      <c r="G190">
        <v>26.2319268220714</v>
      </c>
      <c r="H190" s="28">
        <v>4.92078480747036</v>
      </c>
      <c r="I190" s="17">
        <f>H190/G190</f>
        <v>0.187587623312903</v>
      </c>
      <c r="J190" s="4">
        <v>0.42</v>
      </c>
      <c r="K190" s="4">
        <v>0.113467083319687</v>
      </c>
      <c r="L190" s="4">
        <v>6.9541</v>
      </c>
      <c r="M190" s="4">
        <v>6.957</v>
      </c>
      <c r="Q190" s="4">
        <v>0.96</v>
      </c>
      <c r="R190" s="4">
        <f>B190</f>
        <v>1.22</v>
      </c>
      <c r="S190" s="18">
        <f>B190/Q190-1</f>
        <v>0.270833333333333</v>
      </c>
      <c r="T190" s="16">
        <v>0.456730769230769</v>
      </c>
      <c r="U190" s="14">
        <v>0.294871794871795</v>
      </c>
      <c r="V190" s="14">
        <v>0.0396039603960396</v>
      </c>
      <c r="W190" s="31" t="s">
        <v>89</v>
      </c>
      <c r="X190" s="4">
        <v>-0.81</v>
      </c>
      <c r="Y190" s="6"/>
      <c r="Z190" s="6"/>
      <c r="AC190" s="6"/>
      <c r="AD190" s="4">
        <v>0.241379310344828</v>
      </c>
      <c r="AE190" s="4">
        <v>0.471264367816092</v>
      </c>
      <c r="AF190" s="4">
        <v>0.77</v>
      </c>
      <c r="AG190" s="4">
        <v>0.76</v>
      </c>
      <c r="AH190" s="4">
        <v>0.77</v>
      </c>
    </row>
    <row r="191" s="6" customFormat="1" ht="15" spans="1:34">
      <c r="A191" s="37">
        <v>360</v>
      </c>
      <c r="B191" s="6">
        <v>0.495</v>
      </c>
      <c r="C191" s="6">
        <v>0.38</v>
      </c>
      <c r="D191" s="6">
        <v>2.42</v>
      </c>
      <c r="E191" s="15">
        <v>2563000000</v>
      </c>
      <c r="F191" s="47" t="s">
        <v>676</v>
      </c>
      <c r="G191">
        <v>33.3333333333333</v>
      </c>
      <c r="H191" s="23">
        <v>65.6561640658649</v>
      </c>
      <c r="I191" s="16">
        <f>H191/G191</f>
        <v>1.96968492197595</v>
      </c>
      <c r="J191" s="6">
        <v>3.76</v>
      </c>
      <c r="K191" s="6">
        <v>0.908945477814458</v>
      </c>
      <c r="L191" s="6"/>
      <c r="M191" s="6"/>
      <c r="N191" s="6"/>
      <c r="O191" s="6"/>
      <c r="P191" s="6"/>
      <c r="Q191" s="6">
        <v>0.39</v>
      </c>
      <c r="R191" s="4">
        <f>B191</f>
        <v>0.495</v>
      </c>
      <c r="S191" s="19">
        <f>B191/Q191-1</f>
        <v>0.269230769230769</v>
      </c>
      <c r="T191" s="14">
        <v>0.157427937915743</v>
      </c>
      <c r="U191" s="14">
        <v>1.59701492537313</v>
      </c>
      <c r="V191" s="14">
        <v>-0.505452586206897</v>
      </c>
      <c r="W191" s="31" t="s">
        <v>676</v>
      </c>
      <c r="X191" s="4">
        <v>-1</v>
      </c>
      <c r="Y191" s="61" t="s">
        <v>946</v>
      </c>
      <c r="Z191" s="4"/>
      <c r="AA191" s="6"/>
      <c r="AB191" s="6"/>
      <c r="AC191" s="4"/>
      <c r="AD191" s="4">
        <v>0.932203389830508</v>
      </c>
      <c r="AE191" s="4">
        <v>1.23728813559322</v>
      </c>
      <c r="AF191" s="6">
        <v>0.38715</v>
      </c>
      <c r="AG191" s="6">
        <v>0.235</v>
      </c>
      <c r="AH191" s="6">
        <v>0.134</v>
      </c>
    </row>
    <row r="192" s="6" customFormat="1" ht="15" spans="1:34">
      <c r="A192" s="22">
        <v>245</v>
      </c>
      <c r="B192" s="6">
        <v>0.76</v>
      </c>
      <c r="C192" s="6">
        <v>0.16</v>
      </c>
      <c r="D192" s="6">
        <v>1.91</v>
      </c>
      <c r="E192" s="15">
        <v>21986000000</v>
      </c>
      <c r="F192" s="47" t="s">
        <v>438</v>
      </c>
      <c r="G192">
        <v>28.9469944578656</v>
      </c>
      <c r="H192" s="27">
        <v>53.9408866995074</v>
      </c>
      <c r="I192" s="16">
        <f>H192/G192</f>
        <v>1.86343652284945</v>
      </c>
      <c r="J192" s="6">
        <v>3.33</v>
      </c>
      <c r="K192" s="6">
        <v>5.28138528138528</v>
      </c>
      <c r="L192" s="6"/>
      <c r="M192" s="6"/>
      <c r="N192" s="6"/>
      <c r="O192" s="6"/>
      <c r="P192" s="4"/>
      <c r="Q192" s="6">
        <v>0.6</v>
      </c>
      <c r="R192" s="4">
        <f>B192</f>
        <v>0.76</v>
      </c>
      <c r="S192" s="18">
        <f>B192/Q192-1</f>
        <v>0.266666666666667</v>
      </c>
      <c r="T192" s="14">
        <v>0.364785189391188</v>
      </c>
      <c r="U192" s="14">
        <v>0.197147126277017</v>
      </c>
      <c r="V192" s="14">
        <v>-0.353671102854738</v>
      </c>
      <c r="W192" s="72" t="s">
        <v>438</v>
      </c>
      <c r="X192" s="4">
        <v>-1.3</v>
      </c>
      <c r="Y192" s="4" t="s">
        <v>947</v>
      </c>
      <c r="Z192" s="4"/>
      <c r="AA192" s="4"/>
      <c r="AB192" s="4"/>
      <c r="AC192" s="4"/>
      <c r="AD192" s="6">
        <v>0</v>
      </c>
      <c r="AE192" s="4">
        <v>0.301369863013699</v>
      </c>
      <c r="AF192" s="6">
        <v>168.708</v>
      </c>
      <c r="AG192" s="6">
        <v>196.619</v>
      </c>
      <c r="AH192" s="6">
        <v>174.205</v>
      </c>
    </row>
    <row r="193" s="6" customFormat="1" ht="15" hidden="1" spans="1:34">
      <c r="A193" s="38">
        <v>1777</v>
      </c>
      <c r="B193" s="4">
        <v>0.96</v>
      </c>
      <c r="C193" s="4">
        <v>0.72</v>
      </c>
      <c r="D193" s="4">
        <v>1.69</v>
      </c>
      <c r="E193" s="13">
        <v>5935000000</v>
      </c>
      <c r="F193" s="46" t="s">
        <v>374</v>
      </c>
      <c r="G193">
        <v>20.8359721342622</v>
      </c>
      <c r="H193" s="27">
        <v>29.1655902867476</v>
      </c>
      <c r="I193" s="17">
        <f>H193/G193</f>
        <v>1.39977103534269</v>
      </c>
      <c r="J193" s="4">
        <v>0.36</v>
      </c>
      <c r="K193" s="4">
        <v>0.506889746816681</v>
      </c>
      <c r="L193" s="4">
        <v>2.7894</v>
      </c>
      <c r="M193" s="4">
        <v>2.781</v>
      </c>
      <c r="N193" s="4"/>
      <c r="O193" s="4"/>
      <c r="P193" s="4"/>
      <c r="Q193" s="4">
        <v>0.76</v>
      </c>
      <c r="R193" s="4">
        <f>B193</f>
        <v>0.96</v>
      </c>
      <c r="S193" s="18">
        <f>B193/Q193-1</f>
        <v>0.263157894736842</v>
      </c>
      <c r="T193" s="14">
        <v>-0.224476797088262</v>
      </c>
      <c r="U193" s="16">
        <v>-0.188517566409597</v>
      </c>
      <c r="V193" s="14">
        <v>-0.73389651531151</v>
      </c>
      <c r="W193" s="31" t="s">
        <v>374</v>
      </c>
      <c r="X193" s="4">
        <v>0</v>
      </c>
      <c r="Y193" s="6"/>
      <c r="Z193" s="6"/>
      <c r="AA193" s="6"/>
      <c r="AB193" s="6"/>
      <c r="AC193" s="6"/>
      <c r="AD193" s="6">
        <v>0.133333333333333</v>
      </c>
      <c r="AE193" s="4">
        <v>0.277777777777778</v>
      </c>
      <c r="AF193" s="6">
        <v>2.78</v>
      </c>
      <c r="AG193" s="6">
        <v>1.69</v>
      </c>
      <c r="AH193" s="6">
        <v>1.25</v>
      </c>
    </row>
    <row r="194" ht="15" hidden="1" spans="1:34">
      <c r="A194" s="38">
        <v>2202</v>
      </c>
      <c r="B194" s="4">
        <v>21.35</v>
      </c>
      <c r="C194" s="4">
        <v>13.36</v>
      </c>
      <c r="D194" s="4">
        <v>24.1</v>
      </c>
      <c r="E194" s="13">
        <v>220783000000</v>
      </c>
      <c r="F194" s="47" t="s">
        <v>170</v>
      </c>
      <c r="G194">
        <v>31.8011321012071</v>
      </c>
      <c r="H194" s="28">
        <v>12.8795575121346</v>
      </c>
      <c r="I194" s="17">
        <f>H194/G194</f>
        <v>0.405003113447199</v>
      </c>
      <c r="J194" s="4">
        <v>1.85</v>
      </c>
      <c r="K194" s="4">
        <v>1.57179515957991</v>
      </c>
      <c r="L194" s="4">
        <v>9.5207</v>
      </c>
      <c r="M194" s="4">
        <v>9.501</v>
      </c>
      <c r="N194" s="4"/>
      <c r="O194" s="4"/>
      <c r="P194" s="4"/>
      <c r="Q194" s="4">
        <v>16.98</v>
      </c>
      <c r="R194" s="4">
        <f>B194</f>
        <v>21.35</v>
      </c>
      <c r="S194" s="18">
        <f>B194/Q194-1</f>
        <v>0.25736160188457</v>
      </c>
      <c r="T194" s="14">
        <v>-0.0674368910941292</v>
      </c>
      <c r="U194" s="14">
        <v>-0.224686714733851</v>
      </c>
      <c r="V194" s="16">
        <v>-0.737641002828</v>
      </c>
      <c r="W194" s="72" t="s">
        <v>170</v>
      </c>
      <c r="X194" s="6">
        <v>1.43</v>
      </c>
      <c r="Y194" s="6"/>
      <c r="Z194" s="6"/>
      <c r="AA194" s="6"/>
      <c r="AB194" s="6"/>
      <c r="AC194" s="4"/>
      <c r="AD194" s="4">
        <v>0.0775558166862515</v>
      </c>
      <c r="AE194" s="6">
        <v>0.125734430082256</v>
      </c>
      <c r="AF194" s="4">
        <v>2.59</v>
      </c>
      <c r="AG194" s="4">
        <v>2.2</v>
      </c>
      <c r="AH194" s="4">
        <v>1.55</v>
      </c>
    </row>
    <row r="195" s="6" customFormat="1" ht="15" hidden="1" spans="1:34">
      <c r="A195" s="43">
        <v>3968</v>
      </c>
      <c r="B195" s="4">
        <v>18.06</v>
      </c>
      <c r="C195" s="4">
        <v>13.12</v>
      </c>
      <c r="D195" s="4">
        <v>26.85</v>
      </c>
      <c r="E195" s="13">
        <v>485230000000</v>
      </c>
      <c r="F195" s="53" t="s">
        <v>138</v>
      </c>
      <c r="G195">
        <v>29.5675447246091</v>
      </c>
      <c r="H195" s="28">
        <v>13.5073779795687</v>
      </c>
      <c r="I195" s="17">
        <f>H195/G195</f>
        <v>0.456831235240391</v>
      </c>
      <c r="J195" s="4">
        <v>0.85</v>
      </c>
      <c r="K195" s="14">
        <v>1.42779391898267</v>
      </c>
      <c r="L195" s="4">
        <v>5.1949</v>
      </c>
      <c r="M195" s="4">
        <v>5.195</v>
      </c>
      <c r="N195" s="4"/>
      <c r="O195" s="4"/>
      <c r="P195" s="4"/>
      <c r="Q195" s="4">
        <v>14.4</v>
      </c>
      <c r="R195" s="4">
        <f>B195</f>
        <v>18.06</v>
      </c>
      <c r="S195" s="18">
        <f>B195/Q195-1</f>
        <v>0.254166666666667</v>
      </c>
      <c r="T195" s="14">
        <v>-0.228021764751547</v>
      </c>
      <c r="U195" s="14">
        <v>-0.247573583529946</v>
      </c>
      <c r="V195" s="14">
        <v>-0.472433927249125</v>
      </c>
      <c r="W195" s="31" t="s">
        <v>138</v>
      </c>
      <c r="X195" s="4">
        <v>-0.33</v>
      </c>
      <c r="Y195" s="4"/>
      <c r="Z195" s="4"/>
      <c r="AA195" s="6"/>
      <c r="AB195" s="6"/>
      <c r="AC195" s="4"/>
      <c r="AD195" s="4">
        <v>0.0725388601036269</v>
      </c>
      <c r="AE195" s="4">
        <v>0.124352331606218</v>
      </c>
      <c r="AF195" s="6">
        <v>1.42</v>
      </c>
      <c r="AG195" s="6">
        <v>1.04</v>
      </c>
      <c r="AH195" s="6">
        <v>1.57</v>
      </c>
    </row>
    <row r="196" ht="15" hidden="1" spans="1:34">
      <c r="A196" s="43">
        <v>1139</v>
      </c>
      <c r="B196" s="4">
        <v>0.47</v>
      </c>
      <c r="C196" s="4">
        <v>0.19</v>
      </c>
      <c r="D196" s="4">
        <v>0.83</v>
      </c>
      <c r="E196" s="13">
        <v>438000000</v>
      </c>
      <c r="F196" s="45" t="s">
        <v>359</v>
      </c>
      <c r="G196">
        <v>34.0412901523646</v>
      </c>
      <c r="H196" s="28">
        <v>19.1469081377338</v>
      </c>
      <c r="I196" s="17">
        <f>H196/G196</f>
        <v>0.562461294857939</v>
      </c>
      <c r="J196" s="4">
        <v>5.03</v>
      </c>
      <c r="K196" s="4">
        <v>30.672268907563</v>
      </c>
      <c r="Q196" s="4">
        <v>0.375</v>
      </c>
      <c r="R196" s="4">
        <f>B196</f>
        <v>0.47</v>
      </c>
      <c r="S196" s="18">
        <f>B196/Q196-1</f>
        <v>0.253333333333333</v>
      </c>
      <c r="T196" s="14">
        <v>0</v>
      </c>
      <c r="U196" s="14">
        <v>0</v>
      </c>
      <c r="V196" s="14">
        <v>0</v>
      </c>
      <c r="W196" s="31" t="s">
        <v>359</v>
      </c>
      <c r="X196" s="6">
        <v>0</v>
      </c>
      <c r="AD196" s="6">
        <v>0.169354838709677</v>
      </c>
      <c r="AE196" s="4">
        <v>0.411290322580645</v>
      </c>
      <c r="AF196" s="4">
        <v>1.07</v>
      </c>
      <c r="AG196" s="4">
        <v>1.21</v>
      </c>
      <c r="AH196" s="4">
        <v>1.44</v>
      </c>
    </row>
    <row r="197" ht="15" hidden="1" spans="1:34">
      <c r="A197" s="38">
        <v>1599</v>
      </c>
      <c r="B197" s="4">
        <v>5.05</v>
      </c>
      <c r="C197" s="4">
        <v>3.28</v>
      </c>
      <c r="D197" s="4">
        <v>7.79</v>
      </c>
      <c r="E197" s="13">
        <v>6669000000</v>
      </c>
      <c r="F197" s="46" t="s">
        <v>124</v>
      </c>
      <c r="G197">
        <v>32.07905997419</v>
      </c>
      <c r="H197" s="25">
        <v>9.50503723171266</v>
      </c>
      <c r="I197" s="17">
        <f>H197/G197</f>
        <v>0.296300366636683</v>
      </c>
      <c r="J197" s="4">
        <v>1.55</v>
      </c>
      <c r="K197" s="4">
        <v>1.30809063008141</v>
      </c>
      <c r="L197" s="4">
        <v>11.9873</v>
      </c>
      <c r="M197" s="4">
        <v>9.839</v>
      </c>
      <c r="N197" s="4"/>
      <c r="O197" s="4"/>
      <c r="P197" s="4"/>
      <c r="Q197" s="4">
        <v>4.03</v>
      </c>
      <c r="R197" s="4">
        <f>B197</f>
        <v>5.05</v>
      </c>
      <c r="S197" s="18">
        <f>B197/Q197-1</f>
        <v>0.253101736972705</v>
      </c>
      <c r="T197" s="14">
        <v>0.288828337874659</v>
      </c>
      <c r="U197" s="14">
        <v>0.946502057613169</v>
      </c>
      <c r="V197" s="16">
        <v>-0.734868921775898</v>
      </c>
      <c r="W197" s="31" t="s">
        <v>124</v>
      </c>
      <c r="X197" s="4">
        <v>-1.17</v>
      </c>
      <c r="Y197" s="4"/>
      <c r="Z197" s="4"/>
      <c r="AA197" s="4"/>
      <c r="AB197" s="4"/>
      <c r="AC197" s="4"/>
      <c r="AD197" s="4">
        <v>0.134736842105263</v>
      </c>
      <c r="AE197" s="4">
        <v>0.28</v>
      </c>
      <c r="AF197" s="4">
        <v>1.48433</v>
      </c>
      <c r="AG197" s="4">
        <v>3.32</v>
      </c>
      <c r="AH197" s="4">
        <v>2.52</v>
      </c>
    </row>
    <row r="198" ht="15" spans="1:34">
      <c r="A198" s="58">
        <v>388</v>
      </c>
      <c r="B198" s="6">
        <v>203.4</v>
      </c>
      <c r="C198" s="6">
        <v>151.3</v>
      </c>
      <c r="D198" s="41">
        <v>311.4</v>
      </c>
      <c r="E198" s="15">
        <v>252945000000</v>
      </c>
      <c r="F198" s="53" t="s">
        <v>42</v>
      </c>
      <c r="G198">
        <v>21.2908303817395</v>
      </c>
      <c r="H198" s="27">
        <v>5.30749789385004</v>
      </c>
      <c r="I198" s="16">
        <f>H198/G198</f>
        <v>0.24928562196438</v>
      </c>
      <c r="J198" s="6">
        <v>7.06</v>
      </c>
      <c r="K198" s="6">
        <v>14.2031364903459</v>
      </c>
      <c r="L198" s="6">
        <v>38.865</v>
      </c>
      <c r="M198" s="6">
        <v>36.612</v>
      </c>
      <c r="N198" s="6"/>
      <c r="O198" s="6"/>
      <c r="P198" s="6"/>
      <c r="Q198" s="6">
        <v>162.5</v>
      </c>
      <c r="R198" s="4">
        <f>B198</f>
        <v>203.4</v>
      </c>
      <c r="S198" s="19">
        <f>B198/Q198-1</f>
        <v>0.251692307692308</v>
      </c>
      <c r="T198" s="14">
        <v>-0.187967330035661</v>
      </c>
      <c r="U198" s="14">
        <v>0.0813005016658369</v>
      </c>
      <c r="V198" s="16">
        <v>-0.57016397506729</v>
      </c>
      <c r="W198" s="31" t="s">
        <v>42</v>
      </c>
      <c r="X198" s="4">
        <v>0</v>
      </c>
      <c r="Y198" s="6" t="s">
        <v>948</v>
      </c>
      <c r="Z198" s="6"/>
      <c r="AA198" s="4"/>
      <c r="AB198" s="4"/>
      <c r="AC198" s="4"/>
      <c r="AD198" s="6">
        <v>0.148479633391033</v>
      </c>
      <c r="AE198" s="6">
        <v>0.177976446574548</v>
      </c>
      <c r="AF198" s="4">
        <v>0.73</v>
      </c>
      <c r="AG198" s="4">
        <v>0.53</v>
      </c>
      <c r="AH198" s="4">
        <v>0.59</v>
      </c>
    </row>
    <row r="199" s="6" customFormat="1" ht="15" hidden="1" spans="1:34">
      <c r="A199" s="58">
        <v>2020</v>
      </c>
      <c r="B199" s="4">
        <v>21.95</v>
      </c>
      <c r="C199" s="4">
        <v>11.38</v>
      </c>
      <c r="D199" s="4">
        <v>24.45</v>
      </c>
      <c r="E199" s="13">
        <v>51288000000</v>
      </c>
      <c r="F199" s="45" t="s">
        <v>471</v>
      </c>
      <c r="G199">
        <v>36.0368427785596</v>
      </c>
      <c r="H199" s="28">
        <v>11.3833815994654</v>
      </c>
      <c r="I199" s="17">
        <f>H199/G199</f>
        <v>0.315881767706854</v>
      </c>
      <c r="J199" s="4">
        <v>4.7</v>
      </c>
      <c r="K199" s="4">
        <v>3.37601621886205</v>
      </c>
      <c r="L199" s="4">
        <v>21.1753</v>
      </c>
      <c r="M199" s="4">
        <v>20.592</v>
      </c>
      <c r="N199" s="4"/>
      <c r="O199" s="4"/>
      <c r="P199" s="4"/>
      <c r="Q199" s="41">
        <v>17.54</v>
      </c>
      <c r="R199" s="41">
        <f>B199</f>
        <v>21.95</v>
      </c>
      <c r="S199" s="18">
        <f>B199/Q199-1</f>
        <v>0.251425313568985</v>
      </c>
      <c r="T199" s="16">
        <v>-0.338044579198581</v>
      </c>
      <c r="U199" s="14">
        <v>-0.516591733139957</v>
      </c>
      <c r="V199" s="16">
        <v>-0.796185833008311</v>
      </c>
      <c r="W199" s="31" t="s">
        <v>471</v>
      </c>
      <c r="X199" s="6">
        <v>0.69</v>
      </c>
      <c r="Y199" s="4"/>
      <c r="Z199" s="4"/>
      <c r="AA199" s="4"/>
      <c r="AB199" s="4"/>
      <c r="AC199" s="4"/>
      <c r="AD199" s="6">
        <v>0.111933995972195</v>
      </c>
      <c r="AE199" s="6">
        <v>0.172351068667576</v>
      </c>
      <c r="AF199" s="6">
        <v>0.51</v>
      </c>
      <c r="AG199" s="6">
        <v>0.43</v>
      </c>
      <c r="AH199" s="6">
        <v>0.395</v>
      </c>
    </row>
    <row r="200" s="6" customFormat="1" ht="15" hidden="1" spans="1:34">
      <c r="A200" s="37">
        <v>1332</v>
      </c>
      <c r="B200" s="6">
        <v>0.31</v>
      </c>
      <c r="C200" s="6">
        <v>0.03</v>
      </c>
      <c r="D200" s="6">
        <v>0.7</v>
      </c>
      <c r="E200" s="15">
        <v>2490200000</v>
      </c>
      <c r="F200" s="47" t="s">
        <v>254</v>
      </c>
      <c r="G200">
        <v>11.2924687305952</v>
      </c>
      <c r="H200" s="23">
        <v>35.4829968838911</v>
      </c>
      <c r="I200" s="16">
        <f>H200/G200</f>
        <v>3.14218243418778</v>
      </c>
      <c r="J200" s="6">
        <v>1.86</v>
      </c>
      <c r="K200" s="6">
        <v>5.35714285714285</v>
      </c>
      <c r="L200" s="6">
        <v>108.5226</v>
      </c>
      <c r="M200" s="6">
        <v>85.517</v>
      </c>
      <c r="N200" s="6"/>
      <c r="O200" s="6"/>
      <c r="P200" s="6"/>
      <c r="Q200" s="6">
        <v>0.248</v>
      </c>
      <c r="R200" s="6">
        <f>B200</f>
        <v>0.31</v>
      </c>
      <c r="S200" s="19">
        <f>B200/Q200-1</f>
        <v>0.25</v>
      </c>
      <c r="T200" s="14">
        <v>-0.325806908267271</v>
      </c>
      <c r="U200" s="14">
        <v>0.6051567239636</v>
      </c>
      <c r="V200" s="14">
        <v>1.46161417322835</v>
      </c>
      <c r="W200" s="62" t="s">
        <v>254</v>
      </c>
      <c r="X200" s="4">
        <v>1.64</v>
      </c>
      <c r="Y200" s="6"/>
      <c r="Z200" s="6"/>
      <c r="AA200" s="6"/>
      <c r="AB200" s="6"/>
      <c r="AC200" s="4"/>
      <c r="AD200" s="6">
        <v>0.559322033898305</v>
      </c>
      <c r="AE200" s="4">
        <v>0.677966101694915</v>
      </c>
      <c r="AF200" s="6">
        <v>0.88</v>
      </c>
      <c r="AG200" s="6">
        <v>1.1</v>
      </c>
      <c r="AH200" s="6">
        <v>1.19</v>
      </c>
    </row>
    <row r="201" ht="15" hidden="1" spans="1:34">
      <c r="A201" s="43">
        <v>605</v>
      </c>
      <c r="B201" s="4">
        <v>0.65</v>
      </c>
      <c r="C201" s="4">
        <v>0.31</v>
      </c>
      <c r="D201" s="4">
        <v>1.15</v>
      </c>
      <c r="E201" s="13">
        <v>2534000000</v>
      </c>
      <c r="F201" s="46" t="s">
        <v>94</v>
      </c>
      <c r="G201">
        <v>24.6136449302676</v>
      </c>
      <c r="H201" s="28">
        <v>15.3801776854736</v>
      </c>
      <c r="I201" s="17">
        <f>H201/G201</f>
        <v>0.624863880544587</v>
      </c>
      <c r="J201" s="4">
        <v>0.69</v>
      </c>
      <c r="K201" s="4">
        <v>2.96752519596864</v>
      </c>
      <c r="L201" s="4">
        <v>6.9746</v>
      </c>
      <c r="M201" s="4">
        <v>5.916</v>
      </c>
      <c r="Q201" s="4">
        <v>0.52</v>
      </c>
      <c r="R201" s="4">
        <f>B201</f>
        <v>0.65</v>
      </c>
      <c r="S201" s="18">
        <f>B201/Q201-1</f>
        <v>0.25</v>
      </c>
      <c r="T201" s="14">
        <v>-0.105310531053105</v>
      </c>
      <c r="U201" s="16">
        <v>-0.40084388185654</v>
      </c>
      <c r="V201" s="14">
        <v>-0.724346076458752</v>
      </c>
      <c r="W201" s="31" t="s">
        <v>94</v>
      </c>
      <c r="X201" s="4">
        <v>-1.52</v>
      </c>
      <c r="AD201" s="6">
        <v>0.270833333333333</v>
      </c>
      <c r="AE201" s="4">
        <v>0.770833333333333</v>
      </c>
      <c r="AF201" s="4">
        <v>4.19</v>
      </c>
      <c r="AG201" s="4">
        <v>3.43</v>
      </c>
      <c r="AH201" s="4">
        <v>3.2</v>
      </c>
    </row>
    <row r="202" ht="15" hidden="1" spans="1:34">
      <c r="A202" s="41">
        <v>525</v>
      </c>
      <c r="B202" s="4">
        <v>4.21</v>
      </c>
      <c r="C202" s="4">
        <v>2.88</v>
      </c>
      <c r="D202" s="4">
        <v>5.43</v>
      </c>
      <c r="E202" s="13">
        <v>30459000000</v>
      </c>
      <c r="F202" s="53" t="s">
        <v>553</v>
      </c>
      <c r="G202">
        <v>26.128388860161</v>
      </c>
      <c r="H202" s="28">
        <v>5.2299273913501</v>
      </c>
      <c r="I202" s="17">
        <f>H202/G202</f>
        <v>0.200162643756591</v>
      </c>
      <c r="J202" s="4">
        <v>0.69</v>
      </c>
      <c r="K202" s="4">
        <v>1.27908846916418</v>
      </c>
      <c r="L202" s="4">
        <v>28.4953</v>
      </c>
      <c r="M202" s="4">
        <v>28.828</v>
      </c>
      <c r="N202" s="4"/>
      <c r="O202" s="4"/>
      <c r="P202" s="4"/>
      <c r="Q202" s="4">
        <v>3.37</v>
      </c>
      <c r="R202" s="4">
        <f>B202</f>
        <v>4.21</v>
      </c>
      <c r="S202" s="18">
        <f>B202/Q202-1</f>
        <v>0.249258160237389</v>
      </c>
      <c r="T202" s="14">
        <v>-0.661491544219573</v>
      </c>
      <c r="U202" s="14">
        <v>-0.566560170394036</v>
      </c>
      <c r="V202" s="14">
        <v>-0.0638820638820639</v>
      </c>
      <c r="W202" s="31" t="s">
        <v>553</v>
      </c>
      <c r="X202" s="6">
        <v>0.48</v>
      </c>
      <c r="Y202" s="6"/>
      <c r="Z202" s="6"/>
      <c r="AA202" s="6"/>
      <c r="AB202" s="6"/>
      <c r="AC202" s="4"/>
      <c r="AD202" s="6">
        <v>0.116129032258064</v>
      </c>
      <c r="AE202" s="6">
        <v>0.232258064516129</v>
      </c>
      <c r="AF202" s="4">
        <v>0.108</v>
      </c>
      <c r="AG202" s="4">
        <v>0.089</v>
      </c>
      <c r="AH202" s="4">
        <v>0.049</v>
      </c>
    </row>
    <row r="203" ht="15" spans="1:34">
      <c r="A203" s="22">
        <v>476</v>
      </c>
      <c r="B203" s="6">
        <v>0.29</v>
      </c>
      <c r="C203" s="6">
        <v>0.2</v>
      </c>
      <c r="D203" s="6">
        <v>1.18</v>
      </c>
      <c r="E203" s="15">
        <v>1093300000</v>
      </c>
      <c r="F203" s="53" t="s">
        <v>586</v>
      </c>
      <c r="G203">
        <v>20.6915695138393</v>
      </c>
      <c r="H203" s="27">
        <v>86.219739292365</v>
      </c>
      <c r="I203" s="16">
        <f>H203/G203</f>
        <v>4.16690185027762</v>
      </c>
      <c r="J203" s="6">
        <v>0.27</v>
      </c>
      <c r="K203" s="6">
        <v>3.6144578313253</v>
      </c>
      <c r="L203" s="6"/>
      <c r="M203" s="6"/>
      <c r="N203" s="6"/>
      <c r="O203" s="6"/>
      <c r="Q203" s="6">
        <v>0.234</v>
      </c>
      <c r="R203" s="4">
        <f>B203</f>
        <v>0.29</v>
      </c>
      <c r="S203" s="60">
        <f>B203/Q203-1</f>
        <v>0.239316239316239</v>
      </c>
      <c r="T203" s="14">
        <v>-0.0947368421052632</v>
      </c>
      <c r="U203" s="14">
        <v>0.0932203389830508</v>
      </c>
      <c r="V203" s="14">
        <v>-0.577519379844961</v>
      </c>
      <c r="W203" s="62" t="s">
        <v>586</v>
      </c>
      <c r="X203" s="4">
        <v>-1.69</v>
      </c>
      <c r="Y203" s="61" t="s">
        <v>949</v>
      </c>
      <c r="AD203" s="4">
        <v>0.277777777777778</v>
      </c>
      <c r="AE203" s="4">
        <v>0.611111111111111</v>
      </c>
      <c r="AF203" s="4">
        <v>7.452</v>
      </c>
      <c r="AG203" s="4">
        <v>9.08</v>
      </c>
      <c r="AH203" s="4">
        <v>6.82</v>
      </c>
    </row>
    <row r="204" s="6" customFormat="1" ht="15" spans="1:34">
      <c r="A204" s="37">
        <v>1108</v>
      </c>
      <c r="B204" s="6">
        <v>5.49</v>
      </c>
      <c r="C204" s="6">
        <v>2</v>
      </c>
      <c r="D204" s="6">
        <v>9</v>
      </c>
      <c r="E204" s="73">
        <v>3140000000</v>
      </c>
      <c r="F204" s="52" t="s">
        <v>950</v>
      </c>
      <c r="G204">
        <v>33.6957963134863</v>
      </c>
      <c r="H204" s="51">
        <v>28.6008230452675</v>
      </c>
      <c r="I204" s="16">
        <f>H204/G204</f>
        <v>0.848794988525628</v>
      </c>
      <c r="J204" s="6">
        <v>124.6</v>
      </c>
      <c r="K204" s="6">
        <v>3.39298584542592</v>
      </c>
      <c r="L204" s="6">
        <v>116.8683</v>
      </c>
      <c r="M204" s="6">
        <v>112</v>
      </c>
      <c r="N204" s="6"/>
      <c r="O204" s="6"/>
      <c r="P204" s="6"/>
      <c r="Q204" s="76">
        <v>4.43</v>
      </c>
      <c r="R204" s="6">
        <f>B204</f>
        <v>5.49</v>
      </c>
      <c r="S204" s="19">
        <f>B204/Q204-1</f>
        <v>0.239277652370203</v>
      </c>
      <c r="T204" s="16">
        <v>-0.517911975435005</v>
      </c>
      <c r="U204" s="16">
        <v>-0.462328767123288</v>
      </c>
      <c r="V204" s="16">
        <v>0.560509554140127</v>
      </c>
      <c r="W204" s="35" t="s">
        <v>950</v>
      </c>
      <c r="X204" s="6">
        <v>0.55</v>
      </c>
      <c r="Y204" s="6" t="s">
        <v>951</v>
      </c>
      <c r="Z204" s="6"/>
      <c r="AA204" s="6"/>
      <c r="AB204" s="6"/>
      <c r="AC204" s="6"/>
      <c r="AD204" s="6">
        <v>0.287313432835821</v>
      </c>
      <c r="AE204" s="6">
        <v>0.690298507462687</v>
      </c>
      <c r="AF204" s="6">
        <v>1.47</v>
      </c>
      <c r="AG204" s="6">
        <v>1.134</v>
      </c>
      <c r="AH204" s="6">
        <v>1.276</v>
      </c>
    </row>
    <row r="205" s="6" customFormat="1" ht="15" hidden="1" spans="1:34">
      <c r="A205" s="38">
        <v>20</v>
      </c>
      <c r="B205" s="4">
        <v>42.25</v>
      </c>
      <c r="C205" s="4">
        <v>27.35</v>
      </c>
      <c r="D205" s="4">
        <v>46.8</v>
      </c>
      <c r="E205" s="13">
        <v>93580000000</v>
      </c>
      <c r="F205" s="46" t="s">
        <v>952</v>
      </c>
      <c r="G205">
        <v>35.2667011910927</v>
      </c>
      <c r="H205" s="56">
        <v>16.918040453642</v>
      </c>
      <c r="I205" s="14">
        <f>H205/G205</f>
        <v>0.479717123582712</v>
      </c>
      <c r="J205" s="4">
        <v>0.34</v>
      </c>
      <c r="K205" s="4">
        <v>1.20642198589087</v>
      </c>
      <c r="L205" s="4">
        <v>4.8683</v>
      </c>
      <c r="M205" s="4">
        <v>4.868</v>
      </c>
      <c r="N205" s="4"/>
      <c r="O205" s="4"/>
      <c r="P205" s="4"/>
      <c r="Q205" s="4">
        <v>34.15</v>
      </c>
      <c r="R205" s="61">
        <f>B205</f>
        <v>42.25</v>
      </c>
      <c r="S205" s="18">
        <f>B205/Q205-1</f>
        <v>0.237188872620791</v>
      </c>
      <c r="T205" s="14">
        <v>0.463147181927642</v>
      </c>
      <c r="U205" s="14">
        <v>0.820102706750829</v>
      </c>
      <c r="V205" s="14">
        <v>-0.634219250551065</v>
      </c>
      <c r="W205" s="31" t="s">
        <v>952</v>
      </c>
      <c r="X205" s="4">
        <v>0.24</v>
      </c>
      <c r="Y205" s="4"/>
      <c r="Z205" s="4"/>
      <c r="AA205" s="4"/>
      <c r="AB205" s="4"/>
      <c r="AC205" s="4"/>
      <c r="AD205" s="4"/>
      <c r="AE205" s="4"/>
      <c r="AF205" s="6">
        <v>0.21</v>
      </c>
      <c r="AG205" s="6">
        <v>0.32</v>
      </c>
      <c r="AH205" s="6">
        <v>0.375</v>
      </c>
    </row>
    <row r="206" ht="15" hidden="1" spans="1:34">
      <c r="A206" s="38">
        <v>1468</v>
      </c>
      <c r="B206" s="4">
        <v>0.246</v>
      </c>
      <c r="C206" s="4">
        <v>0.179</v>
      </c>
      <c r="D206" s="4">
        <v>0.415</v>
      </c>
      <c r="E206" s="13">
        <v>719800000</v>
      </c>
      <c r="F206" s="46" t="s">
        <v>421</v>
      </c>
      <c r="G206">
        <v>26.8294467574469</v>
      </c>
      <c r="H206" s="27">
        <v>9.75623141003831</v>
      </c>
      <c r="I206" s="17">
        <f>H206/G206</f>
        <v>0.363638933677613</v>
      </c>
      <c r="J206" s="4">
        <v>1.45</v>
      </c>
      <c r="K206" s="4">
        <v>1.82456140350877</v>
      </c>
      <c r="L206" s="4">
        <v>15.3983</v>
      </c>
      <c r="M206" s="4">
        <v>13.007</v>
      </c>
      <c r="Q206" s="4">
        <v>0.199</v>
      </c>
      <c r="R206" s="4">
        <f>B206</f>
        <v>0.246</v>
      </c>
      <c r="S206" s="18">
        <f>B206/Q206-1</f>
        <v>0.236180904522613</v>
      </c>
      <c r="T206" s="16">
        <v>1.84956361966008</v>
      </c>
      <c r="U206" s="14">
        <v>31.65</v>
      </c>
      <c r="V206" s="14">
        <v>-0.61110663335214</v>
      </c>
      <c r="W206" s="31" t="s">
        <v>421</v>
      </c>
      <c r="X206" s="4">
        <v>-0.806</v>
      </c>
      <c r="Y206" s="6"/>
      <c r="Z206" s="6"/>
      <c r="AC206" s="6"/>
      <c r="AD206" s="4">
        <v>0.111642313648912</v>
      </c>
      <c r="AE206" s="4">
        <v>0.209346171974951</v>
      </c>
      <c r="AF206" s="4">
        <v>12.94</v>
      </c>
      <c r="AG206" s="4">
        <v>17.7</v>
      </c>
      <c r="AH206" s="4">
        <v>20.1</v>
      </c>
    </row>
    <row r="207" s="6" customFormat="1" ht="15" hidden="1" spans="1:31">
      <c r="A207" s="38">
        <v>1822</v>
      </c>
      <c r="B207" s="4">
        <v>0.345</v>
      </c>
      <c r="C207" s="4">
        <v>0.17</v>
      </c>
      <c r="D207" s="4">
        <v>0.7</v>
      </c>
      <c r="E207" s="13">
        <v>2592600000</v>
      </c>
      <c r="F207" s="50" t="s">
        <v>953</v>
      </c>
      <c r="G207">
        <v>44.3476712283025</v>
      </c>
      <c r="H207" s="49">
        <v>23.1891199369272</v>
      </c>
      <c r="I207" s="14">
        <f>H207/G207</f>
        <v>0.522893746044729</v>
      </c>
      <c r="J207" s="4">
        <v>2.24</v>
      </c>
      <c r="K207" s="4">
        <v>3.02398331595411</v>
      </c>
      <c r="L207" s="4"/>
      <c r="M207" s="4"/>
      <c r="N207" s="4"/>
      <c r="O207" s="4"/>
      <c r="P207" s="4"/>
      <c r="Q207" s="4">
        <v>0.28</v>
      </c>
      <c r="R207" s="61">
        <f>B207</f>
        <v>0.345</v>
      </c>
      <c r="S207" s="18">
        <f>B207/Q207-1</f>
        <v>0.232142857142857</v>
      </c>
      <c r="T207" s="14">
        <v>-0.317535545023697</v>
      </c>
      <c r="U207" s="14">
        <v>-0.376623376623377</v>
      </c>
      <c r="V207" s="14">
        <v>-0.569444444444444</v>
      </c>
      <c r="W207" s="62" t="s">
        <v>953</v>
      </c>
      <c r="X207" s="4">
        <v>0</v>
      </c>
      <c r="Y207" s="4"/>
      <c r="Z207" s="4"/>
      <c r="AA207" s="4"/>
      <c r="AB207" s="4"/>
      <c r="AC207" s="4"/>
      <c r="AD207" s="4"/>
      <c r="AE207" s="4"/>
    </row>
    <row r="208" ht="15" hidden="1" spans="1:34">
      <c r="A208" s="58">
        <v>2883</v>
      </c>
      <c r="B208" s="4">
        <v>7.22</v>
      </c>
      <c r="C208" s="4">
        <v>4.79</v>
      </c>
      <c r="D208" s="4">
        <v>23.4</v>
      </c>
      <c r="E208" s="13">
        <v>38077000000</v>
      </c>
      <c r="F208" s="46" t="s">
        <v>954</v>
      </c>
      <c r="G208">
        <v>33.6562064618855</v>
      </c>
      <c r="H208" s="27">
        <v>13.5718341851221</v>
      </c>
      <c r="I208" s="14">
        <f>H208/G208</f>
        <v>0.403249076823074</v>
      </c>
      <c r="J208" s="4">
        <v>0.49</v>
      </c>
      <c r="K208" s="4">
        <v>0.931696114542708</v>
      </c>
      <c r="L208" s="4">
        <v>3.0459</v>
      </c>
      <c r="M208" s="4">
        <v>2.495</v>
      </c>
      <c r="Q208" s="32">
        <v>5.87</v>
      </c>
      <c r="R208" s="6">
        <f>B208</f>
        <v>7.22</v>
      </c>
      <c r="S208" s="19">
        <f>B208/Q208-1</f>
        <v>0.229982964224872</v>
      </c>
      <c r="T208" s="14">
        <v>0.240380040656853</v>
      </c>
      <c r="U208" s="14">
        <v>1.27345155894501</v>
      </c>
      <c r="V208" s="16">
        <v>-0.697138398772578</v>
      </c>
      <c r="W208" s="31" t="s">
        <v>954</v>
      </c>
      <c r="X208" s="4">
        <v>0.98</v>
      </c>
      <c r="AC208" s="6"/>
      <c r="AD208" s="4">
        <v>0.0518962075848303</v>
      </c>
      <c r="AE208" s="4">
        <v>0.059880239520958</v>
      </c>
      <c r="AF208" s="4">
        <v>6.46244</v>
      </c>
      <c r="AG208" s="4">
        <v>6.96154</v>
      </c>
      <c r="AH208" s="4">
        <v>5.37033</v>
      </c>
    </row>
    <row r="209" s="6" customFormat="1" ht="15" hidden="1" spans="1:34">
      <c r="A209" s="37">
        <v>143</v>
      </c>
      <c r="B209" s="6">
        <v>0.29</v>
      </c>
      <c r="C209" s="6">
        <v>0.06</v>
      </c>
      <c r="D209" s="6">
        <v>0.52</v>
      </c>
      <c r="E209" s="15">
        <v>1704800000</v>
      </c>
      <c r="F209" s="47" t="s">
        <v>156</v>
      </c>
      <c r="G209">
        <v>62.7588261582005</v>
      </c>
      <c r="H209" s="26">
        <v>79.3078716155639</v>
      </c>
      <c r="I209" s="16">
        <f>H209/G209</f>
        <v>1.26369271814688</v>
      </c>
      <c r="J209" s="6" t="s">
        <v>157</v>
      </c>
      <c r="K209" s="6">
        <v>56.67</v>
      </c>
      <c r="L209" s="6">
        <v>15.1785714285714</v>
      </c>
      <c r="M209" s="6"/>
      <c r="N209" s="6"/>
      <c r="O209" s="6"/>
      <c r="P209" s="6"/>
      <c r="Q209" s="6">
        <v>0.236</v>
      </c>
      <c r="R209" s="4">
        <f>B209</f>
        <v>0.29</v>
      </c>
      <c r="S209" s="19">
        <f>B209/Q209-1</f>
        <v>0.228813559322034</v>
      </c>
      <c r="T209" s="14">
        <v>0.546042003231018</v>
      </c>
      <c r="U209" s="14">
        <v>0.951733514615907</v>
      </c>
      <c r="V209" s="14">
        <v>-0.815047021943574</v>
      </c>
      <c r="W209" s="62" t="s">
        <v>156</v>
      </c>
      <c r="X209" s="4">
        <v>-1.69</v>
      </c>
      <c r="Y209" s="4"/>
      <c r="Z209" s="4"/>
      <c r="AA209" s="4"/>
      <c r="AB209" s="4"/>
      <c r="AC209" s="4"/>
      <c r="AD209" s="6">
        <v>0.310344827586207</v>
      </c>
      <c r="AE209" s="4">
        <v>0.758620689655172</v>
      </c>
      <c r="AF209" s="6">
        <v>16.09</v>
      </c>
      <c r="AG209" s="6">
        <v>17.02</v>
      </c>
      <c r="AH209" s="6">
        <v>17.96</v>
      </c>
    </row>
    <row r="210" ht="15" hidden="1" spans="1:31">
      <c r="A210" s="43">
        <v>2356</v>
      </c>
      <c r="B210" s="4">
        <v>14.02</v>
      </c>
      <c r="C210" s="4">
        <v>11.4</v>
      </c>
      <c r="D210" s="4">
        <v>19.6</v>
      </c>
      <c r="E210" s="13">
        <v>19926000000</v>
      </c>
      <c r="F210" s="46" t="s">
        <v>467</v>
      </c>
      <c r="G210">
        <v>18.6859651975931</v>
      </c>
      <c r="H210" s="28">
        <v>11.2718370980305</v>
      </c>
      <c r="I210" s="17">
        <f>H210/G210</f>
        <v>0.60322477211305</v>
      </c>
      <c r="J210" s="4">
        <v>0.78</v>
      </c>
      <c r="K210" s="4">
        <v>3.49163274536408</v>
      </c>
      <c r="L210" s="4">
        <v>7.9831</v>
      </c>
      <c r="M210" s="4">
        <v>7.671</v>
      </c>
      <c r="N210" s="4"/>
      <c r="O210" s="4"/>
      <c r="P210" s="4"/>
      <c r="Q210" s="4">
        <v>11.42</v>
      </c>
      <c r="R210" s="4">
        <f>B210</f>
        <v>14.02</v>
      </c>
      <c r="S210" s="18">
        <f>B210/Q210-1</f>
        <v>0.227670753064799</v>
      </c>
      <c r="T210" s="14">
        <v>-0.158043940467753</v>
      </c>
      <c r="U210" s="16">
        <v>-0.44373341657562</v>
      </c>
      <c r="V210" s="16">
        <v>0.410774410774411</v>
      </c>
      <c r="W210" s="31" t="s">
        <v>467</v>
      </c>
      <c r="X210" s="4">
        <v>0.14</v>
      </c>
      <c r="Y210" s="4"/>
      <c r="Z210" s="4"/>
      <c r="AA210" s="4"/>
      <c r="AB210" s="4"/>
      <c r="AC210" s="6"/>
      <c r="AD210" s="4">
        <v>0.0828655103137998</v>
      </c>
      <c r="AE210" s="4">
        <v>0.171348433830395</v>
      </c>
    </row>
    <row r="211" s="6" customFormat="1" ht="15" hidden="1" spans="1:34">
      <c r="A211" s="38">
        <v>1068</v>
      </c>
      <c r="B211" s="4">
        <v>1.36</v>
      </c>
      <c r="C211" s="4">
        <v>0.9</v>
      </c>
      <c r="D211" s="4">
        <v>4.19</v>
      </c>
      <c r="E211" s="13">
        <v>2406000000</v>
      </c>
      <c r="F211" s="53" t="s">
        <v>955</v>
      </c>
      <c r="G211">
        <v>33.8230428164913</v>
      </c>
      <c r="H211" s="23">
        <v>26.4702162640698</v>
      </c>
      <c r="I211" s="14">
        <f>H211/G211</f>
        <v>0.782608957085422</v>
      </c>
      <c r="J211" s="4">
        <v>0.16</v>
      </c>
      <c r="K211" s="4">
        <v>0.124721266865716</v>
      </c>
      <c r="L211" s="4">
        <v>42.3792</v>
      </c>
      <c r="M211" s="4">
        <v>32.154</v>
      </c>
      <c r="N211" s="4"/>
      <c r="O211" s="4"/>
      <c r="P211" s="4"/>
      <c r="Q211" s="32">
        <v>1.11</v>
      </c>
      <c r="R211" s="6">
        <f>B211</f>
        <v>1.36</v>
      </c>
      <c r="S211" s="19">
        <f>B211/Q211-1</f>
        <v>0.225225225225225</v>
      </c>
      <c r="T211" s="14">
        <v>-0.469097254109652</v>
      </c>
      <c r="U211" s="14">
        <v>-0.288536090086764</v>
      </c>
      <c r="V211" s="14">
        <v>-0.700570835495589</v>
      </c>
      <c r="W211" s="31" t="s">
        <v>955</v>
      </c>
      <c r="X211" s="4">
        <v>-0.73</v>
      </c>
      <c r="Y211" s="4"/>
      <c r="Z211" s="4"/>
      <c r="AA211" s="4"/>
      <c r="AB211" s="4"/>
      <c r="AC211" s="4"/>
      <c r="AD211" s="6">
        <v>0.263736263736264</v>
      </c>
      <c r="AE211" s="4">
        <v>0.412087912087912</v>
      </c>
      <c r="AF211" s="6">
        <v>0.602</v>
      </c>
      <c r="AG211" s="6">
        <v>0.553</v>
      </c>
      <c r="AH211" s="6">
        <v>1.36</v>
      </c>
    </row>
    <row r="212" s="6" customFormat="1" ht="15" hidden="1" spans="1:31">
      <c r="A212" s="38">
        <v>716</v>
      </c>
      <c r="B212" s="4">
        <v>0.93</v>
      </c>
      <c r="C212" s="4">
        <v>0.66</v>
      </c>
      <c r="D212" s="4">
        <v>1.68</v>
      </c>
      <c r="E212" s="13">
        <v>1982000000</v>
      </c>
      <c r="F212" s="53" t="s">
        <v>956</v>
      </c>
      <c r="G212">
        <v>29.0327159179618</v>
      </c>
      <c r="H212" s="28">
        <v>2.15548064153642</v>
      </c>
      <c r="I212" s="14">
        <f>H212/G212</f>
        <v>0.0742431623561224</v>
      </c>
      <c r="J212" s="4">
        <v>0.38</v>
      </c>
      <c r="K212" s="4">
        <v>0.1650171458677</v>
      </c>
      <c r="L212" s="4">
        <v>8.452</v>
      </c>
      <c r="M212" s="4">
        <v>8.018</v>
      </c>
      <c r="N212" s="4"/>
      <c r="O212" s="4"/>
      <c r="P212" s="4"/>
      <c r="Q212" s="4">
        <v>0.76</v>
      </c>
      <c r="R212" s="4">
        <f>B212</f>
        <v>0.93</v>
      </c>
      <c r="S212" s="18">
        <f>B212/Q212-1</f>
        <v>0.223684210526316</v>
      </c>
      <c r="T212" s="14">
        <v>-0.470120121859398</v>
      </c>
      <c r="U212" s="14">
        <v>-0.732002249718785</v>
      </c>
      <c r="V212" s="14">
        <v>0.105718782791186</v>
      </c>
      <c r="W212" s="31" t="s">
        <v>956</v>
      </c>
      <c r="X212" s="4">
        <v>5.68</v>
      </c>
      <c r="Y212" s="4"/>
      <c r="Z212" s="4"/>
      <c r="AA212" s="4"/>
      <c r="AB212" s="4"/>
      <c r="AC212" s="4"/>
      <c r="AD212" s="4"/>
      <c r="AE212" s="4"/>
    </row>
    <row r="213" ht="14.25" hidden="1" spans="1:34">
      <c r="A213" s="38">
        <v>558</v>
      </c>
      <c r="B213" s="4">
        <v>0.55</v>
      </c>
      <c r="C213" s="4">
        <v>0.36</v>
      </c>
      <c r="D213" s="4">
        <v>1.43</v>
      </c>
      <c r="E213" s="13">
        <v>680000000</v>
      </c>
      <c r="F213" s="50" t="s">
        <v>957</v>
      </c>
      <c r="G213">
        <v>34.5464065977222</v>
      </c>
      <c r="H213" s="56">
        <v>14.5475372279496</v>
      </c>
      <c r="I213" s="25">
        <f>H213/G213</f>
        <v>0.421101314453607</v>
      </c>
      <c r="J213" s="4">
        <v>0.28</v>
      </c>
      <c r="K213" s="4">
        <v>0.157672185193148</v>
      </c>
      <c r="L213" s="4">
        <v>4.7417</v>
      </c>
      <c r="M213" s="4">
        <v>4.731</v>
      </c>
      <c r="N213" s="4"/>
      <c r="O213" s="4"/>
      <c r="P213" s="4"/>
      <c r="Q213" s="38">
        <v>0.45</v>
      </c>
      <c r="R213" s="61">
        <f>B213</f>
        <v>0.55</v>
      </c>
      <c r="S213" s="18">
        <f>B213/Q213-1</f>
        <v>0.222222222222222</v>
      </c>
      <c r="T213" s="14">
        <v>1.77941176470588</v>
      </c>
      <c r="U213" s="14">
        <v>11.6</v>
      </c>
      <c r="V213" s="14">
        <v>-0.365079365079365</v>
      </c>
      <c r="W213" s="31" t="s">
        <v>957</v>
      </c>
      <c r="X213" s="4">
        <v>-1.79</v>
      </c>
      <c r="Y213" s="4"/>
      <c r="Z213" s="4"/>
      <c r="AA213" s="4"/>
      <c r="AB213" s="4"/>
      <c r="AC213" s="4"/>
      <c r="AD213" s="4"/>
      <c r="AE213" s="4"/>
      <c r="AF213" s="4">
        <v>45.87</v>
      </c>
      <c r="AG213" s="4">
        <v>50.5</v>
      </c>
      <c r="AH213" s="4">
        <v>38.8</v>
      </c>
    </row>
    <row r="214" ht="14.25" hidden="1" spans="1:34">
      <c r="A214" s="38">
        <v>622</v>
      </c>
      <c r="B214" s="4">
        <v>0.495</v>
      </c>
      <c r="C214" s="4">
        <v>0.19</v>
      </c>
      <c r="D214" s="4">
        <v>1.01</v>
      </c>
      <c r="E214" s="13">
        <v>2194100000</v>
      </c>
      <c r="F214" s="46" t="s">
        <v>958</v>
      </c>
      <c r="G214">
        <v>43.4344348534386</v>
      </c>
      <c r="H214" s="25">
        <v>29.292511377741</v>
      </c>
      <c r="I214" s="14">
        <f>H214/G214</f>
        <v>0.674407563413294</v>
      </c>
      <c r="J214" s="4">
        <v>0.49</v>
      </c>
      <c r="K214" s="4">
        <v>23.1638418079096</v>
      </c>
      <c r="L214" s="4">
        <v>5.7689</v>
      </c>
      <c r="M214" s="4">
        <v>4.712</v>
      </c>
      <c r="N214" s="4"/>
      <c r="O214" s="4"/>
      <c r="P214" s="4"/>
      <c r="Q214" s="33">
        <v>0.405</v>
      </c>
      <c r="R214" s="4">
        <f>B214</f>
        <v>0.495</v>
      </c>
      <c r="S214" s="18">
        <f>B214/Q214-1</f>
        <v>0.222222222222222</v>
      </c>
      <c r="T214" s="14">
        <v>-0.514887212005213</v>
      </c>
      <c r="U214" s="14">
        <v>-0.64824222553447</v>
      </c>
      <c r="V214" s="14">
        <v>-0.557954296684236</v>
      </c>
      <c r="W214" s="34" t="s">
        <v>958</v>
      </c>
      <c r="X214" s="4">
        <v>0</v>
      </c>
      <c r="Y214" s="4"/>
      <c r="Z214" s="4"/>
      <c r="AA214" s="4"/>
      <c r="AB214" s="4"/>
      <c r="AC214" s="4"/>
      <c r="AD214" s="4">
        <v>0.71875</v>
      </c>
      <c r="AE214" s="4">
        <v>0.90625</v>
      </c>
      <c r="AF214" s="4">
        <v>1.45</v>
      </c>
      <c r="AG214" s="4">
        <v>0.95</v>
      </c>
      <c r="AH214" s="4">
        <v>0.79</v>
      </c>
    </row>
    <row r="215" s="6" customFormat="1" ht="15" hidden="1" spans="1:34">
      <c r="A215" s="41">
        <v>1666</v>
      </c>
      <c r="B215" s="4">
        <v>14.1</v>
      </c>
      <c r="C215" s="4">
        <v>9</v>
      </c>
      <c r="D215" s="4">
        <v>14.9</v>
      </c>
      <c r="E215" s="13">
        <v>19596000000</v>
      </c>
      <c r="F215" s="46" t="s">
        <v>515</v>
      </c>
      <c r="G215">
        <v>19.858951755089</v>
      </c>
      <c r="H215" s="28">
        <v>13.4687393623057</v>
      </c>
      <c r="I215" s="17">
        <f>H215/G215</f>
        <v>0.678220055540155</v>
      </c>
      <c r="J215" s="4">
        <v>3.15</v>
      </c>
      <c r="K215" s="4">
        <v>2.57597099905798</v>
      </c>
      <c r="L215" s="4">
        <v>25.9296</v>
      </c>
      <c r="M215" s="4">
        <v>25.621</v>
      </c>
      <c r="N215" s="4"/>
      <c r="O215" s="4"/>
      <c r="P215" s="4"/>
      <c r="Q215" s="4">
        <v>11.56</v>
      </c>
      <c r="R215" s="4">
        <f>B215</f>
        <v>14.1</v>
      </c>
      <c r="S215" s="18">
        <f>B215/Q215-1</f>
        <v>0.219723183391003</v>
      </c>
      <c r="T215" s="14">
        <v>0.134074151002181</v>
      </c>
      <c r="U215" s="14">
        <v>0.956989247311828</v>
      </c>
      <c r="V215" s="16">
        <v>0.754785714285714</v>
      </c>
      <c r="W215" s="31" t="s">
        <v>515</v>
      </c>
      <c r="X215" s="4">
        <v>-1.54</v>
      </c>
      <c r="Y215" s="4"/>
      <c r="Z215" s="4"/>
      <c r="AA215" s="4"/>
      <c r="AB215" s="4"/>
      <c r="AC215" s="4"/>
      <c r="AD215" s="4">
        <v>0.136363636363636</v>
      </c>
      <c r="AE215" s="4">
        <v>0.227272727272727</v>
      </c>
      <c r="AF215" s="6">
        <v>5.89721</v>
      </c>
      <c r="AG215" s="6">
        <v>6.47</v>
      </c>
      <c r="AH215" s="6">
        <v>5.58</v>
      </c>
    </row>
    <row r="216" s="6" customFormat="1" ht="15" spans="1:34">
      <c r="A216" s="41">
        <v>1918</v>
      </c>
      <c r="B216" s="6">
        <v>5.61</v>
      </c>
      <c r="C216" s="6">
        <v>3.83</v>
      </c>
      <c r="D216" s="6">
        <v>10.78</v>
      </c>
      <c r="E216" s="15">
        <v>17870000000</v>
      </c>
      <c r="F216" s="53" t="s">
        <v>186</v>
      </c>
      <c r="G216">
        <v>22.6365464954356</v>
      </c>
      <c r="H216" s="27">
        <v>10.5216622458002</v>
      </c>
      <c r="I216" s="16">
        <f>H216/G216</f>
        <v>0.464808633592663</v>
      </c>
      <c r="J216" s="6">
        <v>0.79</v>
      </c>
      <c r="K216" s="6">
        <v>1.04438653366502</v>
      </c>
      <c r="L216" s="6">
        <v>3.991</v>
      </c>
      <c r="M216" s="6">
        <v>3.825</v>
      </c>
      <c r="N216" s="6"/>
      <c r="O216" s="6"/>
      <c r="P216" s="6"/>
      <c r="Q216" s="6">
        <v>4.6</v>
      </c>
      <c r="R216" s="6">
        <f>B216</f>
        <v>5.61</v>
      </c>
      <c r="S216" s="19">
        <f>B216/Q216-1</f>
        <v>0.219565217391305</v>
      </c>
      <c r="T216" s="14">
        <v>-0.0943764216456113</v>
      </c>
      <c r="U216" s="14">
        <v>-0.304019510111079</v>
      </c>
      <c r="V216" s="14">
        <v>-0.559032007243448</v>
      </c>
      <c r="W216" s="31" t="s">
        <v>186</v>
      </c>
      <c r="X216" s="4">
        <v>-0.88</v>
      </c>
      <c r="Y216" s="6" t="s">
        <v>959</v>
      </c>
      <c r="Z216" s="6"/>
      <c r="AA216" s="4"/>
      <c r="AB216" s="4"/>
      <c r="AC216" s="6"/>
      <c r="AD216" s="6">
        <v>0.100946372239748</v>
      </c>
      <c r="AE216" s="6">
        <v>0.167192429022082</v>
      </c>
      <c r="AF216" s="6">
        <v>9.588</v>
      </c>
      <c r="AG216" s="6">
        <v>10.12</v>
      </c>
      <c r="AH216" s="6">
        <v>11.76</v>
      </c>
    </row>
    <row r="217" ht="15" hidden="1" spans="1:34">
      <c r="A217" s="43">
        <v>222</v>
      </c>
      <c r="B217" s="4">
        <v>8.35</v>
      </c>
      <c r="C217" s="4">
        <v>4.12</v>
      </c>
      <c r="D217" s="4">
        <v>7.85</v>
      </c>
      <c r="E217" s="13">
        <v>3804000000</v>
      </c>
      <c r="F217" s="46" t="s">
        <v>82</v>
      </c>
      <c r="G217">
        <v>25.9862334394197</v>
      </c>
      <c r="H217" s="23">
        <v>2.75380189066995</v>
      </c>
      <c r="I217" s="17">
        <f>H217/G217</f>
        <v>0.105971567487444</v>
      </c>
      <c r="J217" s="4">
        <v>0.56</v>
      </c>
      <c r="K217" s="4">
        <v>21.5138190954773</v>
      </c>
      <c r="L217" s="4">
        <v>6.6579</v>
      </c>
      <c r="M217" s="4">
        <v>6.658</v>
      </c>
      <c r="N217" s="4"/>
      <c r="O217" s="4"/>
      <c r="P217" s="4"/>
      <c r="Q217" s="4">
        <v>6.85</v>
      </c>
      <c r="R217" s="4">
        <f>B217</f>
        <v>8.35</v>
      </c>
      <c r="S217" s="18">
        <f>B217/Q217-1</f>
        <v>0.218978102189781</v>
      </c>
      <c r="T217" s="14">
        <v>-0.962640099626401</v>
      </c>
      <c r="U217" s="16">
        <v>-0.987389659520807</v>
      </c>
      <c r="V217" s="14">
        <v>0.14</v>
      </c>
      <c r="W217" s="31" t="s">
        <v>82</v>
      </c>
      <c r="X217" s="4">
        <v>-0.48</v>
      </c>
      <c r="Y217" s="6"/>
      <c r="Z217" s="6"/>
      <c r="AA217" s="6"/>
      <c r="AB217" s="6"/>
      <c r="AC217" s="4"/>
      <c r="AD217" s="6">
        <v>0.220472440944882</v>
      </c>
      <c r="AE217" s="4">
        <v>0.238188976377953</v>
      </c>
      <c r="AF217" s="4">
        <v>10.02</v>
      </c>
      <c r="AG217" s="4">
        <v>9.65</v>
      </c>
      <c r="AH217" s="4">
        <v>8.64</v>
      </c>
    </row>
    <row r="218" ht="15" hidden="1" spans="1:34">
      <c r="A218" s="38">
        <v>8182</v>
      </c>
      <c r="B218" s="4">
        <v>0.156</v>
      </c>
      <c r="C218" s="4">
        <v>0.101</v>
      </c>
      <c r="D218" s="4">
        <v>5.51</v>
      </c>
      <c r="E218" s="13">
        <v>152800000</v>
      </c>
      <c r="F218" s="50" t="s">
        <v>960</v>
      </c>
      <c r="G218">
        <v>40.3846383136007</v>
      </c>
      <c r="H218" s="56">
        <v>393.583415597236</v>
      </c>
      <c r="I218" s="14">
        <f>H218/G218</f>
        <v>9.74586951951692</v>
      </c>
      <c r="J218" s="4">
        <v>1.65</v>
      </c>
      <c r="K218" s="4">
        <v>1.63679831938188</v>
      </c>
      <c r="L218" s="4"/>
      <c r="M218" s="4"/>
      <c r="N218" s="4"/>
      <c r="O218" s="4"/>
      <c r="P218" s="4"/>
      <c r="Q218" s="4">
        <v>0.128</v>
      </c>
      <c r="R218" s="61">
        <f>B218</f>
        <v>0.156</v>
      </c>
      <c r="S218" s="18">
        <f>B218/Q218-1</f>
        <v>0.21875</v>
      </c>
      <c r="T218" s="14">
        <v>-0.272727272727273</v>
      </c>
      <c r="U218" s="14">
        <v>-0.211009174311927</v>
      </c>
      <c r="V218" s="14">
        <v>-0.968023255813954</v>
      </c>
      <c r="W218" s="31" t="s">
        <v>960</v>
      </c>
      <c r="X218" s="4">
        <v>-0.637</v>
      </c>
      <c r="Y218" s="4"/>
      <c r="Z218" s="4"/>
      <c r="AA218" s="4"/>
      <c r="AB218" s="4"/>
      <c r="AC218" s="4"/>
      <c r="AD218" s="4"/>
      <c r="AE218" s="4"/>
      <c r="AF218" s="4">
        <v>1.085</v>
      </c>
      <c r="AG218" s="4">
        <v>1.099</v>
      </c>
      <c r="AH218" s="4">
        <v>1.223</v>
      </c>
    </row>
    <row r="219" ht="15" hidden="1" spans="1:34">
      <c r="A219" s="38">
        <v>183</v>
      </c>
      <c r="B219" s="4">
        <v>0.202</v>
      </c>
      <c r="C219" s="4">
        <v>0.164</v>
      </c>
      <c r="D219" s="4">
        <v>0.81</v>
      </c>
      <c r="E219" s="13">
        <v>555500000</v>
      </c>
      <c r="F219" s="46" t="s">
        <v>80</v>
      </c>
      <c r="G219">
        <v>25.74275806248</v>
      </c>
      <c r="H219" s="27">
        <v>22.7716937582871</v>
      </c>
      <c r="I219" s="14">
        <f>H219/G219</f>
        <v>0.884586403019369</v>
      </c>
      <c r="J219" s="4">
        <v>0.29</v>
      </c>
      <c r="K219" s="4">
        <v>14.7590361445783</v>
      </c>
      <c r="L219" s="4">
        <v>108.75</v>
      </c>
      <c r="Q219" s="4">
        <v>0.166</v>
      </c>
      <c r="R219" s="4">
        <f>B219</f>
        <v>0.202</v>
      </c>
      <c r="S219" s="18">
        <f>B219/Q219-1</f>
        <v>0.216867469879518</v>
      </c>
      <c r="T219" s="14">
        <v>1.30635838150289</v>
      </c>
      <c r="U219" s="14">
        <v>12.1538461538462</v>
      </c>
      <c r="V219" s="14">
        <v>-0.959899749373434</v>
      </c>
      <c r="W219" s="31" t="s">
        <v>80</v>
      </c>
      <c r="X219" s="6">
        <v>-0.493</v>
      </c>
      <c r="Y219" s="6"/>
      <c r="Z219" s="6"/>
      <c r="AD219" s="4">
        <v>0.404761904761905</v>
      </c>
      <c r="AE219" s="6">
        <v>0.285714285714286</v>
      </c>
      <c r="AF219" s="4">
        <v>0.445</v>
      </c>
      <c r="AG219" s="4">
        <v>0.285</v>
      </c>
      <c r="AH219" s="4">
        <v>0.165</v>
      </c>
    </row>
    <row r="220" ht="15" hidden="1" spans="1:34">
      <c r="A220" s="37">
        <v>382</v>
      </c>
      <c r="B220" s="6">
        <v>1.52</v>
      </c>
      <c r="C220" s="6">
        <v>1.1</v>
      </c>
      <c r="D220" s="6">
        <v>2.37</v>
      </c>
      <c r="E220" s="15">
        <v>4497000000</v>
      </c>
      <c r="F220" s="47" t="s">
        <v>426</v>
      </c>
      <c r="G220">
        <v>32.2355492308735</v>
      </c>
      <c r="H220" s="23">
        <v>13.1605748557203</v>
      </c>
      <c r="I220" s="16">
        <f>H220/G220</f>
        <v>0.408262777266899</v>
      </c>
      <c r="J220" s="6">
        <v>0.81</v>
      </c>
      <c r="K220" s="6">
        <v>0.371878873738268</v>
      </c>
      <c r="L220" s="6">
        <v>5.3188</v>
      </c>
      <c r="M220" s="6">
        <v>5.261</v>
      </c>
      <c r="N220" s="6"/>
      <c r="O220" s="6"/>
      <c r="P220" s="6"/>
      <c r="Q220" s="6">
        <v>1.25</v>
      </c>
      <c r="R220" s="6">
        <f>B220</f>
        <v>1.52</v>
      </c>
      <c r="S220" s="63">
        <f>B220/Q220-1</f>
        <v>0.216</v>
      </c>
      <c r="T220" s="14">
        <v>-0.126135756280064</v>
      </c>
      <c r="U220" s="16">
        <v>0.033175355450237</v>
      </c>
      <c r="V220" s="14">
        <v>-0.601834862385321</v>
      </c>
      <c r="W220" s="62" t="s">
        <v>426</v>
      </c>
      <c r="X220" s="4">
        <v>0</v>
      </c>
      <c r="AA220" s="6"/>
      <c r="AB220" s="6"/>
      <c r="AD220" s="6">
        <v>0.15</v>
      </c>
      <c r="AE220" s="6">
        <v>0.258333333333333</v>
      </c>
      <c r="AF220" s="4">
        <v>0.26</v>
      </c>
      <c r="AG220" s="4">
        <v>0.234</v>
      </c>
      <c r="AH220" s="4">
        <v>0.295</v>
      </c>
    </row>
    <row r="221" ht="15" hidden="1" spans="1:34">
      <c r="A221" s="38">
        <v>2339</v>
      </c>
      <c r="B221" s="4">
        <v>0.206</v>
      </c>
      <c r="C221" s="4">
        <v>0.167</v>
      </c>
      <c r="D221" s="4">
        <v>0.69</v>
      </c>
      <c r="E221" s="13">
        <v>1325000000</v>
      </c>
      <c r="F221" s="47" t="s">
        <v>19</v>
      </c>
      <c r="G221">
        <v>23.7862967761604</v>
      </c>
      <c r="H221" s="27">
        <v>62.6201356251931</v>
      </c>
      <c r="I221" s="14">
        <f>H221/G221</f>
        <v>2.63261390431964</v>
      </c>
      <c r="J221" s="4">
        <v>1.28</v>
      </c>
      <c r="K221" s="4">
        <v>0.321183688199206</v>
      </c>
      <c r="L221" s="4">
        <v>2.9793</v>
      </c>
      <c r="M221" s="4">
        <v>1.123</v>
      </c>
      <c r="Q221" s="4">
        <v>0.17</v>
      </c>
      <c r="R221" s="4">
        <f>B221</f>
        <v>0.206</v>
      </c>
      <c r="S221" s="18">
        <f>B221/Q221-1</f>
        <v>0.211764705882353</v>
      </c>
      <c r="T221" s="14">
        <v>-0.480482384231428</v>
      </c>
      <c r="U221" s="16">
        <v>-0.689889302103043</v>
      </c>
      <c r="V221" s="14">
        <v>0</v>
      </c>
      <c r="W221" s="31" t="s">
        <v>19</v>
      </c>
      <c r="X221" s="4">
        <v>-0.962</v>
      </c>
      <c r="AD221" s="4">
        <v>0.225352112676056</v>
      </c>
      <c r="AE221" s="6">
        <v>0.23943661971831</v>
      </c>
      <c r="AF221" s="4">
        <v>2.29</v>
      </c>
      <c r="AG221" s="4">
        <v>2.58</v>
      </c>
      <c r="AH221" s="4">
        <v>5.8</v>
      </c>
    </row>
    <row r="222" ht="15" hidden="1" spans="1:31">
      <c r="A222" s="41">
        <v>2318</v>
      </c>
      <c r="B222" s="4">
        <v>40.65</v>
      </c>
      <c r="C222" s="4">
        <v>33.55</v>
      </c>
      <c r="D222" s="4">
        <v>62.9</v>
      </c>
      <c r="E222" s="13">
        <v>736694000000</v>
      </c>
      <c r="F222" s="47" t="s">
        <v>800</v>
      </c>
      <c r="G222">
        <v>24.9699879951981</v>
      </c>
      <c r="H222" s="28">
        <v>10.5827712042464</v>
      </c>
      <c r="I222" s="14">
        <f>H222/G222</f>
        <v>0.423819635246982</v>
      </c>
      <c r="J222" s="4">
        <v>1.59</v>
      </c>
      <c r="K222" s="4">
        <v>5.96</v>
      </c>
      <c r="L222" s="4">
        <v>12.9152</v>
      </c>
      <c r="M222" s="4">
        <v>10.878</v>
      </c>
      <c r="N222" s="4"/>
      <c r="O222" s="4"/>
      <c r="P222" s="4"/>
      <c r="Q222" s="4">
        <v>33.55</v>
      </c>
      <c r="R222" s="4">
        <f>B222</f>
        <v>40.65</v>
      </c>
      <c r="S222" s="18">
        <f>B222/Q222-1</f>
        <v>0.211624441132638</v>
      </c>
      <c r="T222" s="16">
        <v>-0.137011273150219</v>
      </c>
      <c r="U222" s="14">
        <v>-0.134051045333313</v>
      </c>
      <c r="V222" s="14">
        <v>-0.653645089526772</v>
      </c>
      <c r="W222" s="31" t="s">
        <v>800</v>
      </c>
      <c r="X222" s="4">
        <v>0.25</v>
      </c>
      <c r="Y222" s="6"/>
      <c r="Z222" s="6"/>
      <c r="AA222" s="4"/>
      <c r="AB222" s="4"/>
      <c r="AC222" s="4"/>
      <c r="AD222" s="6">
        <v>0.0659648822106687</v>
      </c>
      <c r="AE222" s="6">
        <v>0.136600392313699</v>
      </c>
    </row>
    <row r="223" s="6" customFormat="1" ht="15" spans="1:34">
      <c r="A223" s="37">
        <v>2828</v>
      </c>
      <c r="B223" s="6">
        <v>95.4</v>
      </c>
      <c r="C223" s="6">
        <v>78.85</v>
      </c>
      <c r="D223" s="6">
        <v>151.2</v>
      </c>
      <c r="E223" s="15">
        <v>47308000000</v>
      </c>
      <c r="F223" s="53" t="s">
        <v>59</v>
      </c>
      <c r="G223">
        <v>20.6475162672592</v>
      </c>
      <c r="H223" s="23">
        <v>10.7910480833149</v>
      </c>
      <c r="I223" s="16">
        <f>H223/G223</f>
        <v>0.522631775349477</v>
      </c>
      <c r="J223" s="6">
        <v>0</v>
      </c>
      <c r="K223" s="6"/>
      <c r="L223" s="6"/>
      <c r="M223" s="6"/>
      <c r="N223" s="6"/>
      <c r="O223" s="6"/>
      <c r="P223" s="6"/>
      <c r="Q223" s="6">
        <v>79.1</v>
      </c>
      <c r="R223" s="6">
        <f>B223</f>
        <v>95.4</v>
      </c>
      <c r="S223" s="19">
        <f>B223/Q223-1</f>
        <v>0.206068268015171</v>
      </c>
      <c r="T223" s="14">
        <v>0</v>
      </c>
      <c r="U223" s="14">
        <v>0</v>
      </c>
      <c r="V223" s="14">
        <v>2632.406</v>
      </c>
      <c r="W223" s="62" t="s">
        <v>59</v>
      </c>
      <c r="X223" s="4">
        <v>0.05</v>
      </c>
      <c r="Y223" s="6" t="s">
        <v>961</v>
      </c>
      <c r="Z223" s="6"/>
      <c r="AA223" s="4"/>
      <c r="AB223" s="4"/>
      <c r="AC223" s="4"/>
      <c r="AD223" s="6">
        <v>0.0327433628318584</v>
      </c>
      <c r="AE223" s="6">
        <v>0.0831858407079647</v>
      </c>
      <c r="AF223" s="6">
        <v>1.495</v>
      </c>
      <c r="AG223" s="6">
        <v>1.33</v>
      </c>
      <c r="AH223" s="6">
        <v>1.13</v>
      </c>
    </row>
    <row r="224" ht="15" hidden="1" spans="1:34">
      <c r="A224" s="37">
        <v>95</v>
      </c>
      <c r="B224" s="6">
        <v>2.48</v>
      </c>
      <c r="C224" s="6">
        <v>1.7</v>
      </c>
      <c r="D224" s="6">
        <v>4.2</v>
      </c>
      <c r="E224" s="15">
        <v>11546000000</v>
      </c>
      <c r="F224" s="57" t="s">
        <v>222</v>
      </c>
      <c r="G224">
        <v>29.8393320704413</v>
      </c>
      <c r="H224" s="29">
        <v>10.8893324462187</v>
      </c>
      <c r="I224" s="16">
        <f>H224/G224</f>
        <v>0.364932178123571</v>
      </c>
      <c r="J224" s="6">
        <v>3.49</v>
      </c>
      <c r="K224" s="6">
        <v>14.0874392782789</v>
      </c>
      <c r="L224" s="6">
        <v>583.6073</v>
      </c>
      <c r="M224" s="6">
        <v>170.248</v>
      </c>
      <c r="N224" s="6"/>
      <c r="O224" s="6"/>
      <c r="P224" s="6"/>
      <c r="Q224" s="6">
        <v>2.06</v>
      </c>
      <c r="R224" s="6">
        <f>B224</f>
        <v>2.48</v>
      </c>
      <c r="S224" s="19">
        <f>B224/Q224-1</f>
        <v>0.203883495145631</v>
      </c>
      <c r="T224" s="14">
        <v>-0.066390041493776</v>
      </c>
      <c r="U224" s="14">
        <v>-0.165341812400636</v>
      </c>
      <c r="V224" s="14">
        <v>-0.211428571428571</v>
      </c>
      <c r="W224" s="31" t="s">
        <v>222</v>
      </c>
      <c r="X224" s="4">
        <v>0</v>
      </c>
      <c r="AD224" s="6">
        <v>0.22</v>
      </c>
      <c r="AE224" s="6">
        <v>0.39</v>
      </c>
      <c r="AF224" s="4">
        <v>5.296</v>
      </c>
      <c r="AG224" s="4">
        <v>4.906</v>
      </c>
      <c r="AH224" s="4">
        <v>3.93</v>
      </c>
    </row>
    <row r="225" s="6" customFormat="1" ht="15" spans="1:34">
      <c r="A225" s="37">
        <v>268</v>
      </c>
      <c r="B225" s="6">
        <v>3.11</v>
      </c>
      <c r="C225" s="6">
        <v>2.18</v>
      </c>
      <c r="D225" s="6">
        <v>6.41</v>
      </c>
      <c r="E225" s="15">
        <v>9131000000</v>
      </c>
      <c r="F225" s="47" t="s">
        <v>695</v>
      </c>
      <c r="G225">
        <v>25.4009697873928</v>
      </c>
      <c r="H225" s="27">
        <v>31.1819493637675</v>
      </c>
      <c r="I225" s="16">
        <f>H225/G225</f>
        <v>1.22758893163379</v>
      </c>
      <c r="J225" s="6">
        <v>2.06</v>
      </c>
      <c r="K225" s="6">
        <v>3.52378200475005</v>
      </c>
      <c r="L225" s="6">
        <v>31.5382</v>
      </c>
      <c r="M225" s="6">
        <v>26.923</v>
      </c>
      <c r="N225" s="6"/>
      <c r="O225" s="6"/>
      <c r="P225" s="6"/>
      <c r="Q225" s="6">
        <v>2.59</v>
      </c>
      <c r="R225" s="4">
        <f>B225</f>
        <v>3.11</v>
      </c>
      <c r="S225" s="19">
        <f>B225/Q225-1</f>
        <v>0.200772200772201</v>
      </c>
      <c r="T225" s="14">
        <v>-0.312638086153499</v>
      </c>
      <c r="U225" s="16">
        <v>-0.580529741863075</v>
      </c>
      <c r="V225" s="16">
        <v>-0.598017915814934</v>
      </c>
      <c r="W225" s="31" t="s">
        <v>695</v>
      </c>
      <c r="X225" s="4">
        <v>-0.64</v>
      </c>
      <c r="Y225" s="61" t="s">
        <v>879</v>
      </c>
      <c r="Z225" s="4"/>
      <c r="AA225" s="4"/>
      <c r="AB225" s="4"/>
      <c r="AC225" s="4"/>
      <c r="AD225" s="4">
        <v>0.327272727272727</v>
      </c>
      <c r="AE225" s="6">
        <v>0.418181818181818</v>
      </c>
      <c r="AF225" s="6">
        <v>5.342</v>
      </c>
      <c r="AG225" s="6">
        <v>3.7</v>
      </c>
      <c r="AH225" s="6">
        <v>5.18</v>
      </c>
    </row>
    <row r="226" s="6" customFormat="1" ht="15" hidden="1" spans="1:31">
      <c r="A226" s="38">
        <v>765</v>
      </c>
      <c r="B226" s="4">
        <v>1.99</v>
      </c>
      <c r="C226" s="4">
        <v>0.71</v>
      </c>
      <c r="D226" s="4">
        <v>2.3</v>
      </c>
      <c r="E226" s="13">
        <v>585000000</v>
      </c>
      <c r="F226" s="45" t="s">
        <v>962</v>
      </c>
      <c r="G226">
        <v>46.2307775029573</v>
      </c>
      <c r="H226" s="25">
        <v>7.53844499408539</v>
      </c>
      <c r="I226" s="14">
        <f>H226/G226</f>
        <v>0.163061177017911</v>
      </c>
      <c r="J226" s="4">
        <v>2.67</v>
      </c>
      <c r="K226" s="4">
        <v>3.0934088152042</v>
      </c>
      <c r="L226" s="4">
        <v>65.1548</v>
      </c>
      <c r="M226" s="4">
        <v>45.977</v>
      </c>
      <c r="N226" s="4"/>
      <c r="O226" s="4"/>
      <c r="P226" s="4"/>
      <c r="Q226" s="4">
        <v>1.66</v>
      </c>
      <c r="R226" s="4">
        <f>B226</f>
        <v>1.99</v>
      </c>
      <c r="S226" s="18">
        <f>B226/Q226-1</f>
        <v>0.198795180722892</v>
      </c>
      <c r="T226" s="14">
        <v>-0.693152188829422</v>
      </c>
      <c r="U226" s="14">
        <v>-0.86208598038611</v>
      </c>
      <c r="V226" s="14">
        <v>-0.701252236135957</v>
      </c>
      <c r="W226" s="31" t="s">
        <v>962</v>
      </c>
      <c r="X226" s="4">
        <v>2.05</v>
      </c>
      <c r="Y226" s="4"/>
      <c r="Z226" s="4"/>
      <c r="AA226" s="4"/>
      <c r="AB226" s="4"/>
      <c r="AC226" s="4"/>
      <c r="AD226" s="4"/>
      <c r="AE226" s="4"/>
    </row>
    <row r="227" s="6" customFormat="1" ht="15" spans="1:34">
      <c r="A227" s="38">
        <v>1668</v>
      </c>
      <c r="B227" s="4">
        <v>1.64</v>
      </c>
      <c r="C227" s="4">
        <v>1.35</v>
      </c>
      <c r="D227" s="4">
        <v>4.27</v>
      </c>
      <c r="E227" s="13">
        <v>12570000000</v>
      </c>
      <c r="F227" s="45" t="s">
        <v>697</v>
      </c>
      <c r="G227">
        <v>17.6819229502799</v>
      </c>
      <c r="H227" s="27">
        <v>17.0686022008897</v>
      </c>
      <c r="I227" s="14">
        <f>H227/G227</f>
        <v>0.96531368499259</v>
      </c>
      <c r="J227" s="4">
        <v>0.46</v>
      </c>
      <c r="K227" s="4">
        <v>1.99621156928456</v>
      </c>
      <c r="L227" s="4">
        <v>2.9398</v>
      </c>
      <c r="M227" s="4">
        <v>2.811</v>
      </c>
      <c r="N227" s="4"/>
      <c r="O227" s="4"/>
      <c r="P227" s="4"/>
      <c r="Q227" s="4">
        <v>1.37</v>
      </c>
      <c r="R227" s="4">
        <f>B227</f>
        <v>1.64</v>
      </c>
      <c r="S227" s="18">
        <f>B227/Q227-1</f>
        <v>0.197080291970803</v>
      </c>
      <c r="T227" s="14">
        <v>-0.0880911687382532</v>
      </c>
      <c r="U227" s="14">
        <v>-0.143197823303457</v>
      </c>
      <c r="V227" s="16">
        <v>-0.460121046830927</v>
      </c>
      <c r="W227" s="31" t="s">
        <v>697</v>
      </c>
      <c r="X227" s="4">
        <v>0</v>
      </c>
      <c r="Y227" s="61" t="s">
        <v>963</v>
      </c>
      <c r="Z227" s="4"/>
      <c r="AA227" s="4"/>
      <c r="AB227" s="4"/>
      <c r="AC227" s="4"/>
      <c r="AD227" s="4">
        <v>0.145251396648045</v>
      </c>
      <c r="AE227" s="6">
        <v>0.223463687150838</v>
      </c>
      <c r="AF227" s="6">
        <v>3.37</v>
      </c>
      <c r="AG227" s="6">
        <v>2.77</v>
      </c>
      <c r="AH227" s="6">
        <v>3.79</v>
      </c>
    </row>
    <row r="228" ht="15" hidden="1" spans="1:34">
      <c r="A228" s="38">
        <v>2800</v>
      </c>
      <c r="B228" s="4">
        <v>22.45</v>
      </c>
      <c r="C228" s="4">
        <v>18.74</v>
      </c>
      <c r="D228" s="4">
        <v>29.05</v>
      </c>
      <c r="E228" s="13">
        <v>80516000000</v>
      </c>
      <c r="F228" s="46" t="s">
        <v>285</v>
      </c>
      <c r="G228">
        <v>17.6819229502799</v>
      </c>
      <c r="H228" s="27">
        <v>11.8067978533095</v>
      </c>
      <c r="I228" s="17">
        <f>H228/G228</f>
        <v>0.667732683063331</v>
      </c>
      <c r="J228" s="4">
        <v>0</v>
      </c>
      <c r="Q228" s="4">
        <v>18.76</v>
      </c>
      <c r="R228" s="4">
        <f>B228</f>
        <v>22.45</v>
      </c>
      <c r="S228" s="60">
        <f>B228/Q228-1</f>
        <v>0.196695095948827</v>
      </c>
      <c r="T228" s="16">
        <v>-0.23533453315187</v>
      </c>
      <c r="U228" s="16">
        <v>0.143556118872454</v>
      </c>
      <c r="V228" s="16">
        <v>-0.354384431056154</v>
      </c>
      <c r="W228" s="31" t="s">
        <v>285</v>
      </c>
      <c r="X228" s="6">
        <v>-0.22</v>
      </c>
      <c r="AA228" s="6"/>
      <c r="AB228" s="6"/>
      <c r="AC228" s="6"/>
      <c r="AD228" s="6">
        <v>0.0373385618686331</v>
      </c>
      <c r="AE228" s="6">
        <v>0.0725885512126509</v>
      </c>
      <c r="AG228" s="4">
        <v>1.98</v>
      </c>
      <c r="AH228" s="4">
        <v>1.51</v>
      </c>
    </row>
    <row r="229" ht="15" hidden="1" spans="1:34">
      <c r="A229" s="38">
        <v>8070</v>
      </c>
      <c r="B229" s="4">
        <v>1.1</v>
      </c>
      <c r="C229" s="4">
        <v>0</v>
      </c>
      <c r="D229" s="4">
        <v>3.08</v>
      </c>
      <c r="E229" s="13">
        <v>248000000</v>
      </c>
      <c r="F229" s="47" t="s">
        <v>964</v>
      </c>
      <c r="G229">
        <v>35.4547214871232</v>
      </c>
      <c r="H229" s="28">
        <v>180.033604032484</v>
      </c>
      <c r="I229" s="14">
        <f>H229/G229</f>
        <v>5.07784567135495</v>
      </c>
      <c r="J229" s="4">
        <v>1.87</v>
      </c>
      <c r="K229" s="4">
        <v>23.56</v>
      </c>
      <c r="Q229" s="4">
        <v>0.92</v>
      </c>
      <c r="R229" s="4">
        <f>B229</f>
        <v>1.1</v>
      </c>
      <c r="S229" s="60">
        <f>B229/Q229-1</f>
        <v>0.195652173913043</v>
      </c>
      <c r="T229" s="14">
        <v>-0.673913043478261</v>
      </c>
      <c r="U229" s="14">
        <v>-0.878048780487805</v>
      </c>
      <c r="V229" s="14">
        <v>0</v>
      </c>
      <c r="W229" s="31" t="s">
        <v>964</v>
      </c>
      <c r="X229" s="4">
        <v>0.92</v>
      </c>
      <c r="AH229" s="4">
        <v>0.43</v>
      </c>
    </row>
    <row r="230" s="6" customFormat="1" ht="15" hidden="1" spans="1:34">
      <c r="A230" s="38">
        <v>661</v>
      </c>
      <c r="B230" s="4">
        <v>0.135</v>
      </c>
      <c r="C230" s="4">
        <v>0.1</v>
      </c>
      <c r="D230" s="4">
        <v>0.41</v>
      </c>
      <c r="E230" s="13">
        <v>1932700000</v>
      </c>
      <c r="F230" s="53" t="s">
        <v>95</v>
      </c>
      <c r="G230">
        <v>23.703726310007</v>
      </c>
      <c r="H230" s="23">
        <v>25.9255528131769</v>
      </c>
      <c r="I230" s="14">
        <f>H230/G230</f>
        <v>1.09373321620879</v>
      </c>
      <c r="J230" s="4">
        <v>0.49</v>
      </c>
      <c r="K230" s="4">
        <v>0.0462488559529323</v>
      </c>
      <c r="L230" s="4"/>
      <c r="M230" s="4"/>
      <c r="N230" s="4"/>
      <c r="O230" s="4"/>
      <c r="P230" s="4"/>
      <c r="Q230" s="4">
        <v>0.113</v>
      </c>
      <c r="R230" s="4">
        <f>B230</f>
        <v>0.135</v>
      </c>
      <c r="S230" s="18">
        <f>B230/Q230-1</f>
        <v>0.194690265486726</v>
      </c>
      <c r="T230" s="16">
        <v>-0.70134443021767</v>
      </c>
      <c r="U230" s="14">
        <v>-0.3640081799591</v>
      </c>
      <c r="V230" s="14">
        <v>-0.687745623436942</v>
      </c>
      <c r="W230" s="31" t="s">
        <v>95</v>
      </c>
      <c r="X230" s="4">
        <v>-2.878</v>
      </c>
      <c r="Y230" s="4"/>
      <c r="Z230" s="4"/>
      <c r="AA230" s="4"/>
      <c r="AB230" s="4"/>
      <c r="AC230" s="6"/>
      <c r="AD230" s="6">
        <v>0.444444444444444</v>
      </c>
      <c r="AE230" s="6">
        <v>0.577777777777778</v>
      </c>
      <c r="AF230" s="6">
        <v>131.4128</v>
      </c>
      <c r="AG230" s="6">
        <v>134.3988</v>
      </c>
      <c r="AH230" s="6">
        <v>139.3839</v>
      </c>
    </row>
    <row r="231" ht="15" hidden="1" spans="1:34">
      <c r="A231" s="74">
        <v>257</v>
      </c>
      <c r="B231" s="4">
        <v>9.42</v>
      </c>
      <c r="C231" s="4">
        <v>7.72</v>
      </c>
      <c r="D231" s="4">
        <v>16.28</v>
      </c>
      <c r="E231" s="13">
        <v>41600000000</v>
      </c>
      <c r="F231" s="53" t="s">
        <v>450</v>
      </c>
      <c r="G231">
        <v>24.5226054796588</v>
      </c>
      <c r="H231" s="28">
        <v>30.3611002476861</v>
      </c>
      <c r="I231" s="17">
        <f>H231/G231</f>
        <v>1.2380862332459</v>
      </c>
      <c r="J231" s="4">
        <v>2.11</v>
      </c>
      <c r="K231" s="4">
        <v>4.58777721347553</v>
      </c>
      <c r="L231" s="4">
        <v>21.4031</v>
      </c>
      <c r="M231" s="4">
        <v>20.769</v>
      </c>
      <c r="Q231" s="4">
        <v>7.89</v>
      </c>
      <c r="R231" s="4">
        <f>B231</f>
        <v>9.42</v>
      </c>
      <c r="S231" s="18">
        <f>B231/Q231-1</f>
        <v>0.193916349809886</v>
      </c>
      <c r="T231" s="14">
        <v>-0.0291476744363309</v>
      </c>
      <c r="U231" s="16">
        <v>0.0894518954427262</v>
      </c>
      <c r="V231" s="14">
        <v>-0.45863484336971</v>
      </c>
      <c r="W231" s="31" t="s">
        <v>450</v>
      </c>
      <c r="X231" s="6">
        <v>1.62</v>
      </c>
      <c r="Y231" s="6"/>
      <c r="Z231" s="6"/>
      <c r="AD231" s="6">
        <v>0.0388366272546821</v>
      </c>
      <c r="AE231" s="6">
        <v>0.0979546042979201</v>
      </c>
      <c r="AF231" s="4">
        <v>4.35</v>
      </c>
      <c r="AG231" s="4">
        <v>4.35</v>
      </c>
      <c r="AH231" s="4">
        <v>4.07</v>
      </c>
    </row>
    <row r="232" s="6" customFormat="1" ht="15" hidden="1" spans="1:34">
      <c r="A232" s="38">
        <v>1102</v>
      </c>
      <c r="B232" s="4">
        <v>0.167</v>
      </c>
      <c r="C232" s="4">
        <v>0.07</v>
      </c>
      <c r="D232" s="4">
        <v>0.64</v>
      </c>
      <c r="E232" s="13">
        <v>1168700000</v>
      </c>
      <c r="F232" s="45" t="s">
        <v>965</v>
      </c>
      <c r="G232">
        <v>42.5148599087136</v>
      </c>
      <c r="H232" s="49">
        <v>36.5262266881468</v>
      </c>
      <c r="I232" s="14">
        <f>H232/G232</f>
        <v>0.85914023394584</v>
      </c>
      <c r="J232" s="4">
        <v>2.58</v>
      </c>
      <c r="K232" s="4">
        <v>72.6315789473684</v>
      </c>
      <c r="L232" s="4"/>
      <c r="M232" s="4"/>
      <c r="N232" s="4"/>
      <c r="O232" s="4"/>
      <c r="P232" s="4"/>
      <c r="Q232" s="4">
        <v>0.14</v>
      </c>
      <c r="R232" s="61">
        <f>B232</f>
        <v>0.167</v>
      </c>
      <c r="S232" s="18">
        <f>B232/Q232-1</f>
        <v>0.192857142857143</v>
      </c>
      <c r="T232" s="14">
        <v>-0.473904320551584</v>
      </c>
      <c r="U232" s="14">
        <v>-0.69678018273318</v>
      </c>
      <c r="V232" s="14">
        <v>-0.793103448275862</v>
      </c>
      <c r="W232" s="31" t="s">
        <v>965</v>
      </c>
      <c r="X232" s="4">
        <v>-0.595</v>
      </c>
      <c r="Y232" s="4"/>
      <c r="Z232" s="4"/>
      <c r="AA232" s="4"/>
      <c r="AB232" s="4"/>
      <c r="AC232" s="4"/>
      <c r="AD232" s="4"/>
      <c r="AE232" s="4"/>
      <c r="AF232" s="6">
        <v>0.169</v>
      </c>
      <c r="AG232" s="6">
        <v>0.106</v>
      </c>
      <c r="AH232" s="6">
        <v>0.062</v>
      </c>
    </row>
    <row r="233" s="6" customFormat="1" ht="15" hidden="1" spans="1:34">
      <c r="A233" s="41">
        <v>1052</v>
      </c>
      <c r="B233" s="4">
        <v>5.15</v>
      </c>
      <c r="C233" s="4">
        <v>4.28</v>
      </c>
      <c r="D233" s="4">
        <v>6.09</v>
      </c>
      <c r="E233" s="13">
        <v>9002000000</v>
      </c>
      <c r="F233" s="47" t="s">
        <v>530</v>
      </c>
      <c r="G233">
        <v>18.2539033761138</v>
      </c>
      <c r="H233" s="28">
        <v>9.32546190007653</v>
      </c>
      <c r="I233" s="17">
        <f>H233/G233</f>
        <v>0.510874945918657</v>
      </c>
      <c r="J233" s="4">
        <v>0.69</v>
      </c>
      <c r="K233" s="4">
        <v>2.95188429955187</v>
      </c>
      <c r="L233" s="4">
        <v>9.5081</v>
      </c>
      <c r="M233" s="4">
        <v>9.486</v>
      </c>
      <c r="N233" s="4"/>
      <c r="O233" s="4"/>
      <c r="P233" s="4"/>
      <c r="Q233" s="4">
        <v>4.32</v>
      </c>
      <c r="R233" s="4">
        <f>B233</f>
        <v>5.15</v>
      </c>
      <c r="S233" s="18">
        <f>B233/Q233-1</f>
        <v>0.19212962962963</v>
      </c>
      <c r="T233" s="14">
        <v>-0.798861775941374</v>
      </c>
      <c r="U233" s="16">
        <v>-0.881656804733728</v>
      </c>
      <c r="V233" s="14">
        <v>0.604651162790698</v>
      </c>
      <c r="W233" s="31" t="s">
        <v>530</v>
      </c>
      <c r="X233" s="4">
        <v>-1.15</v>
      </c>
      <c r="Y233" s="4"/>
      <c r="Z233" s="4"/>
      <c r="AA233" s="4"/>
      <c r="AB233" s="4"/>
      <c r="AC233" s="4"/>
      <c r="AD233" s="4">
        <v>0.0255823627287854</v>
      </c>
      <c r="AE233" s="4">
        <v>0.0511647254575708</v>
      </c>
      <c r="AF233" s="6">
        <v>0.93</v>
      </c>
      <c r="AG233" s="6">
        <v>0.56</v>
      </c>
      <c r="AH233" s="6">
        <v>1.54</v>
      </c>
    </row>
    <row r="234" ht="15" hidden="1" spans="1:34">
      <c r="A234" s="38">
        <v>101</v>
      </c>
      <c r="B234" s="4">
        <v>17.12</v>
      </c>
      <c r="C234" s="4">
        <v>14.26</v>
      </c>
      <c r="D234" s="4">
        <v>26.45</v>
      </c>
      <c r="E234" s="13">
        <v>76909000000</v>
      </c>
      <c r="F234" s="53" t="s">
        <v>76</v>
      </c>
      <c r="G234">
        <v>24.0640899081175</v>
      </c>
      <c r="H234" s="28">
        <v>13.314447592068</v>
      </c>
      <c r="I234" s="17">
        <f>H234/G234</f>
        <v>0.553291133922194</v>
      </c>
      <c r="J234" s="4">
        <v>0.5</v>
      </c>
      <c r="K234" s="4">
        <v>6.28164421179095</v>
      </c>
      <c r="L234" s="4">
        <v>5.5254</v>
      </c>
      <c r="M234" s="4">
        <v>5.508</v>
      </c>
      <c r="Q234" s="4">
        <v>14.38</v>
      </c>
      <c r="R234" s="4">
        <f>B234</f>
        <v>17.12</v>
      </c>
      <c r="S234" s="18">
        <f>B234/Q234-1</f>
        <v>0.190542420027817</v>
      </c>
      <c r="T234" s="16">
        <v>0.0798479552924901</v>
      </c>
      <c r="U234" s="14">
        <v>-0.0657409761057448</v>
      </c>
      <c r="V234" s="14">
        <v>-0.107758732102166</v>
      </c>
      <c r="W234" s="31" t="s">
        <v>76</v>
      </c>
      <c r="X234" s="4">
        <v>2.15</v>
      </c>
      <c r="Y234" s="6"/>
      <c r="Z234" s="6"/>
      <c r="AA234" s="6"/>
      <c r="AB234" s="6"/>
      <c r="AD234" s="4">
        <v>0.0486278532957169</v>
      </c>
      <c r="AE234" s="6">
        <v>0.10459092074891</v>
      </c>
      <c r="AF234" s="4">
        <v>1.25</v>
      </c>
      <c r="AG234" s="4">
        <v>1.62</v>
      </c>
      <c r="AH234" s="4">
        <v>2.25</v>
      </c>
    </row>
    <row r="235" s="6" customFormat="1" ht="15" hidden="1" spans="1:31">
      <c r="A235" s="43">
        <v>1031</v>
      </c>
      <c r="B235" s="4">
        <v>3.63</v>
      </c>
      <c r="C235" s="4">
        <v>0.8</v>
      </c>
      <c r="D235" s="4">
        <v>4.05</v>
      </c>
      <c r="E235" s="13">
        <v>42477000000</v>
      </c>
      <c r="F235" s="46" t="s">
        <v>966</v>
      </c>
      <c r="G235">
        <v>42.6999770799908</v>
      </c>
      <c r="H235" s="28">
        <v>3.58400662937642</v>
      </c>
      <c r="I235" s="14">
        <f>H235/G235</f>
        <v>0.0839346265376776</v>
      </c>
      <c r="J235" s="4">
        <v>2.34</v>
      </c>
      <c r="K235" s="4">
        <v>12.6006441223832</v>
      </c>
      <c r="L235" s="4">
        <v>33.8299</v>
      </c>
      <c r="M235" s="4">
        <v>32.414</v>
      </c>
      <c r="N235" s="4"/>
      <c r="O235" s="4"/>
      <c r="P235" s="4"/>
      <c r="Q235" s="4">
        <v>3.05</v>
      </c>
      <c r="R235" s="4">
        <f>B235</f>
        <v>3.63</v>
      </c>
      <c r="S235" s="18">
        <f>B235/Q235-1</f>
        <v>0.19016393442623</v>
      </c>
      <c r="T235" s="14">
        <v>0.140304168642183</v>
      </c>
      <c r="U235" s="14">
        <v>0.237767220902613</v>
      </c>
      <c r="V235" s="14">
        <v>-0.39675686048743</v>
      </c>
      <c r="W235" s="31" t="s">
        <v>966</v>
      </c>
      <c r="X235" s="4">
        <v>1.4</v>
      </c>
      <c r="Y235" s="4"/>
      <c r="Z235" s="4"/>
      <c r="AA235" s="4"/>
      <c r="AB235" s="4"/>
      <c r="AC235" s="4"/>
      <c r="AD235" s="4"/>
      <c r="AE235" s="4"/>
    </row>
    <row r="236" s="6" customFormat="1" ht="15" hidden="1" spans="1:34">
      <c r="A236" s="41">
        <v>3378</v>
      </c>
      <c r="B236" s="6">
        <v>1.65</v>
      </c>
      <c r="C236" s="6">
        <v>1.2</v>
      </c>
      <c r="D236" s="6">
        <v>5.78</v>
      </c>
      <c r="E236" s="15">
        <v>4416000000</v>
      </c>
      <c r="F236" s="53" t="s">
        <v>485</v>
      </c>
      <c r="G236">
        <v>21.8200297083887</v>
      </c>
      <c r="H236" s="23">
        <v>30.9071868045556</v>
      </c>
      <c r="I236" s="16">
        <f>H236/G236</f>
        <v>1.41645942822311</v>
      </c>
      <c r="J236" s="6">
        <v>0.61</v>
      </c>
      <c r="K236" s="16">
        <v>0.469720604451118</v>
      </c>
      <c r="L236" s="6">
        <v>6.8971</v>
      </c>
      <c r="M236" s="6">
        <v>7.049</v>
      </c>
      <c r="N236" s="6"/>
      <c r="O236" s="6"/>
      <c r="P236" s="4"/>
      <c r="Q236" s="6">
        <v>1.39</v>
      </c>
      <c r="R236" s="4">
        <f>B236</f>
        <v>1.65</v>
      </c>
      <c r="S236" s="18">
        <f>B236/Q236-1</f>
        <v>0.18705035971223</v>
      </c>
      <c r="T236" s="14">
        <v>0.567298105682951</v>
      </c>
      <c r="U236" s="16">
        <v>0.503586800573888</v>
      </c>
      <c r="V236" s="14">
        <v>-0.5</v>
      </c>
      <c r="W236" s="31" t="s">
        <v>485</v>
      </c>
      <c r="X236" s="6">
        <v>0</v>
      </c>
      <c r="Y236" s="4"/>
      <c r="Z236" s="4"/>
      <c r="AA236" s="4"/>
      <c r="AB236" s="4"/>
      <c r="AC236" s="6"/>
      <c r="AD236" s="4">
        <v>0.285714285714286</v>
      </c>
      <c r="AE236" s="6">
        <v>0.538461538461538</v>
      </c>
      <c r="AF236" s="6">
        <v>2.99837</v>
      </c>
      <c r="AG236" s="6">
        <v>2.41</v>
      </c>
      <c r="AH236" s="6">
        <v>2.1</v>
      </c>
    </row>
    <row r="237" ht="15" hidden="1" spans="1:34">
      <c r="A237" s="43">
        <v>3382</v>
      </c>
      <c r="B237" s="4">
        <v>1.22</v>
      </c>
      <c r="C237" s="4">
        <v>1.03</v>
      </c>
      <c r="D237" s="4">
        <v>2.77</v>
      </c>
      <c r="E237" s="13">
        <v>7698000000</v>
      </c>
      <c r="F237" s="47" t="s">
        <v>484</v>
      </c>
      <c r="G237">
        <v>18.8509291568612</v>
      </c>
      <c r="H237" s="27">
        <v>9.01558922925978</v>
      </c>
      <c r="I237" s="17">
        <f>H237/G237</f>
        <v>0.478257021404082</v>
      </c>
      <c r="J237" s="4">
        <v>0.54</v>
      </c>
      <c r="K237" s="14">
        <v>0.284226743877171</v>
      </c>
      <c r="L237" s="4">
        <v>8.044</v>
      </c>
      <c r="M237" s="4">
        <v>7.744</v>
      </c>
      <c r="N237" s="4"/>
      <c r="O237" s="4"/>
      <c r="P237" s="4"/>
      <c r="Q237" s="4">
        <v>1.03</v>
      </c>
      <c r="R237" s="4">
        <f>B237</f>
        <v>1.22</v>
      </c>
      <c r="S237" s="18">
        <f>B237/Q237-1</f>
        <v>0.184466019417476</v>
      </c>
      <c r="T237" s="14">
        <v>-0.326655764513491</v>
      </c>
      <c r="U237" s="14">
        <v>-0.360884749708964</v>
      </c>
      <c r="V237" s="14">
        <v>0.82695810564663</v>
      </c>
      <c r="W237" s="31" t="s">
        <v>484</v>
      </c>
      <c r="X237" s="4">
        <v>1.67</v>
      </c>
      <c r="Y237" s="4"/>
      <c r="Z237" s="4"/>
      <c r="AA237" s="4"/>
      <c r="AB237" s="4"/>
      <c r="AC237" s="6"/>
      <c r="AD237" s="4">
        <v>0.150375939849624</v>
      </c>
      <c r="AE237" s="6">
        <v>0.278195488721804</v>
      </c>
      <c r="AF237" s="4">
        <v>2.763</v>
      </c>
      <c r="AG237" s="4">
        <v>2.19</v>
      </c>
      <c r="AH237" s="4">
        <v>1.45</v>
      </c>
    </row>
    <row r="238" s="6" customFormat="1" ht="15" hidden="1" spans="1:34">
      <c r="A238" s="22">
        <v>1359</v>
      </c>
      <c r="B238" s="6">
        <v>2.71</v>
      </c>
      <c r="C238" s="6">
        <v>2.25</v>
      </c>
      <c r="D238" s="6">
        <v>5.23</v>
      </c>
      <c r="E238" s="15">
        <v>104782000000</v>
      </c>
      <c r="F238" s="53" t="s">
        <v>210</v>
      </c>
      <c r="G238">
        <v>19.1853887182803</v>
      </c>
      <c r="H238" s="23">
        <v>14.0250855188141</v>
      </c>
      <c r="I238" s="16">
        <f>H238/G238</f>
        <v>0.731029520681576</v>
      </c>
      <c r="J238" s="6">
        <v>0.67</v>
      </c>
      <c r="K238" s="6">
        <v>0.900152881965473</v>
      </c>
      <c r="L238" s="6">
        <v>5.7279</v>
      </c>
      <c r="M238" s="6">
        <v>5.58</v>
      </c>
      <c r="N238" s="6"/>
      <c r="O238" s="6"/>
      <c r="P238" s="6"/>
      <c r="Q238" s="6">
        <v>2.29</v>
      </c>
      <c r="R238" s="4">
        <f>B238</f>
        <v>2.71</v>
      </c>
      <c r="S238" s="19">
        <f>B238/Q238-1</f>
        <v>0.183406113537118</v>
      </c>
      <c r="T238" s="14">
        <v>-0.041113578051772</v>
      </c>
      <c r="U238" s="16">
        <v>-0.178757355687999</v>
      </c>
      <c r="V238" s="16">
        <v>-0.720305396393501</v>
      </c>
      <c r="W238" s="31" t="s">
        <v>210</v>
      </c>
      <c r="X238" s="4">
        <v>0.37</v>
      </c>
      <c r="Y238" s="4"/>
      <c r="Z238" s="4"/>
      <c r="AA238" s="6"/>
      <c r="AB238" s="6"/>
      <c r="AC238" s="4"/>
      <c r="AD238" s="4">
        <v>0.0863095238095238</v>
      </c>
      <c r="AE238" s="6">
        <v>0.119047619047619</v>
      </c>
      <c r="AF238" s="6">
        <v>4.695</v>
      </c>
      <c r="AG238" s="6">
        <v>4.377</v>
      </c>
      <c r="AH238" s="6">
        <v>4.377</v>
      </c>
    </row>
    <row r="239" ht="15" spans="1:34">
      <c r="A239" s="75">
        <v>3888</v>
      </c>
      <c r="B239" s="6">
        <v>17.04</v>
      </c>
      <c r="C239" s="6">
        <v>14</v>
      </c>
      <c r="D239" s="6">
        <v>34.95</v>
      </c>
      <c r="E239" s="15">
        <v>22960000000</v>
      </c>
      <c r="F239" s="47" t="s">
        <v>481</v>
      </c>
      <c r="G239">
        <v>25.4676902437207</v>
      </c>
      <c r="H239" s="27">
        <v>26.7587780453796</v>
      </c>
      <c r="I239" s="16">
        <f>H239/G239</f>
        <v>1.05069512740667</v>
      </c>
      <c r="J239" s="6">
        <v>2.23</v>
      </c>
      <c r="K239" s="16">
        <v>2.54157193555228</v>
      </c>
      <c r="L239" s="6">
        <v>19.511</v>
      </c>
      <c r="M239" s="6">
        <v>17.452</v>
      </c>
      <c r="N239" s="6"/>
      <c r="O239" s="6"/>
      <c r="P239" s="6"/>
      <c r="Q239" s="6">
        <v>14.4</v>
      </c>
      <c r="R239" s="4">
        <f>B239</f>
        <v>17.04</v>
      </c>
      <c r="S239" s="19">
        <f>B239/Q239-1</f>
        <v>0.183333333333333</v>
      </c>
      <c r="T239" s="14">
        <v>-0.135915970989985</v>
      </c>
      <c r="U239" s="14">
        <v>-0.295690157251019</v>
      </c>
      <c r="V239" s="14">
        <v>-0.661177954188373</v>
      </c>
      <c r="W239" s="31" t="s">
        <v>481</v>
      </c>
      <c r="X239" s="6">
        <v>1.07</v>
      </c>
      <c r="Y239" s="61" t="s">
        <v>967</v>
      </c>
      <c r="Z239" s="4"/>
      <c r="AA239" s="6"/>
      <c r="AB239" s="6"/>
      <c r="AC239" s="6"/>
      <c r="AD239" s="4">
        <v>0.291079812206573</v>
      </c>
      <c r="AE239" s="4">
        <v>0.346830985915493</v>
      </c>
      <c r="AF239" s="4">
        <v>12.241</v>
      </c>
      <c r="AG239" s="4">
        <v>13.899</v>
      </c>
      <c r="AH239" s="4">
        <v>16.133</v>
      </c>
    </row>
    <row r="240" ht="15" hidden="1" spans="1:34">
      <c r="A240" s="38">
        <v>538</v>
      </c>
      <c r="B240" s="4">
        <v>3.5</v>
      </c>
      <c r="C240" s="4">
        <v>2.82</v>
      </c>
      <c r="D240" s="4">
        <v>6.66</v>
      </c>
      <c r="E240" s="13">
        <v>3646000000</v>
      </c>
      <c r="F240" s="53" t="s">
        <v>382</v>
      </c>
      <c r="G240">
        <v>22.2878458190861</v>
      </c>
      <c r="H240" s="28">
        <v>15.7139551029854</v>
      </c>
      <c r="I240" s="17">
        <f>H240/G240</f>
        <v>0.705045935373837</v>
      </c>
      <c r="J240" s="4">
        <v>0.98</v>
      </c>
      <c r="K240" s="4">
        <v>1.00658796776243</v>
      </c>
      <c r="L240" s="4">
        <v>11.9229</v>
      </c>
      <c r="M240" s="4">
        <v>11.718</v>
      </c>
      <c r="Q240" s="4">
        <v>2.96</v>
      </c>
      <c r="R240" s="4">
        <f>B240</f>
        <v>3.5</v>
      </c>
      <c r="S240" s="18">
        <f>B240/Q240-1</f>
        <v>0.182432432432432</v>
      </c>
      <c r="T240" s="14">
        <v>-0.300248138957816</v>
      </c>
      <c r="U240" s="14">
        <v>-0.4125</v>
      </c>
      <c r="V240" s="14">
        <v>-0.531914893617021</v>
      </c>
      <c r="W240" s="31" t="s">
        <v>382</v>
      </c>
      <c r="X240" s="6">
        <v>-1.13</v>
      </c>
      <c r="AA240" s="4">
        <v>12000</v>
      </c>
      <c r="AC240" s="6"/>
      <c r="AD240" s="4">
        <v>0.0862973760932944</v>
      </c>
      <c r="AE240" s="4">
        <v>0.0921282798833819</v>
      </c>
      <c r="AF240" s="4">
        <v>5.14</v>
      </c>
      <c r="AG240" s="4">
        <v>2</v>
      </c>
      <c r="AH240" s="4">
        <v>1.31</v>
      </c>
    </row>
    <row r="241" ht="15" hidden="1" spans="1:34">
      <c r="A241" s="48">
        <v>182</v>
      </c>
      <c r="B241" s="6">
        <v>0.39</v>
      </c>
      <c r="C241" s="6">
        <v>0.325</v>
      </c>
      <c r="D241" s="6">
        <v>0.77</v>
      </c>
      <c r="E241" s="15">
        <v>3449500000</v>
      </c>
      <c r="F241" s="47" t="s">
        <v>766</v>
      </c>
      <c r="G241">
        <v>21.7955736294674</v>
      </c>
      <c r="H241" s="27">
        <v>30.7702366941284</v>
      </c>
      <c r="I241" s="16">
        <f>H241/G241</f>
        <v>1.41176539866459</v>
      </c>
      <c r="J241" s="6">
        <v>0.51</v>
      </c>
      <c r="K241" s="6">
        <v>0.682837342030167</v>
      </c>
      <c r="L241" s="6">
        <v>9.371</v>
      </c>
      <c r="M241" s="6">
        <v>9.116</v>
      </c>
      <c r="N241" s="6"/>
      <c r="O241" s="6"/>
      <c r="P241" s="6"/>
      <c r="Q241" s="6">
        <v>0.33</v>
      </c>
      <c r="R241" s="6">
        <f>B241</f>
        <v>0.39</v>
      </c>
      <c r="S241" s="19">
        <f>B241/Q241-1</f>
        <v>0.181818181818182</v>
      </c>
      <c r="T241" s="14">
        <v>-0.262509622786759</v>
      </c>
      <c r="U241" s="16">
        <v>-0.503369621565578</v>
      </c>
      <c r="V241" s="14">
        <v>2.63256784968685</v>
      </c>
      <c r="W241" s="31" t="s">
        <v>766</v>
      </c>
      <c r="X241" s="4">
        <v>2.63</v>
      </c>
      <c r="Y241" s="4"/>
      <c r="Z241" s="4"/>
      <c r="AA241" s="4"/>
      <c r="AB241" s="4"/>
      <c r="AC241" s="6"/>
      <c r="AD241" s="6">
        <v>0</v>
      </c>
      <c r="AE241" s="4">
        <v>0</v>
      </c>
      <c r="AF241" s="4">
        <v>0.2</v>
      </c>
      <c r="AG241" s="4">
        <v>0.275</v>
      </c>
      <c r="AH241" s="4">
        <v>0.45</v>
      </c>
    </row>
    <row r="242" ht="15" hidden="1" spans="1:34">
      <c r="A242" s="38">
        <v>1381</v>
      </c>
      <c r="B242" s="4">
        <v>3.6</v>
      </c>
      <c r="C242" s="4">
        <v>2.22</v>
      </c>
      <c r="D242" s="4">
        <v>4.85</v>
      </c>
      <c r="E242" s="13">
        <v>7283000000</v>
      </c>
      <c r="F242" s="46" t="s">
        <v>968</v>
      </c>
      <c r="G242">
        <v>23.8907070553315</v>
      </c>
      <c r="H242" s="26">
        <v>8.33062506770664</v>
      </c>
      <c r="I242" s="14">
        <f>H242/G242</f>
        <v>0.348697300938508</v>
      </c>
      <c r="J242" s="4">
        <v>2.54</v>
      </c>
      <c r="K242" s="4">
        <v>6.02032838154808</v>
      </c>
      <c r="L242" s="4">
        <v>32.2449</v>
      </c>
      <c r="M242" s="4">
        <v>23.802</v>
      </c>
      <c r="N242" s="4"/>
      <c r="O242" s="4"/>
      <c r="P242" s="4"/>
      <c r="Q242" s="32">
        <v>3.05</v>
      </c>
      <c r="R242" s="6">
        <f>B242</f>
        <v>3.6</v>
      </c>
      <c r="S242" s="19">
        <f>B242/Q242-1</f>
        <v>0.180327868852459</v>
      </c>
      <c r="T242" s="14">
        <v>-0.037058250758921</v>
      </c>
      <c r="U242" s="14">
        <v>0.0585568568190404</v>
      </c>
      <c r="V242" s="14">
        <v>-0.513918629550321</v>
      </c>
      <c r="W242" s="31" t="s">
        <v>968</v>
      </c>
      <c r="X242" s="4">
        <v>0</v>
      </c>
      <c r="Y242" s="4"/>
      <c r="Z242" s="4"/>
      <c r="AA242" s="6"/>
      <c r="AB242" s="6"/>
      <c r="AC242" s="4"/>
      <c r="AD242" s="4">
        <v>0.101796407185629</v>
      </c>
      <c r="AE242" s="6">
        <v>0.146706586826347</v>
      </c>
      <c r="AF242" s="4">
        <v>0.57</v>
      </c>
      <c r="AG242" s="4">
        <v>0.29</v>
      </c>
      <c r="AH242" s="4">
        <v>0.37</v>
      </c>
    </row>
    <row r="243" s="6" customFormat="1" ht="15" hidden="1" spans="1:34">
      <c r="A243" s="38">
        <v>343</v>
      </c>
      <c r="B243" s="4">
        <v>1.31</v>
      </c>
      <c r="C243" s="4">
        <v>0.83</v>
      </c>
      <c r="D243" s="4">
        <v>2.18</v>
      </c>
      <c r="E243" s="13">
        <v>1963000000</v>
      </c>
      <c r="F243" s="46" t="s">
        <v>356</v>
      </c>
      <c r="G243">
        <v>32.8227865108155</v>
      </c>
      <c r="H243" s="28">
        <v>31.3025210084034</v>
      </c>
      <c r="I243" s="17">
        <f>H243/G243</f>
        <v>0.953682619179477</v>
      </c>
      <c r="J243" s="4">
        <v>4.91</v>
      </c>
      <c r="K243" s="4">
        <v>41.796875</v>
      </c>
      <c r="L243" s="4"/>
      <c r="M243" s="4"/>
      <c r="N243" s="4"/>
      <c r="O243" s="4"/>
      <c r="P243" s="4"/>
      <c r="Q243" s="4">
        <v>1.11</v>
      </c>
      <c r="R243" s="4">
        <f>B243</f>
        <v>1.31</v>
      </c>
      <c r="S243" s="18">
        <f>B243/Q243-1</f>
        <v>0.18018018018018</v>
      </c>
      <c r="T243" s="14">
        <v>-0.272811955773359</v>
      </c>
      <c r="U243" s="14">
        <v>0.0074061605790271</v>
      </c>
      <c r="V243" s="14">
        <v>-0.279866332497911</v>
      </c>
      <c r="W243" s="31" t="s">
        <v>356</v>
      </c>
      <c r="X243" s="4">
        <v>-2.24</v>
      </c>
      <c r="Y243" s="6"/>
      <c r="Z243" s="6"/>
      <c r="AA243" s="4"/>
      <c r="AB243" s="4"/>
      <c r="AC243" s="6"/>
      <c r="AD243" s="4">
        <v>0.5</v>
      </c>
      <c r="AE243" s="4">
        <v>0.763636363636363</v>
      </c>
      <c r="AF243" s="6">
        <v>3.886</v>
      </c>
      <c r="AG243" s="6">
        <v>3.78</v>
      </c>
      <c r="AH243" s="6">
        <v>2.96</v>
      </c>
    </row>
    <row r="244" ht="15" hidden="1" spans="1:34">
      <c r="A244" s="43">
        <v>874</v>
      </c>
      <c r="B244" s="4">
        <v>18.78</v>
      </c>
      <c r="C244" s="4">
        <v>15.6</v>
      </c>
      <c r="D244" s="4">
        <v>34.1</v>
      </c>
      <c r="E244" s="13">
        <v>31280000000</v>
      </c>
      <c r="F244" s="47" t="s">
        <v>969</v>
      </c>
      <c r="G244">
        <v>16.9297225452733</v>
      </c>
      <c r="H244" s="28">
        <v>20.3369434416366</v>
      </c>
      <c r="I244" s="14">
        <f>H244/G244</f>
        <v>1.20125674754868</v>
      </c>
      <c r="J244" s="4">
        <v>2.14</v>
      </c>
      <c r="K244" s="4">
        <v>0.862107378212043</v>
      </c>
      <c r="L244" s="4">
        <v>14.1657</v>
      </c>
      <c r="M244" s="4">
        <v>14.584</v>
      </c>
      <c r="Q244" s="33">
        <v>15.92</v>
      </c>
      <c r="R244" s="4">
        <f>B244</f>
        <v>18.78</v>
      </c>
      <c r="S244" s="18">
        <f>B244/Q244-1</f>
        <v>0.17964824120603</v>
      </c>
      <c r="T244" s="14">
        <v>0.0686274509803922</v>
      </c>
      <c r="U244" s="14">
        <v>-0.0224215246636771</v>
      </c>
      <c r="V244" s="14">
        <v>-0.784403669724771</v>
      </c>
      <c r="W244" s="34" t="s">
        <v>969</v>
      </c>
      <c r="X244" s="4">
        <v>-0.32</v>
      </c>
      <c r="AD244" s="6">
        <v>0.164216297034637</v>
      </c>
      <c r="AE244" s="4">
        <v>0.254921505108398</v>
      </c>
      <c r="AF244" s="4">
        <v>0.63</v>
      </c>
      <c r="AG244" s="4">
        <v>0.42</v>
      </c>
      <c r="AH244" s="4">
        <v>0.236</v>
      </c>
    </row>
    <row r="245" s="6" customFormat="1" ht="15" hidden="1" spans="1:34">
      <c r="A245" s="37">
        <v>31</v>
      </c>
      <c r="B245" s="6">
        <v>0.99</v>
      </c>
      <c r="C245" s="6">
        <v>0.78</v>
      </c>
      <c r="D245" s="6">
        <v>2.38</v>
      </c>
      <c r="E245" s="15">
        <v>3147000000</v>
      </c>
      <c r="F245" s="53" t="s">
        <v>73</v>
      </c>
      <c r="G245">
        <v>18.1803305514646</v>
      </c>
      <c r="H245" s="29">
        <v>31.3197636244255</v>
      </c>
      <c r="I245" s="16">
        <f>H245/G245</f>
        <v>1.72272795237501</v>
      </c>
      <c r="J245" s="6">
        <v>0.49</v>
      </c>
      <c r="K245" s="6">
        <v>1.03965183752417</v>
      </c>
      <c r="L245" s="6">
        <v>6.3824</v>
      </c>
      <c r="M245" s="6">
        <v>6.236</v>
      </c>
      <c r="N245" s="6"/>
      <c r="O245" s="6"/>
      <c r="P245" s="6"/>
      <c r="Q245" s="6">
        <v>0.84</v>
      </c>
      <c r="R245" s="6">
        <f>B245</f>
        <v>0.99</v>
      </c>
      <c r="S245" s="19">
        <f>B245/Q245-1</f>
        <v>0.178571428571429</v>
      </c>
      <c r="T245" s="14">
        <v>-0.371566938603049</v>
      </c>
      <c r="U245" s="14">
        <v>0.418353873239437</v>
      </c>
      <c r="V245" s="16">
        <v>-0.337470907680372</v>
      </c>
      <c r="W245" s="31" t="s">
        <v>73</v>
      </c>
      <c r="X245" s="4">
        <v>-1</v>
      </c>
      <c r="Y245" s="4"/>
      <c r="Z245" s="4"/>
      <c r="AA245" s="6"/>
      <c r="AB245" s="6"/>
      <c r="AC245" s="6"/>
      <c r="AD245" s="6">
        <v>0.412371134020619</v>
      </c>
      <c r="AE245" s="4">
        <v>0.587628865979382</v>
      </c>
      <c r="AF245" s="6">
        <v>0.61667</v>
      </c>
      <c r="AG245" s="6">
        <v>0.53188</v>
      </c>
      <c r="AH245" s="6">
        <v>0.44</v>
      </c>
    </row>
    <row r="246" ht="15" hidden="1" spans="1:34">
      <c r="A246" s="37">
        <v>952</v>
      </c>
      <c r="B246" s="6">
        <v>1.32</v>
      </c>
      <c r="C246" s="6">
        <v>0.31</v>
      </c>
      <c r="D246" s="6">
        <v>2.6</v>
      </c>
      <c r="E246" s="15">
        <v>1753000000</v>
      </c>
      <c r="F246" s="52" t="s">
        <v>365</v>
      </c>
      <c r="G246">
        <v>63.2569077013521</v>
      </c>
      <c r="H246" s="29">
        <v>4.54783063251438</v>
      </c>
      <c r="I246" s="16">
        <f>H246/G246</f>
        <v>0.0718946087909568</v>
      </c>
      <c r="J246" s="6">
        <v>2.74</v>
      </c>
      <c r="K246" s="6">
        <v>2.67157991708889</v>
      </c>
      <c r="L246" s="6">
        <v>46.9597</v>
      </c>
      <c r="M246" s="6">
        <v>36.964</v>
      </c>
      <c r="N246" s="6"/>
      <c r="O246" s="6"/>
      <c r="P246" s="6"/>
      <c r="Q246" s="6">
        <v>1.12</v>
      </c>
      <c r="R246" s="6">
        <f>B246</f>
        <v>1.32</v>
      </c>
      <c r="S246" s="19">
        <f>B246/Q246-1</f>
        <v>0.178571428571429</v>
      </c>
      <c r="T246" s="14">
        <v>-0.0991429941684681</v>
      </c>
      <c r="U246" s="14">
        <v>-0.238981856614409</v>
      </c>
      <c r="V246" s="14">
        <v>-0.627340693933292</v>
      </c>
      <c r="W246" s="31" t="s">
        <v>365</v>
      </c>
      <c r="X246" s="4">
        <v>0</v>
      </c>
      <c r="Y246" s="6"/>
      <c r="Z246" s="6"/>
      <c r="AD246" s="4">
        <v>0.245454044522812</v>
      </c>
      <c r="AE246" s="6">
        <v>0.581818014840937</v>
      </c>
      <c r="AF246" s="4">
        <v>0.395</v>
      </c>
      <c r="AG246" s="4">
        <v>0.3</v>
      </c>
      <c r="AH246" s="4">
        <v>0.285</v>
      </c>
    </row>
    <row r="247" ht="15" hidden="1" spans="1:34">
      <c r="A247" s="38">
        <v>604</v>
      </c>
      <c r="B247" s="4">
        <v>3.3</v>
      </c>
      <c r="C247" s="4">
        <v>2.08</v>
      </c>
      <c r="D247" s="4">
        <v>4.66</v>
      </c>
      <c r="E247" s="13">
        <v>26440000000</v>
      </c>
      <c r="F247" s="45" t="s">
        <v>970</v>
      </c>
      <c r="G247">
        <v>19.6980647233598</v>
      </c>
      <c r="H247" s="28">
        <v>18.7930624851509</v>
      </c>
      <c r="I247" s="14">
        <f>H247/G247</f>
        <v>0.954056286700301</v>
      </c>
      <c r="J247" s="4">
        <v>0.62</v>
      </c>
      <c r="K247" s="4">
        <v>1.60418681381193</v>
      </c>
      <c r="L247" s="4">
        <v>6.6499</v>
      </c>
      <c r="M247" s="4">
        <v>5.185</v>
      </c>
      <c r="N247" s="4"/>
      <c r="O247" s="4"/>
      <c r="P247" s="4"/>
      <c r="Q247" s="33">
        <v>2.8</v>
      </c>
      <c r="R247" s="4">
        <f>B247</f>
        <v>3.3</v>
      </c>
      <c r="S247" s="18">
        <f>B247/Q247-1</f>
        <v>0.178571428571429</v>
      </c>
      <c r="T247" s="14">
        <v>-0.397541025250216</v>
      </c>
      <c r="U247" s="14">
        <v>0.214233053450748</v>
      </c>
      <c r="V247" s="14">
        <v>-0.725101617446155</v>
      </c>
      <c r="W247" s="34" t="s">
        <v>970</v>
      </c>
      <c r="X247" s="4">
        <v>-0.3</v>
      </c>
      <c r="Y247" s="4"/>
      <c r="Z247" s="4"/>
      <c r="AA247" s="4"/>
      <c r="AB247" s="4"/>
      <c r="AC247" s="4"/>
      <c r="AD247" s="4">
        <v>0.192365269461078</v>
      </c>
      <c r="AE247" s="6">
        <v>0.255239520958084</v>
      </c>
      <c r="AF247" s="4">
        <v>3.04</v>
      </c>
      <c r="AG247" s="4">
        <v>2.64</v>
      </c>
      <c r="AH247" s="4">
        <v>2.72</v>
      </c>
    </row>
    <row r="248" ht="15" hidden="1" spans="1:34">
      <c r="A248" s="43">
        <v>54</v>
      </c>
      <c r="B248" s="4">
        <v>28</v>
      </c>
      <c r="C248" s="4">
        <v>21.45</v>
      </c>
      <c r="D248" s="4">
        <v>31</v>
      </c>
      <c r="E248" s="13">
        <v>24790000000</v>
      </c>
      <c r="F248" s="45" t="s">
        <v>971</v>
      </c>
      <c r="G248">
        <v>23.3951279301364</v>
      </c>
      <c r="H248" s="28">
        <v>3.57327809425168</v>
      </c>
      <c r="I248" s="14">
        <f>H248/G248</f>
        <v>0.152735992935041</v>
      </c>
      <c r="J248" s="4">
        <v>0.45</v>
      </c>
      <c r="K248" s="4">
        <v>10.616650446784</v>
      </c>
      <c r="L248" s="4">
        <v>7.3685</v>
      </c>
      <c r="M248" s="4">
        <v>7.345</v>
      </c>
      <c r="Q248" s="33">
        <v>23.8</v>
      </c>
      <c r="R248" s="4">
        <f>B248</f>
        <v>28</v>
      </c>
      <c r="S248" s="60">
        <f>B248/Q248-1</f>
        <v>0.176470588235294</v>
      </c>
      <c r="T248" s="14">
        <v>0.394814571709879</v>
      </c>
      <c r="U248" s="14">
        <v>0.773789649415693</v>
      </c>
      <c r="V248" s="14">
        <v>-0.618282352941177</v>
      </c>
      <c r="W248" s="34" t="s">
        <v>971</v>
      </c>
      <c r="X248" s="4">
        <v>-0.53</v>
      </c>
      <c r="AD248" s="4">
        <v>0.0353637354508909</v>
      </c>
      <c r="AE248" s="6">
        <v>0.0451865603217544</v>
      </c>
      <c r="AF248" s="4">
        <v>0.59</v>
      </c>
      <c r="AG248" s="4">
        <v>0.59</v>
      </c>
      <c r="AH248" s="4">
        <v>2.01</v>
      </c>
    </row>
    <row r="249" s="6" customFormat="1" ht="15" spans="1:34">
      <c r="A249" s="41">
        <v>2488</v>
      </c>
      <c r="B249" s="6">
        <v>8.23</v>
      </c>
      <c r="C249" s="6">
        <v>4.86</v>
      </c>
      <c r="D249" s="6">
        <v>33.8</v>
      </c>
      <c r="E249" s="67">
        <v>2821000000</v>
      </c>
      <c r="F249" s="53" t="s">
        <v>678</v>
      </c>
      <c r="G249">
        <v>22.2334551675869</v>
      </c>
      <c r="H249" s="27">
        <v>62.813415825464</v>
      </c>
      <c r="I249" s="16">
        <f>H249/G249</f>
        <v>2.82517563518588</v>
      </c>
      <c r="J249" s="6">
        <v>2.61</v>
      </c>
      <c r="K249" s="6">
        <v>2.63018875607098</v>
      </c>
      <c r="L249" s="6"/>
      <c r="M249" s="6"/>
      <c r="N249" s="6"/>
      <c r="O249" s="6"/>
      <c r="P249" s="4"/>
      <c r="Q249" s="6">
        <v>7</v>
      </c>
      <c r="R249" s="4">
        <f>B249</f>
        <v>8.23</v>
      </c>
      <c r="S249" s="60">
        <f>B249/Q249-1</f>
        <v>0.175714285714286</v>
      </c>
      <c r="T249" s="14">
        <v>-0.0565217391304348</v>
      </c>
      <c r="U249" s="14">
        <v>-0.445012787723785</v>
      </c>
      <c r="V249" s="16">
        <v>-0.921658986175115</v>
      </c>
      <c r="W249" s="5" t="s">
        <v>678</v>
      </c>
      <c r="X249" s="4">
        <v>-1.32</v>
      </c>
      <c r="Y249" s="6" t="s">
        <v>972</v>
      </c>
      <c r="Z249" s="6">
        <v>1</v>
      </c>
      <c r="AA249" s="4">
        <v>2500</v>
      </c>
      <c r="AB249" s="4">
        <v>16</v>
      </c>
      <c r="AC249" s="4"/>
      <c r="AD249" s="4">
        <v>0.742160278745645</v>
      </c>
      <c r="AE249" s="4">
        <v>0.909407665505227</v>
      </c>
      <c r="AF249" s="6">
        <v>0.86</v>
      </c>
      <c r="AG249" s="6">
        <v>0.6</v>
      </c>
      <c r="AH249" s="6">
        <v>2.46</v>
      </c>
    </row>
    <row r="250" s="6" customFormat="1" ht="15" hidden="1" spans="1:34">
      <c r="A250" s="65">
        <v>1833</v>
      </c>
      <c r="B250" s="6">
        <v>6.5</v>
      </c>
      <c r="C250" s="6">
        <v>4.2</v>
      </c>
      <c r="D250" s="6">
        <v>17.24</v>
      </c>
      <c r="E250" s="15">
        <v>17382000000</v>
      </c>
      <c r="F250" s="47" t="s">
        <v>501</v>
      </c>
      <c r="G250">
        <v>17.3826834104428</v>
      </c>
      <c r="H250" s="23">
        <v>32.1527686005022</v>
      </c>
      <c r="I250" s="16">
        <f>H250/G250</f>
        <v>1.84970109857642</v>
      </c>
      <c r="J250" s="6">
        <v>0.93</v>
      </c>
      <c r="K250" s="6">
        <v>1.47416862595122</v>
      </c>
      <c r="L250" s="6">
        <v>8.8769</v>
      </c>
      <c r="M250" s="6">
        <v>8.288</v>
      </c>
      <c r="N250" s="6"/>
      <c r="O250" s="6"/>
      <c r="P250" s="4"/>
      <c r="Q250" s="6">
        <v>5.53</v>
      </c>
      <c r="R250" s="4">
        <f>B250</f>
        <v>6.5</v>
      </c>
      <c r="S250" s="18">
        <f>B250/Q250-1</f>
        <v>0.175406871609403</v>
      </c>
      <c r="T250" s="14">
        <v>-0.407019146835918</v>
      </c>
      <c r="U250" s="16">
        <v>0.0522909880564604</v>
      </c>
      <c r="V250" s="16">
        <v>-0.748957860415205</v>
      </c>
      <c r="W250" s="31" t="s">
        <v>501</v>
      </c>
      <c r="X250" s="4">
        <v>0.15</v>
      </c>
      <c r="Y250" s="6"/>
      <c r="Z250" s="6">
        <v>0</v>
      </c>
      <c r="AA250" s="4">
        <v>1000</v>
      </c>
      <c r="AB250" s="4"/>
      <c r="AC250" s="4"/>
      <c r="AD250" s="4">
        <v>0.144328535586954</v>
      </c>
      <c r="AE250" s="6">
        <v>0.211937145120824</v>
      </c>
      <c r="AF250" s="6">
        <v>1.23733</v>
      </c>
      <c r="AG250" s="6">
        <v>1.08</v>
      </c>
      <c r="AH250" s="6">
        <v>0.77</v>
      </c>
    </row>
    <row r="251" ht="15" spans="1:34">
      <c r="A251" s="38">
        <v>708</v>
      </c>
      <c r="B251" s="4">
        <v>1.88</v>
      </c>
      <c r="C251" s="4">
        <v>0.25</v>
      </c>
      <c r="D251" s="4">
        <v>16.1</v>
      </c>
      <c r="E251" s="13">
        <v>8381000000</v>
      </c>
      <c r="F251" s="46" t="s">
        <v>439</v>
      </c>
      <c r="G251">
        <v>51.0643503792513</v>
      </c>
      <c r="H251" s="28">
        <v>39.3534002229654</v>
      </c>
      <c r="I251" s="14">
        <f>H251/G251</f>
        <v>0.770662897514422</v>
      </c>
      <c r="J251" s="4">
        <v>25.26</v>
      </c>
      <c r="K251" s="4">
        <v>3.46677672307057</v>
      </c>
      <c r="L251" s="4">
        <v>1254.5603</v>
      </c>
      <c r="M251" s="4">
        <v>1230.769</v>
      </c>
      <c r="N251" s="4"/>
      <c r="O251" s="4"/>
      <c r="P251" s="4"/>
      <c r="Q251" s="4">
        <v>1.6</v>
      </c>
      <c r="R251" s="4">
        <f>B251</f>
        <v>1.88</v>
      </c>
      <c r="S251" s="18">
        <f>B251/Q251-1</f>
        <v>0.175</v>
      </c>
      <c r="T251" s="16">
        <v>-0.193199789140749</v>
      </c>
      <c r="U251" s="16">
        <v>-0.532457614174431</v>
      </c>
      <c r="V251" s="14">
        <v>-0.432211695524338</v>
      </c>
      <c r="W251" s="31" t="s">
        <v>439</v>
      </c>
      <c r="X251" s="4">
        <v>-5.05</v>
      </c>
      <c r="Y251" s="4" t="s">
        <v>973</v>
      </c>
      <c r="AA251" s="6"/>
      <c r="AB251" s="6"/>
      <c r="AC251" s="4"/>
      <c r="AD251" s="4">
        <v>0.396907216494845</v>
      </c>
      <c r="AE251" s="6">
        <v>0.507731958762886</v>
      </c>
      <c r="AF251" s="4">
        <v>0.215</v>
      </c>
      <c r="AG251" s="4">
        <v>0.435</v>
      </c>
      <c r="AH251" s="4">
        <v>0.9</v>
      </c>
    </row>
    <row r="252" s="6" customFormat="1" ht="15" hidden="1" spans="1:34">
      <c r="A252" s="38">
        <v>1273</v>
      </c>
      <c r="B252" s="4">
        <v>0.88</v>
      </c>
      <c r="C252" s="4">
        <v>0.7</v>
      </c>
      <c r="D252" s="4">
        <v>1.58</v>
      </c>
      <c r="E252" s="13">
        <v>353000000</v>
      </c>
      <c r="F252" s="53" t="s">
        <v>115</v>
      </c>
      <c r="G252">
        <v>20.4518335852359</v>
      </c>
      <c r="H252" s="28">
        <v>9.08694229300753</v>
      </c>
      <c r="I252" s="17">
        <f>H252/G252</f>
        <v>0.444309418768563</v>
      </c>
      <c r="J252" s="4">
        <v>0.67</v>
      </c>
      <c r="K252" s="4">
        <v>2.65193370165745</v>
      </c>
      <c r="L252" s="4">
        <v>5.8864</v>
      </c>
      <c r="M252" s="4">
        <v>5.887</v>
      </c>
      <c r="N252" s="4"/>
      <c r="O252" s="4"/>
      <c r="P252" s="4"/>
      <c r="Q252" s="4">
        <v>0.75</v>
      </c>
      <c r="R252" s="4">
        <f>B252</f>
        <v>0.88</v>
      </c>
      <c r="S252" s="18">
        <f>B252/Q252-1</f>
        <v>0.173333333333333</v>
      </c>
      <c r="T252" s="14">
        <v>0.239130434782609</v>
      </c>
      <c r="U252" s="16">
        <v>-0.254901960784314</v>
      </c>
      <c r="V252" s="14">
        <v>0</v>
      </c>
      <c r="W252" s="31" t="s">
        <v>115</v>
      </c>
      <c r="X252" s="4">
        <v>3.53</v>
      </c>
      <c r="Y252" s="4"/>
      <c r="Z252" s="4"/>
      <c r="AA252" s="6"/>
      <c r="AB252" s="6"/>
      <c r="AC252" s="4"/>
      <c r="AD252" s="4">
        <v>0.144736842105263</v>
      </c>
      <c r="AE252" s="6">
        <v>0.328947368421053</v>
      </c>
      <c r="AF252" s="6">
        <v>11</v>
      </c>
      <c r="AG252" s="6">
        <v>13.14</v>
      </c>
      <c r="AH252" s="6">
        <v>10.42</v>
      </c>
    </row>
    <row r="253" ht="15" hidden="1" spans="1:34">
      <c r="A253" s="38">
        <v>2600</v>
      </c>
      <c r="B253" s="4">
        <v>3.34</v>
      </c>
      <c r="C253" s="4">
        <v>2.13</v>
      </c>
      <c r="D253" s="4">
        <v>5.62</v>
      </c>
      <c r="E253" s="13">
        <v>43072000000</v>
      </c>
      <c r="F253" s="53" t="s">
        <v>974</v>
      </c>
      <c r="G253">
        <v>36.2285568522416</v>
      </c>
      <c r="H253" s="25">
        <v>4.78885046631039</v>
      </c>
      <c r="I253" s="14">
        <f>H253/G253</f>
        <v>0.132184411480748</v>
      </c>
      <c r="J253" s="4">
        <v>0.94</v>
      </c>
      <c r="K253" s="4">
        <v>0.252270294249963</v>
      </c>
      <c r="L253" s="4"/>
      <c r="M253" s="4"/>
      <c r="N253" s="4"/>
      <c r="O253" s="4"/>
      <c r="P253" s="4"/>
      <c r="Q253" s="4">
        <v>2.85</v>
      </c>
      <c r="R253" s="4">
        <f>B253</f>
        <v>3.34</v>
      </c>
      <c r="S253" s="18">
        <f>B253/Q253-1</f>
        <v>0.171929824561403</v>
      </c>
      <c r="T253" s="14">
        <v>-0.277481125094895</v>
      </c>
      <c r="U253" s="14">
        <v>-0.29326670008773</v>
      </c>
      <c r="V253" s="14">
        <v>-0.0870318893780396</v>
      </c>
      <c r="W253" s="31" t="s">
        <v>974</v>
      </c>
      <c r="X253" s="4">
        <v>2.77</v>
      </c>
      <c r="Y253" s="4"/>
      <c r="Z253" s="4"/>
      <c r="AA253" s="4"/>
      <c r="AB253" s="4"/>
      <c r="AC253" s="4"/>
      <c r="AD253" s="4"/>
      <c r="AE253" s="4"/>
      <c r="AF253" s="4">
        <v>7.343</v>
      </c>
      <c r="AG253" s="4">
        <v>6.23</v>
      </c>
      <c r="AH253" s="4">
        <v>8.25</v>
      </c>
    </row>
    <row r="254" ht="15" hidden="1" spans="1:34">
      <c r="A254" s="38">
        <v>2366</v>
      </c>
      <c r="B254" s="4">
        <v>0.82</v>
      </c>
      <c r="C254" s="4">
        <v>0.3</v>
      </c>
      <c r="D254" s="4">
        <v>1.56</v>
      </c>
      <c r="E254" s="13">
        <v>656000000</v>
      </c>
      <c r="F254" s="46" t="s">
        <v>975</v>
      </c>
      <c r="G254">
        <v>47.5616151022549</v>
      </c>
      <c r="H254" s="26">
        <v>15.8480074142725</v>
      </c>
      <c r="I254" s="14">
        <f>H254/G254</f>
        <v>0.333210034608794</v>
      </c>
      <c r="J254" s="4">
        <v>1.24</v>
      </c>
      <c r="K254" s="4">
        <v>3.97501419647927</v>
      </c>
      <c r="L254" s="4"/>
      <c r="M254" s="4"/>
      <c r="N254" s="4"/>
      <c r="O254" s="4"/>
      <c r="P254" s="4"/>
      <c r="Q254" s="32">
        <v>0.7</v>
      </c>
      <c r="R254" s="6">
        <f>B254</f>
        <v>0.82</v>
      </c>
      <c r="S254" s="63">
        <f>B254/Q254-1</f>
        <v>0.171428571428571</v>
      </c>
      <c r="T254" s="14">
        <v>0.0434782608695652</v>
      </c>
      <c r="U254" s="14">
        <v>4.4468085106383</v>
      </c>
      <c r="V254" s="16">
        <v>0.6641484375</v>
      </c>
      <c r="W254" s="5" t="s">
        <v>975</v>
      </c>
      <c r="X254" s="4">
        <v>-1.2</v>
      </c>
      <c r="Y254" s="4"/>
      <c r="Z254" s="4"/>
      <c r="AA254" s="4"/>
      <c r="AB254" s="4"/>
      <c r="AC254" s="4"/>
      <c r="AD254" s="4">
        <v>0.206896551724138</v>
      </c>
      <c r="AE254" s="4">
        <v>0.413793103448276</v>
      </c>
      <c r="AF254" s="4">
        <v>2.28</v>
      </c>
      <c r="AG254" s="4">
        <v>2.672</v>
      </c>
      <c r="AH254" s="4">
        <v>3.04</v>
      </c>
    </row>
    <row r="255" ht="15" spans="1:34">
      <c r="A255" s="37">
        <v>818</v>
      </c>
      <c r="B255" s="6">
        <v>1.23</v>
      </c>
      <c r="C255" s="6">
        <v>1</v>
      </c>
      <c r="D255" s="6">
        <v>4.09</v>
      </c>
      <c r="E255" s="15">
        <v>3665000000</v>
      </c>
      <c r="F255" s="47" t="s">
        <v>540</v>
      </c>
      <c r="G255">
        <v>18.6991869918699</v>
      </c>
      <c r="H255" s="27">
        <v>50.3985561738607</v>
      </c>
      <c r="I255" s="16">
        <f>H255/G255</f>
        <v>2.69522713451516</v>
      </c>
      <c r="J255" s="6">
        <v>0.93</v>
      </c>
      <c r="K255" s="6">
        <v>3.10344827586206</v>
      </c>
      <c r="L255" s="6">
        <v>7.5528</v>
      </c>
      <c r="M255" s="6">
        <v>7.343</v>
      </c>
      <c r="N255" s="6"/>
      <c r="O255" s="6"/>
      <c r="P255" s="4"/>
      <c r="Q255" s="6">
        <v>1.05</v>
      </c>
      <c r="R255" s="4">
        <f>B255</f>
        <v>1.23</v>
      </c>
      <c r="S255" s="18">
        <f>B255/Q255-1</f>
        <v>0.171428571428571</v>
      </c>
      <c r="T255" s="14">
        <v>0.190114068441065</v>
      </c>
      <c r="U255" s="14">
        <v>0.262096774193548</v>
      </c>
      <c r="V255" s="16">
        <v>-0.55591054313099</v>
      </c>
      <c r="W255" s="31" t="s">
        <v>540</v>
      </c>
      <c r="X255" s="4">
        <v>0</v>
      </c>
      <c r="Y255" s="61" t="s">
        <v>872</v>
      </c>
      <c r="Z255" s="4"/>
      <c r="AA255" s="4"/>
      <c r="AB255" s="4"/>
      <c r="AC255" s="4"/>
      <c r="AD255" s="4">
        <v>0.365853658536585</v>
      </c>
      <c r="AE255" s="6">
        <v>0.463414634146342</v>
      </c>
      <c r="AF255" s="4">
        <v>29.62</v>
      </c>
      <c r="AG255" s="4">
        <v>32.95</v>
      </c>
      <c r="AH255" s="4">
        <v>39</v>
      </c>
    </row>
    <row r="256" ht="15" hidden="1" spans="1:34">
      <c r="A256" s="38">
        <v>2255</v>
      </c>
      <c r="B256" s="4">
        <v>1.71</v>
      </c>
      <c r="C256" s="4">
        <v>1.02</v>
      </c>
      <c r="D256" s="4">
        <v>2.13</v>
      </c>
      <c r="E256" s="13">
        <v>6640000000</v>
      </c>
      <c r="F256" s="47" t="s">
        <v>134</v>
      </c>
      <c r="G256">
        <v>18.1267398067791</v>
      </c>
      <c r="H256" s="28">
        <v>7.60787689658883</v>
      </c>
      <c r="I256" s="17">
        <f>H256/G256</f>
        <v>0.419704645053911</v>
      </c>
      <c r="J256" s="4">
        <v>1.28</v>
      </c>
      <c r="K256" s="4">
        <v>4.01155740530515</v>
      </c>
      <c r="L256" s="4">
        <v>24.3276</v>
      </c>
      <c r="M256" s="4">
        <v>23.138</v>
      </c>
      <c r="N256" s="4"/>
      <c r="O256" s="4"/>
      <c r="P256" s="4"/>
      <c r="Q256" s="4">
        <v>1.46</v>
      </c>
      <c r="R256" s="4">
        <f>B256</f>
        <v>1.71</v>
      </c>
      <c r="S256" s="18">
        <f>B256/Q256-1</f>
        <v>0.171232876712329</v>
      </c>
      <c r="T256" s="14">
        <v>0.604706820901476</v>
      </c>
      <c r="U256" s="16">
        <v>1.27095681625741</v>
      </c>
      <c r="V256" s="14">
        <v>-0.200596569724087</v>
      </c>
      <c r="W256" s="31" t="s">
        <v>134</v>
      </c>
      <c r="X256" s="4">
        <v>1.18</v>
      </c>
      <c r="Y256" s="4"/>
      <c r="Z256" s="4"/>
      <c r="AA256" s="6"/>
      <c r="AB256" s="6"/>
      <c r="AC256" s="4"/>
      <c r="AD256" s="6">
        <v>0.176923076923077</v>
      </c>
      <c r="AE256" s="4">
        <v>0.261538461538461</v>
      </c>
      <c r="AF256" s="4">
        <v>5.53783</v>
      </c>
      <c r="AG256" s="4">
        <v>3.06969</v>
      </c>
      <c r="AH256" s="4">
        <v>3.07943</v>
      </c>
    </row>
    <row r="257" s="6" customFormat="1" ht="14.25" hidden="1" spans="1:34">
      <c r="A257" s="38">
        <v>205</v>
      </c>
      <c r="B257" s="4">
        <v>0.137</v>
      </c>
      <c r="C257" s="4">
        <v>0.081</v>
      </c>
      <c r="D257" s="4">
        <v>1.31</v>
      </c>
      <c r="E257" s="13">
        <v>892300000</v>
      </c>
      <c r="F257" s="47" t="s">
        <v>976</v>
      </c>
      <c r="G257">
        <v>44.5254988544516</v>
      </c>
      <c r="H257" s="23">
        <v>72.262321062514</v>
      </c>
      <c r="I257" s="14">
        <f>H257/G257</f>
        <v>1.62294242449098</v>
      </c>
      <c r="J257" s="4">
        <v>0.63</v>
      </c>
      <c r="K257" s="4">
        <v>0.772413793103448</v>
      </c>
      <c r="L257" s="4"/>
      <c r="M257" s="4"/>
      <c r="N257" s="4"/>
      <c r="O257" s="4"/>
      <c r="P257" s="4"/>
      <c r="Q257" s="32">
        <v>0.117</v>
      </c>
      <c r="R257" s="6">
        <f>B257</f>
        <v>0.137</v>
      </c>
      <c r="S257" s="19">
        <f>B257/Q257-1</f>
        <v>0.170940170940171</v>
      </c>
      <c r="T257" s="14">
        <v>-0.188252154261672</v>
      </c>
      <c r="U257" s="14">
        <v>-0.541500622665006</v>
      </c>
      <c r="V257" s="16">
        <v>-0.42961906701976</v>
      </c>
      <c r="W257" s="5" t="s">
        <v>976</v>
      </c>
      <c r="X257" s="4">
        <v>3.008</v>
      </c>
      <c r="Y257" s="4"/>
      <c r="Z257" s="4"/>
      <c r="AA257" s="4"/>
      <c r="AB257" s="4"/>
      <c r="AC257" s="4"/>
      <c r="AD257" s="4">
        <v>0.657894736842105</v>
      </c>
      <c r="AE257" s="4">
        <v>1.18421052631579</v>
      </c>
      <c r="AF257" s="6">
        <v>0.203</v>
      </c>
      <c r="AG257" s="6">
        <v>0.26</v>
      </c>
      <c r="AH257" s="6">
        <v>0.325</v>
      </c>
    </row>
    <row r="258" hidden="1" spans="1:34">
      <c r="A258" s="4">
        <v>1398</v>
      </c>
      <c r="B258" s="4">
        <v>4.5</v>
      </c>
      <c r="C258" s="4">
        <v>3.82</v>
      </c>
      <c r="D258" s="4">
        <v>7.1</v>
      </c>
      <c r="E258" s="13">
        <v>1682237000000</v>
      </c>
      <c r="F258" s="46" t="s">
        <v>208</v>
      </c>
      <c r="G258">
        <v>17.3348764156402</v>
      </c>
      <c r="H258" s="25">
        <v>13.7785868699511</v>
      </c>
      <c r="I258" s="17">
        <f>H258/G258</f>
        <v>0.794847712760125</v>
      </c>
      <c r="J258" s="4">
        <v>0.68</v>
      </c>
      <c r="K258" s="4">
        <v>1.70591905912784</v>
      </c>
      <c r="L258" s="4">
        <v>4.0511</v>
      </c>
      <c r="M258" s="4">
        <v>3.934</v>
      </c>
      <c r="N258" s="4"/>
      <c r="O258" s="4"/>
      <c r="P258" s="4"/>
      <c r="Q258" s="4">
        <v>3.86</v>
      </c>
      <c r="R258" s="4">
        <f>B258</f>
        <v>4.5</v>
      </c>
      <c r="S258" s="18">
        <f>B258/Q258-1</f>
        <v>0.16580310880829</v>
      </c>
      <c r="T258" s="16">
        <v>-0.0976557205007867</v>
      </c>
      <c r="U258" s="14">
        <v>0.0923554640257255</v>
      </c>
      <c r="V258" s="14">
        <v>-0.616939247825066</v>
      </c>
      <c r="W258" s="31" t="s">
        <v>208</v>
      </c>
      <c r="X258" s="4">
        <v>0.45</v>
      </c>
      <c r="Y258" s="4"/>
      <c r="Z258" s="4"/>
      <c r="AA258" s="4"/>
      <c r="AB258" s="4"/>
      <c r="AC258" s="4"/>
      <c r="AD258" s="4">
        <v>0.00363636363636356</v>
      </c>
      <c r="AE258" s="4">
        <v>0.050909090909091</v>
      </c>
      <c r="AF258" s="4">
        <v>2.55</v>
      </c>
      <c r="AG258" s="4">
        <v>2.47</v>
      </c>
      <c r="AH258" s="4">
        <v>3</v>
      </c>
    </row>
    <row r="259" ht="14.25" hidden="1" spans="1:34">
      <c r="A259" s="41">
        <v>90</v>
      </c>
      <c r="B259" s="6">
        <v>1.34</v>
      </c>
      <c r="C259" s="6">
        <v>0.72</v>
      </c>
      <c r="D259" s="6">
        <v>3.68</v>
      </c>
      <c r="E259" s="15">
        <v>706000000</v>
      </c>
      <c r="F259" s="47" t="s">
        <v>567</v>
      </c>
      <c r="G259">
        <v>29.1031549096065</v>
      </c>
      <c r="H259" s="23">
        <v>24.6261216350947</v>
      </c>
      <c r="I259" s="16">
        <f>H259/G259</f>
        <v>0.846166737303316</v>
      </c>
      <c r="J259" s="6">
        <v>0.98</v>
      </c>
      <c r="K259" s="6">
        <v>0.863309880441293</v>
      </c>
      <c r="L259" s="6"/>
      <c r="M259" s="6"/>
      <c r="N259" s="6"/>
      <c r="O259" s="6"/>
      <c r="P259" s="4"/>
      <c r="Q259" s="6">
        <v>1.15</v>
      </c>
      <c r="R259" s="4">
        <f>B259</f>
        <v>1.34</v>
      </c>
      <c r="S259" s="18">
        <f>B259/Q259-1</f>
        <v>0.165217391304348</v>
      </c>
      <c r="T259" s="14">
        <v>-0.0176991150442477</v>
      </c>
      <c r="U259" s="16">
        <v>-0.513157894736842</v>
      </c>
      <c r="V259" s="14">
        <v>-0.27027027027027</v>
      </c>
      <c r="W259" s="5" t="s">
        <v>567</v>
      </c>
      <c r="X259" s="6">
        <v>-2.19</v>
      </c>
      <c r="Y259" s="4"/>
      <c r="Z259" s="4"/>
      <c r="AA259" s="6"/>
      <c r="AB259" s="6"/>
      <c r="AC259" s="6"/>
      <c r="AD259" s="4">
        <v>0.475247524752475</v>
      </c>
      <c r="AE259" s="6">
        <v>0.831683168316832</v>
      </c>
      <c r="AF259" s="4">
        <v>1.328</v>
      </c>
      <c r="AG259" s="4">
        <v>1.16</v>
      </c>
      <c r="AH259" s="4">
        <v>1.16</v>
      </c>
    </row>
    <row r="260" ht="15" spans="1:34">
      <c r="A260" s="41">
        <v>816</v>
      </c>
      <c r="B260" s="6">
        <v>1.7</v>
      </c>
      <c r="C260" s="6">
        <v>1.39</v>
      </c>
      <c r="D260" s="6">
        <v>5.01</v>
      </c>
      <c r="E260" s="15">
        <v>15555000000</v>
      </c>
      <c r="F260" s="53" t="s">
        <v>539</v>
      </c>
      <c r="G260">
        <v>30.5892968695773</v>
      </c>
      <c r="H260" s="23">
        <v>38.8310426211301</v>
      </c>
      <c r="I260" s="16">
        <f>H260/G260</f>
        <v>1.26943233728754</v>
      </c>
      <c r="J260" s="6">
        <v>0.58</v>
      </c>
      <c r="K260" s="6">
        <v>0.685806854596151</v>
      </c>
      <c r="L260" s="6">
        <v>5.5819</v>
      </c>
      <c r="M260" s="6">
        <v>4.99</v>
      </c>
      <c r="N260" s="6"/>
      <c r="O260" s="6"/>
      <c r="P260" s="6"/>
      <c r="Q260" s="6">
        <v>1.46</v>
      </c>
      <c r="R260" s="4">
        <f>B260</f>
        <v>1.7</v>
      </c>
      <c r="S260" s="19">
        <f>B260/Q260-1</f>
        <v>0.164383561643836</v>
      </c>
      <c r="T260" s="14">
        <v>-0.207351891506067</v>
      </c>
      <c r="U260" s="16">
        <v>-0.472275623717464</v>
      </c>
      <c r="V260" s="16">
        <v>-0.540606401702755</v>
      </c>
      <c r="W260" s="31" t="s">
        <v>539</v>
      </c>
      <c r="X260" s="4">
        <v>-0.58</v>
      </c>
      <c r="Y260" s="4">
        <v>1</v>
      </c>
      <c r="AC260" s="6"/>
      <c r="AD260" s="4">
        <v>0.0952380952380953</v>
      </c>
      <c r="AE260" s="4">
        <v>0.19047619047619</v>
      </c>
      <c r="AF260" s="4">
        <v>5.54</v>
      </c>
      <c r="AG260" s="4">
        <v>4.55</v>
      </c>
      <c r="AH260" s="4">
        <v>4.78</v>
      </c>
    </row>
    <row r="261" ht="15" hidden="1" spans="1:34">
      <c r="A261" s="38">
        <v>1288</v>
      </c>
      <c r="B261" s="4">
        <v>3.14</v>
      </c>
      <c r="C261" s="4">
        <v>2.68</v>
      </c>
      <c r="D261" s="4">
        <v>4.55</v>
      </c>
      <c r="E261" s="13">
        <v>1052333000000</v>
      </c>
      <c r="F261" s="45" t="s">
        <v>114</v>
      </c>
      <c r="G261">
        <v>20.3821656050955</v>
      </c>
      <c r="H261" s="25">
        <v>10.8278842956888</v>
      </c>
      <c r="I261" s="17">
        <f>H261/G261</f>
        <v>0.531243073257231</v>
      </c>
      <c r="J261" s="4">
        <v>0.62</v>
      </c>
      <c r="K261" s="4">
        <v>1.33002132365212</v>
      </c>
      <c r="L261" s="4">
        <v>3.9514</v>
      </c>
      <c r="M261" s="4">
        <v>3.908</v>
      </c>
      <c r="Q261" s="4">
        <v>2.7</v>
      </c>
      <c r="R261" s="4">
        <f>B261</f>
        <v>3.14</v>
      </c>
      <c r="S261" s="18">
        <f>B261/Q261-1</f>
        <v>0.162962962962963</v>
      </c>
      <c r="T261" s="16">
        <v>-0.28893186774036</v>
      </c>
      <c r="U261" s="14">
        <v>-0.162633626926265</v>
      </c>
      <c r="V261" s="14">
        <v>-0.458717471682414</v>
      </c>
      <c r="W261" s="31" t="s">
        <v>114</v>
      </c>
      <c r="X261" s="4">
        <v>0.96</v>
      </c>
      <c r="AD261" s="6">
        <v>0</v>
      </c>
      <c r="AE261" s="4">
        <v>-0.132900219085777</v>
      </c>
      <c r="AF261" s="4">
        <v>4.466</v>
      </c>
      <c r="AG261" s="4">
        <v>4.2</v>
      </c>
      <c r="AH261" s="4">
        <v>3.56</v>
      </c>
    </row>
    <row r="262" ht="15" spans="1:34">
      <c r="A262" s="77">
        <v>5</v>
      </c>
      <c r="B262" s="10">
        <v>60.35</v>
      </c>
      <c r="C262" s="10">
        <v>51.75</v>
      </c>
      <c r="D262" s="10">
        <v>84.4</v>
      </c>
      <c r="E262" s="20">
        <v>1179866000000</v>
      </c>
      <c r="F262" s="78" t="s">
        <v>459</v>
      </c>
      <c r="G262">
        <v>26.2645627488571</v>
      </c>
      <c r="H262" s="79">
        <v>4.39503079653409</v>
      </c>
      <c r="I262" s="81">
        <f>H262/G262</f>
        <v>0.167336910900043</v>
      </c>
      <c r="J262" s="10">
        <v>0.7</v>
      </c>
      <c r="K262" s="10">
        <v>1.67179665298768</v>
      </c>
      <c r="L262" s="10">
        <v>10.0439</v>
      </c>
      <c r="M262" s="10">
        <v>9.674</v>
      </c>
      <c r="N262" s="10"/>
      <c r="O262" s="10"/>
      <c r="P262" s="10"/>
      <c r="Q262" s="10">
        <v>51.9</v>
      </c>
      <c r="R262" s="10">
        <f>B262</f>
        <v>60.35</v>
      </c>
      <c r="S262" s="82">
        <f>B262/Q262-1</f>
        <v>0.162813102119461</v>
      </c>
      <c r="T262" s="12">
        <v>-0.241971187835379</v>
      </c>
      <c r="U262" s="83">
        <v>-0.245251448221745</v>
      </c>
      <c r="V262" s="12">
        <v>-0.442230372295696</v>
      </c>
      <c r="W262" s="84" t="s">
        <v>459</v>
      </c>
      <c r="X262" s="10">
        <v>-1.79</v>
      </c>
      <c r="Y262" s="85" t="s">
        <v>977</v>
      </c>
      <c r="Z262" s="10"/>
      <c r="AA262" s="10"/>
      <c r="AB262" s="10"/>
      <c r="AC262" s="86"/>
      <c r="AD262" s="86">
        <v>0.0304102705518277</v>
      </c>
      <c r="AE262" s="86">
        <v>0.0501884364371725</v>
      </c>
      <c r="AF262" s="4">
        <v>1.867</v>
      </c>
      <c r="AG262" s="4">
        <v>1.82</v>
      </c>
      <c r="AH262" s="4">
        <v>1.56</v>
      </c>
    </row>
    <row r="263" ht="15" hidden="1" spans="1:34">
      <c r="A263" s="38">
        <v>769</v>
      </c>
      <c r="B263" s="4">
        <v>0.58</v>
      </c>
      <c r="C263" s="4">
        <v>0.41</v>
      </c>
      <c r="D263" s="4">
        <v>1.64</v>
      </c>
      <c r="E263" s="13">
        <v>1358000000</v>
      </c>
      <c r="F263" s="47" t="s">
        <v>978</v>
      </c>
      <c r="G263">
        <v>29.3086384843772</v>
      </c>
      <c r="H263" s="25">
        <v>22.4140041620761</v>
      </c>
      <c r="I263" s="14">
        <f>H263/G263</f>
        <v>0.76475760462308</v>
      </c>
      <c r="J263" s="4">
        <v>0.4</v>
      </c>
      <c r="K263" s="4">
        <v>1.00299137779341</v>
      </c>
      <c r="L263" s="4"/>
      <c r="M263" s="4"/>
      <c r="N263" s="4"/>
      <c r="O263" s="4"/>
      <c r="P263" s="4"/>
      <c r="Q263" s="33">
        <v>0.5</v>
      </c>
      <c r="R263" s="4">
        <f>B263</f>
        <v>0.58</v>
      </c>
      <c r="S263" s="18">
        <f>B263/Q263-1</f>
        <v>0.16</v>
      </c>
      <c r="T263" s="14">
        <v>-0.628246657635903</v>
      </c>
      <c r="U263" s="14">
        <v>-0.614393060052538</v>
      </c>
      <c r="V263" s="14">
        <v>-0.468567807351077</v>
      </c>
      <c r="W263" s="34" t="s">
        <v>978</v>
      </c>
      <c r="X263" s="4">
        <v>-1.69</v>
      </c>
      <c r="Y263" s="4"/>
      <c r="Z263" s="4"/>
      <c r="AA263" s="4"/>
      <c r="AB263" s="4"/>
      <c r="AC263" s="4"/>
      <c r="AD263" s="6">
        <v>0.123595505617978</v>
      </c>
      <c r="AE263" s="6">
        <v>0.235955056179775</v>
      </c>
      <c r="AF263" s="4">
        <v>7.05</v>
      </c>
      <c r="AG263" s="4">
        <v>7</v>
      </c>
      <c r="AH263" s="4">
        <v>7</v>
      </c>
    </row>
    <row r="264" ht="15" spans="1:34">
      <c r="A264" s="37">
        <v>1039</v>
      </c>
      <c r="B264" s="6">
        <v>1.1</v>
      </c>
      <c r="C264" s="6">
        <v>0.37</v>
      </c>
      <c r="D264" s="6">
        <v>2.77</v>
      </c>
      <c r="E264" s="15">
        <v>2085000000</v>
      </c>
      <c r="F264" s="53" t="s">
        <v>113</v>
      </c>
      <c r="G264">
        <v>33.6341916644545</v>
      </c>
      <c r="H264" s="23">
        <v>36.3698349924997</v>
      </c>
      <c r="I264" s="16">
        <f>H264/G264</f>
        <v>1.08133518876674</v>
      </c>
      <c r="J264" s="6">
        <v>5.39</v>
      </c>
      <c r="K264" s="6">
        <v>6.23362116040104</v>
      </c>
      <c r="L264" s="6"/>
      <c r="M264" s="6"/>
      <c r="N264" s="6"/>
      <c r="O264" s="6"/>
      <c r="P264" s="6"/>
      <c r="Q264" s="6">
        <v>0.95</v>
      </c>
      <c r="R264" s="6">
        <f>B264</f>
        <v>1.1</v>
      </c>
      <c r="S264" s="19">
        <f>B264/Q264-1</f>
        <v>0.157894736842105</v>
      </c>
      <c r="T264" s="14">
        <v>-0.193548387096774</v>
      </c>
      <c r="U264" s="16">
        <v>-0.166666666666667</v>
      </c>
      <c r="V264" s="14">
        <v>82.36</v>
      </c>
      <c r="W264" s="31" t="s">
        <v>113</v>
      </c>
      <c r="X264" s="4">
        <v>5.77</v>
      </c>
      <c r="Y264" s="61" t="s">
        <v>979</v>
      </c>
      <c r="Z264" s="4"/>
      <c r="AA264" s="4"/>
      <c r="AB264" s="4"/>
      <c r="AC264" s="4"/>
      <c r="AD264" s="6">
        <v>0.245454545454545</v>
      </c>
      <c r="AE264" s="6">
        <v>0.463636363636364</v>
      </c>
      <c r="AG264" s="4">
        <v>8.25</v>
      </c>
      <c r="AH264" s="4">
        <v>9.95</v>
      </c>
    </row>
    <row r="265" s="6" customFormat="1" ht="15" hidden="1" spans="1:34">
      <c r="A265" s="38">
        <v>2343</v>
      </c>
      <c r="B265" s="4">
        <v>1.33</v>
      </c>
      <c r="C265" s="4">
        <v>0.99</v>
      </c>
      <c r="D265" s="4">
        <v>4.89</v>
      </c>
      <c r="E265" s="13">
        <v>5077000000</v>
      </c>
      <c r="F265" s="46" t="s">
        <v>980</v>
      </c>
      <c r="G265">
        <v>47.3684210526316</v>
      </c>
      <c r="H265" s="28">
        <v>21.9363492257042</v>
      </c>
      <c r="I265" s="14">
        <f>H265/G265</f>
        <v>0.463100705875977</v>
      </c>
      <c r="J265" s="4">
        <v>0.3</v>
      </c>
      <c r="K265" s="4">
        <v>0.22282828199412</v>
      </c>
      <c r="L265" s="4"/>
      <c r="M265" s="4"/>
      <c r="N265" s="4"/>
      <c r="O265" s="4"/>
      <c r="P265" s="4"/>
      <c r="Q265" s="4">
        <v>1.15</v>
      </c>
      <c r="R265" s="4">
        <f>B265</f>
        <v>1.33</v>
      </c>
      <c r="S265" s="18">
        <f>B265/Q265-1</f>
        <v>0.156521739130435</v>
      </c>
      <c r="T265" s="14">
        <v>0.154080358751079</v>
      </c>
      <c r="U265" s="14">
        <v>0.00749233036524704</v>
      </c>
      <c r="V265" s="14">
        <v>0.336041190374705</v>
      </c>
      <c r="W265" s="31" t="s">
        <v>980</v>
      </c>
      <c r="X265" s="4">
        <v>2.31</v>
      </c>
      <c r="Y265" s="4"/>
      <c r="Z265" s="4"/>
      <c r="AA265" s="4"/>
      <c r="AB265" s="4"/>
      <c r="AC265" s="4"/>
      <c r="AD265" s="4"/>
      <c r="AE265" s="4"/>
      <c r="AF265" s="6">
        <v>51.017</v>
      </c>
      <c r="AG265" s="6">
        <v>38.847</v>
      </c>
      <c r="AH265" s="6">
        <v>48.35</v>
      </c>
    </row>
    <row r="266" ht="15" hidden="1" spans="1:34">
      <c r="A266" s="38">
        <v>6865</v>
      </c>
      <c r="B266" s="4">
        <v>1.72</v>
      </c>
      <c r="C266" s="4">
        <v>1.34</v>
      </c>
      <c r="D266" s="4">
        <v>2.18</v>
      </c>
      <c r="E266" s="13">
        <v>3060000000</v>
      </c>
      <c r="F266" s="45" t="s">
        <v>23</v>
      </c>
      <c r="G266">
        <v>32.5600215807931</v>
      </c>
      <c r="H266" s="25">
        <v>27.3236567354214</v>
      </c>
      <c r="I266" s="17">
        <f>H266/G266</f>
        <v>0.839178090457393</v>
      </c>
      <c r="J266" s="4">
        <v>0.92</v>
      </c>
      <c r="K266" s="14">
        <v>5.4258</v>
      </c>
      <c r="Q266" s="4">
        <v>1.49</v>
      </c>
      <c r="R266" s="4">
        <f>B266</f>
        <v>1.72</v>
      </c>
      <c r="S266" s="18">
        <f>B266/Q266-1</f>
        <v>0.154362416107382</v>
      </c>
      <c r="T266" s="14">
        <v>1.81010974393083</v>
      </c>
      <c r="U266" s="16">
        <v>73.1228070175439</v>
      </c>
      <c r="V266" s="14">
        <v>-0.933846153846154</v>
      </c>
      <c r="W266" s="31" t="s">
        <v>23</v>
      </c>
      <c r="X266" s="6">
        <v>-0.58</v>
      </c>
      <c r="AA266" s="6"/>
      <c r="AB266" s="6"/>
      <c r="AD266" s="6">
        <v>0</v>
      </c>
      <c r="AE266" s="4">
        <v>0</v>
      </c>
      <c r="AF266" s="4">
        <v>3.72</v>
      </c>
      <c r="AG266" s="4">
        <v>9.45</v>
      </c>
      <c r="AH266" s="4">
        <v>8.5</v>
      </c>
    </row>
    <row r="267" ht="15" hidden="1" spans="1:34">
      <c r="A267" s="38">
        <v>6196</v>
      </c>
      <c r="B267" s="4">
        <v>4.7</v>
      </c>
      <c r="C267" s="4">
        <v>3.88</v>
      </c>
      <c r="D267" s="4">
        <v>4.3</v>
      </c>
      <c r="E267" s="13">
        <v>25545000000</v>
      </c>
      <c r="F267" s="46" t="s">
        <v>27</v>
      </c>
      <c r="G267">
        <v>17.4440683563114</v>
      </c>
      <c r="H267" s="28">
        <v>18.0916391119509</v>
      </c>
      <c r="I267" s="17">
        <f>H267/G267</f>
        <v>1.0371226907859</v>
      </c>
      <c r="J267" s="4">
        <v>1.15</v>
      </c>
      <c r="K267" s="14">
        <v>7.1884</v>
      </c>
      <c r="Q267" s="4">
        <v>4.08</v>
      </c>
      <c r="R267" s="4">
        <f>B267</f>
        <v>4.7</v>
      </c>
      <c r="S267" s="18">
        <f>B267/Q267-1</f>
        <v>0.151960784313726</v>
      </c>
      <c r="T267" s="14">
        <v>0.333333333333333</v>
      </c>
      <c r="U267" s="16">
        <v>1</v>
      </c>
      <c r="V267" s="14">
        <v>3.75</v>
      </c>
      <c r="W267" s="31" t="s">
        <v>27</v>
      </c>
      <c r="X267" s="6">
        <v>0</v>
      </c>
      <c r="Y267" s="6"/>
      <c r="Z267" s="6"/>
      <c r="AD267" s="4">
        <v>0</v>
      </c>
      <c r="AE267" s="4">
        <v>0</v>
      </c>
      <c r="AF267" s="4">
        <v>1.6772</v>
      </c>
      <c r="AG267" s="4">
        <v>1.63683</v>
      </c>
      <c r="AH267" s="4">
        <v>1.83555</v>
      </c>
    </row>
    <row r="268" ht="15" hidden="1" spans="1:34">
      <c r="A268" s="38">
        <v>2686</v>
      </c>
      <c r="B268" s="4">
        <v>1.3</v>
      </c>
      <c r="C268" s="4">
        <v>1.1</v>
      </c>
      <c r="D268" s="4">
        <v>2.85</v>
      </c>
      <c r="E268" s="13">
        <v>4724000000</v>
      </c>
      <c r="F268" s="45" t="s">
        <v>221</v>
      </c>
      <c r="G268">
        <v>27.6934201012292</v>
      </c>
      <c r="H268" s="25">
        <v>100</v>
      </c>
      <c r="I268" s="17">
        <f>H268/G268</f>
        <v>3.61096605744125</v>
      </c>
      <c r="J268" s="4">
        <v>0.71</v>
      </c>
      <c r="K268" s="4">
        <v>4.28173301224272</v>
      </c>
      <c r="L268" s="4">
        <v>15.828</v>
      </c>
      <c r="Q268" s="4">
        <v>1.13</v>
      </c>
      <c r="R268" s="4">
        <f>B268</f>
        <v>1.3</v>
      </c>
      <c r="S268" s="18">
        <f>B268/Q268-1</f>
        <v>0.150442477876106</v>
      </c>
      <c r="T268" s="14">
        <v>-0.0971563981042654</v>
      </c>
      <c r="U268" s="14">
        <v>0.0495867768595041</v>
      </c>
      <c r="V268" s="14">
        <v>-0.730708661417323</v>
      </c>
      <c r="W268" s="31" t="s">
        <v>221</v>
      </c>
      <c r="X268" s="4">
        <v>3.17</v>
      </c>
      <c r="Y268" s="6"/>
      <c r="Z268" s="6"/>
      <c r="AD268" s="4">
        <v>0.348484848484848</v>
      </c>
      <c r="AE268" s="4">
        <v>0.363636363636364</v>
      </c>
      <c r="AF268" s="4">
        <v>0.31607</v>
      </c>
      <c r="AG268" s="4">
        <v>0.18095</v>
      </c>
      <c r="AH268" s="4">
        <v>0.202</v>
      </c>
    </row>
    <row r="269" ht="15" hidden="1" spans="1:31">
      <c r="A269" s="38">
        <v>3988</v>
      </c>
      <c r="B269" s="4">
        <v>3.37</v>
      </c>
      <c r="C269" s="4">
        <v>2.92</v>
      </c>
      <c r="D269" s="4">
        <v>5.68</v>
      </c>
      <c r="E269" s="13">
        <v>1024469000000</v>
      </c>
      <c r="F269" s="47" t="s">
        <v>139</v>
      </c>
      <c r="G269">
        <v>16.0228417870339</v>
      </c>
      <c r="H269" s="28">
        <v>11.8693366148339</v>
      </c>
      <c r="I269" s="17">
        <f>H269/G269</f>
        <v>0.740775997953049</v>
      </c>
      <c r="J269" s="4">
        <v>0.58</v>
      </c>
      <c r="K269" s="14">
        <v>1.53665238273649</v>
      </c>
      <c r="L269" s="4">
        <v>4.0675</v>
      </c>
      <c r="M269" s="4">
        <v>3.869</v>
      </c>
      <c r="N269" s="4"/>
      <c r="O269" s="4"/>
      <c r="P269" s="4"/>
      <c r="Q269" s="4">
        <v>2.93</v>
      </c>
      <c r="R269" s="4">
        <f>B269</f>
        <v>3.37</v>
      </c>
      <c r="S269" s="18">
        <f>B269/Q269-1</f>
        <v>0.150170648464164</v>
      </c>
      <c r="T269" s="16">
        <v>-0.193934078476488</v>
      </c>
      <c r="U269" s="14">
        <v>-0.052468951748489</v>
      </c>
      <c r="V269" s="16">
        <v>-0.582610824933098</v>
      </c>
      <c r="W269" s="31" t="s">
        <v>139</v>
      </c>
      <c r="X269" s="4">
        <v>0.3</v>
      </c>
      <c r="Y269" s="6"/>
      <c r="Z269" s="6"/>
      <c r="AA269" s="6"/>
      <c r="AB269" s="6"/>
      <c r="AC269" s="6"/>
      <c r="AD269" s="4">
        <v>-0.00691244239631342</v>
      </c>
      <c r="AE269" s="4">
        <v>0.0437788018433181</v>
      </c>
    </row>
    <row r="270" ht="15" spans="1:34">
      <c r="A270" s="65">
        <v>656</v>
      </c>
      <c r="B270" s="6">
        <v>11.1</v>
      </c>
      <c r="C270" s="6">
        <v>8.47</v>
      </c>
      <c r="D270" s="6">
        <v>22</v>
      </c>
      <c r="E270" s="15">
        <v>99317000000</v>
      </c>
      <c r="F270" s="53" t="s">
        <v>670</v>
      </c>
      <c r="G270">
        <v>16.3949502549954</v>
      </c>
      <c r="H270" s="23">
        <v>33.155792276964</v>
      </c>
      <c r="I270" s="16">
        <f>H270/G270</f>
        <v>2.02231734535832</v>
      </c>
      <c r="J270" s="6">
        <v>0.97</v>
      </c>
      <c r="K270" s="6">
        <v>0.94367881878517</v>
      </c>
      <c r="L270" s="6">
        <v>10.0061</v>
      </c>
      <c r="M270" s="6">
        <v>7.591</v>
      </c>
      <c r="N270" s="6"/>
      <c r="O270" s="6"/>
      <c r="P270" s="6"/>
      <c r="Q270" s="6">
        <v>9.67</v>
      </c>
      <c r="R270" s="4">
        <f>B270</f>
        <v>11.1</v>
      </c>
      <c r="S270" s="19">
        <f>B270/Q270-1</f>
        <v>0.147880041365047</v>
      </c>
      <c r="T270" s="16">
        <v>-0.324061737159974</v>
      </c>
      <c r="U270" s="14">
        <v>0.0864950210258094</v>
      </c>
      <c r="V270" s="14">
        <v>-0.30584932807689</v>
      </c>
      <c r="W270" s="31" t="s">
        <v>670</v>
      </c>
      <c r="X270" s="4">
        <v>-0.72</v>
      </c>
      <c r="Y270" s="61" t="s">
        <v>981</v>
      </c>
      <c r="AD270" s="4">
        <v>0.202453987730061</v>
      </c>
      <c r="AE270" s="6">
        <v>0.322085889570552</v>
      </c>
      <c r="AF270" s="4">
        <v>6.948</v>
      </c>
      <c r="AG270" s="4">
        <v>6.34</v>
      </c>
      <c r="AH270" s="4">
        <v>4.89</v>
      </c>
    </row>
    <row r="271" ht="15" spans="1:34">
      <c r="A271" s="41">
        <v>2878</v>
      </c>
      <c r="B271" s="4">
        <v>0.35</v>
      </c>
      <c r="C271" s="4">
        <v>0.27</v>
      </c>
      <c r="D271" s="4">
        <v>0.67</v>
      </c>
      <c r="E271" s="13">
        <v>879400000</v>
      </c>
      <c r="F271" s="46" t="s">
        <v>302</v>
      </c>
      <c r="G271">
        <v>17.1430938768746</v>
      </c>
      <c r="H271" s="40">
        <v>62.8664495114007</v>
      </c>
      <c r="I271" s="17">
        <f>H271/G271</f>
        <v>3.66715891325807</v>
      </c>
      <c r="J271" s="4" t="s">
        <v>303</v>
      </c>
      <c r="K271" s="4">
        <v>0.85</v>
      </c>
      <c r="L271" s="4">
        <v>1.41302644465316</v>
      </c>
      <c r="M271" s="4"/>
      <c r="N271" s="4"/>
      <c r="O271" s="4"/>
      <c r="P271" s="4"/>
      <c r="Q271" s="4">
        <v>0.305</v>
      </c>
      <c r="R271" s="4">
        <f>B271</f>
        <v>0.35</v>
      </c>
      <c r="S271" s="18">
        <f>B271/Q271-1</f>
        <v>0.147540983606557</v>
      </c>
      <c r="T271" s="16">
        <v>0.763557483731019</v>
      </c>
      <c r="U271" s="16">
        <v>1.71543086172345</v>
      </c>
      <c r="V271" s="14">
        <v>-0.508487084870849</v>
      </c>
      <c r="W271" s="31" t="s">
        <v>302</v>
      </c>
      <c r="X271" s="6">
        <v>1.45</v>
      </c>
      <c r="Y271" s="61" t="s">
        <v>982</v>
      </c>
      <c r="Z271" s="6"/>
      <c r="AA271" s="4"/>
      <c r="AB271" s="4"/>
      <c r="AC271" s="6"/>
      <c r="AD271" s="4">
        <v>0.262295081967213</v>
      </c>
      <c r="AE271" s="6">
        <v>0.360655737704918</v>
      </c>
      <c r="AF271" s="4">
        <v>0.495</v>
      </c>
      <c r="AG271" s="4">
        <v>0.42</v>
      </c>
      <c r="AH271" s="4">
        <v>1.11</v>
      </c>
    </row>
    <row r="272" ht="15" hidden="1" spans="1:34">
      <c r="A272" s="38">
        <v>426</v>
      </c>
      <c r="B272" s="4">
        <v>1.49</v>
      </c>
      <c r="C272" s="4">
        <v>0.5</v>
      </c>
      <c r="D272" s="4">
        <v>1.78</v>
      </c>
      <c r="E272" s="13">
        <v>613000000</v>
      </c>
      <c r="F272" s="45" t="s">
        <v>983</v>
      </c>
      <c r="G272">
        <v>48.3230840783422</v>
      </c>
      <c r="H272" s="29">
        <v>12.082492714638</v>
      </c>
      <c r="I272" s="14">
        <f>H272/G272</f>
        <v>0.250035628832167</v>
      </c>
      <c r="J272" s="4">
        <v>3.32</v>
      </c>
      <c r="K272" s="4">
        <v>3.77571146801916</v>
      </c>
      <c r="Q272" s="32">
        <v>1.3</v>
      </c>
      <c r="R272" s="6">
        <f>B272</f>
        <v>1.49</v>
      </c>
      <c r="S272" s="19">
        <f>B272/Q272-1</f>
        <v>0.146153846153846</v>
      </c>
      <c r="T272" s="14">
        <v>-0.0217391304347826</v>
      </c>
      <c r="U272" s="14">
        <v>1.5</v>
      </c>
      <c r="V272" s="14">
        <v>-0.533333333333333</v>
      </c>
      <c r="W272" s="31" t="s">
        <v>983</v>
      </c>
      <c r="X272" s="4">
        <v>-0.67</v>
      </c>
      <c r="Y272" s="6"/>
      <c r="Z272" s="6"/>
      <c r="AD272" s="6">
        <v>0.518987341772152</v>
      </c>
      <c r="AE272" s="4">
        <v>1.28571428571429</v>
      </c>
      <c r="AF272" s="4">
        <v>0.54</v>
      </c>
      <c r="AG272" s="4">
        <v>1</v>
      </c>
      <c r="AH272" s="4">
        <v>4.15</v>
      </c>
    </row>
    <row r="273" ht="15" spans="1:34">
      <c r="A273" s="37">
        <v>686</v>
      </c>
      <c r="B273" s="6">
        <v>0.64</v>
      </c>
      <c r="C273" s="6">
        <v>0.55</v>
      </c>
      <c r="D273" s="6">
        <v>1.61</v>
      </c>
      <c r="E273" s="15">
        <v>3391000000</v>
      </c>
      <c r="F273" s="47" t="s">
        <v>308</v>
      </c>
      <c r="G273">
        <v>18.75203119922</v>
      </c>
      <c r="H273" s="23">
        <v>40.6271972999578</v>
      </c>
      <c r="I273" s="16">
        <f>H273/G273</f>
        <v>2.16654915237383</v>
      </c>
      <c r="J273" s="6">
        <v>1.11</v>
      </c>
      <c r="K273" s="6">
        <v>2.78257365613954</v>
      </c>
      <c r="L273" s="6">
        <v>7.6463</v>
      </c>
      <c r="M273" s="6">
        <v>6.243</v>
      </c>
      <c r="N273" s="6"/>
      <c r="O273" s="6"/>
      <c r="P273" s="6"/>
      <c r="Q273" s="6">
        <v>0.56</v>
      </c>
      <c r="R273" s="6">
        <f>B273</f>
        <v>0.64</v>
      </c>
      <c r="S273" s="19">
        <f>B273/Q273-1</f>
        <v>0.142857142857143</v>
      </c>
      <c r="T273" s="16">
        <v>-0.446133032694476</v>
      </c>
      <c r="U273" s="14">
        <v>-0.640372452565004</v>
      </c>
      <c r="V273" s="14">
        <v>-0.514899853444065</v>
      </c>
      <c r="W273" s="31" t="s">
        <v>308</v>
      </c>
      <c r="X273" s="4">
        <v>-3.03</v>
      </c>
      <c r="Y273" s="6" t="s">
        <v>915</v>
      </c>
      <c r="Z273" s="6"/>
      <c r="AA273" s="6"/>
      <c r="AB273" s="6"/>
      <c r="AD273" s="4">
        <v>0.384615384615385</v>
      </c>
      <c r="AE273" s="4">
        <v>0.5</v>
      </c>
      <c r="AF273" s="4">
        <v>1.86</v>
      </c>
      <c r="AG273" s="4">
        <v>1.73</v>
      </c>
      <c r="AH273" s="4">
        <v>1.29</v>
      </c>
    </row>
    <row r="274" ht="15" hidden="1" spans="1:34">
      <c r="A274" s="22">
        <v>1776</v>
      </c>
      <c r="B274" s="6">
        <v>17.78</v>
      </c>
      <c r="C274" s="6">
        <v>9.9</v>
      </c>
      <c r="D274" s="6">
        <v>26.95</v>
      </c>
      <c r="E274" s="15">
        <v>130625000000</v>
      </c>
      <c r="F274" s="53" t="s">
        <v>125</v>
      </c>
      <c r="G274">
        <v>21.8200297083887</v>
      </c>
      <c r="H274" s="29">
        <v>14.1682840506907</v>
      </c>
      <c r="I274" s="16">
        <f>H274/G274</f>
        <v>0.649324691122841</v>
      </c>
      <c r="J274" s="6">
        <v>1.33</v>
      </c>
      <c r="K274" s="6">
        <v>2.04023706762005</v>
      </c>
      <c r="L274" s="6">
        <v>18.9064</v>
      </c>
      <c r="M274" s="6"/>
      <c r="N274" s="6"/>
      <c r="O274" s="6"/>
      <c r="P274" s="6"/>
      <c r="Q274" s="6">
        <v>15.58</v>
      </c>
      <c r="R274" s="6">
        <f>B274</f>
        <v>17.78</v>
      </c>
      <c r="S274" s="19">
        <f>B274/Q274-1</f>
        <v>0.141206675224647</v>
      </c>
      <c r="T274" s="16">
        <v>-0.303274529118534</v>
      </c>
      <c r="U274" s="16">
        <v>-0.159760970517297</v>
      </c>
      <c r="V274" s="14">
        <v>-0.672421918512489</v>
      </c>
      <c r="W274" s="31" t="s">
        <v>125</v>
      </c>
      <c r="X274" s="4">
        <v>-0.45</v>
      </c>
      <c r="AA274" s="6"/>
      <c r="AB274" s="6"/>
      <c r="AC274" s="6"/>
      <c r="AD274" s="4">
        <v>0.171091445427729</v>
      </c>
      <c r="AE274" s="6">
        <v>0.278761061946903</v>
      </c>
      <c r="AF274" s="4">
        <v>3.35</v>
      </c>
      <c r="AG274" s="4">
        <v>3.83</v>
      </c>
      <c r="AH274" s="4">
        <v>2.91</v>
      </c>
    </row>
    <row r="275" ht="15" spans="1:31">
      <c r="A275" s="37">
        <v>1035</v>
      </c>
      <c r="B275" s="6">
        <v>1.94</v>
      </c>
      <c r="C275" s="6">
        <v>1.39</v>
      </c>
      <c r="D275" s="6">
        <v>5.66</v>
      </c>
      <c r="E275" s="15">
        <v>1158000000</v>
      </c>
      <c r="F275" s="50" t="s">
        <v>531</v>
      </c>
      <c r="G275">
        <v>43.8139116754692</v>
      </c>
      <c r="H275" s="80">
        <v>37.1177841766077</v>
      </c>
      <c r="I275" s="16">
        <f>H275/G275</f>
        <v>0.847168918665381</v>
      </c>
      <c r="J275" s="6">
        <v>1.56</v>
      </c>
      <c r="K275" s="6">
        <v>2.84764564251998</v>
      </c>
      <c r="L275" s="6">
        <v>21.926</v>
      </c>
      <c r="M275" s="6">
        <v>16.098</v>
      </c>
      <c r="N275" s="6"/>
      <c r="O275" s="6"/>
      <c r="P275" s="4"/>
      <c r="Q275" s="6">
        <v>1.7</v>
      </c>
      <c r="R275" s="4">
        <f>B275</f>
        <v>1.94</v>
      </c>
      <c r="S275" s="60">
        <f>B275/Q275-1</f>
        <v>0.141176470588235</v>
      </c>
      <c r="T275" s="14">
        <v>1.05759162303665</v>
      </c>
      <c r="U275" s="14">
        <v>2.0703125</v>
      </c>
      <c r="V275" s="14">
        <v>-0.938931297709924</v>
      </c>
      <c r="W275" s="31" t="s">
        <v>531</v>
      </c>
      <c r="X275" s="4">
        <v>-0.51</v>
      </c>
      <c r="Y275" s="61" t="s">
        <v>984</v>
      </c>
      <c r="Z275" s="4"/>
      <c r="AA275" s="4"/>
      <c r="AB275" s="4"/>
      <c r="AC275" s="4"/>
      <c r="AD275" s="4">
        <v>0.240909090909091</v>
      </c>
      <c r="AE275" s="4">
        <v>0.286363636363636</v>
      </c>
    </row>
    <row r="276" s="6" customFormat="1" ht="15" hidden="1" spans="1:34">
      <c r="A276" s="41">
        <v>445</v>
      </c>
      <c r="B276" s="6">
        <v>0.325</v>
      </c>
      <c r="C276" s="6">
        <v>0.25</v>
      </c>
      <c r="D276" s="6">
        <v>1.05</v>
      </c>
      <c r="E276" s="15">
        <v>1366300000</v>
      </c>
      <c r="F276" s="47" t="s">
        <v>90</v>
      </c>
      <c r="G276">
        <v>23.6920822904585</v>
      </c>
      <c r="H276" s="23">
        <v>49.2314579913446</v>
      </c>
      <c r="I276" s="16">
        <f>H276/G276</f>
        <v>2.0779709182072</v>
      </c>
      <c r="J276" s="6">
        <v>1.09</v>
      </c>
      <c r="K276" s="6">
        <v>0.832044404102001</v>
      </c>
      <c r="L276" s="6"/>
      <c r="M276" s="6"/>
      <c r="N276" s="6"/>
      <c r="O276" s="6"/>
      <c r="P276" s="6"/>
      <c r="Q276" s="6">
        <v>0.285</v>
      </c>
      <c r="R276" s="4">
        <f>B276</f>
        <v>0.325</v>
      </c>
      <c r="S276" s="19">
        <f>B276/Q276-1</f>
        <v>0.140350877192983</v>
      </c>
      <c r="T276" s="14">
        <v>0.476774193548387</v>
      </c>
      <c r="U276" s="16">
        <v>0.132047477744807</v>
      </c>
      <c r="V276" s="14">
        <v>0.116644823066841</v>
      </c>
      <c r="W276" s="31" t="s">
        <v>90</v>
      </c>
      <c r="X276" s="4">
        <v>1.562</v>
      </c>
      <c r="Y276" s="4"/>
      <c r="Z276" s="4"/>
      <c r="AA276" s="4"/>
      <c r="AB276" s="4"/>
      <c r="AC276" s="4"/>
      <c r="AD276" s="4">
        <v>0.517241379310345</v>
      </c>
      <c r="AE276" s="4">
        <v>1</v>
      </c>
      <c r="AF276" s="6">
        <v>1.066</v>
      </c>
      <c r="AG276" s="6">
        <v>0.533</v>
      </c>
      <c r="AH276" s="6">
        <v>0.43</v>
      </c>
    </row>
    <row r="277" s="6" customFormat="1" ht="15" hidden="1" spans="1:31">
      <c r="A277" s="65">
        <v>1778</v>
      </c>
      <c r="B277" s="6">
        <v>5.72</v>
      </c>
      <c r="C277" s="6">
        <v>4.45</v>
      </c>
      <c r="D277" s="6">
        <v>13.5</v>
      </c>
      <c r="E277" s="15">
        <v>5191000000</v>
      </c>
      <c r="F277" s="53" t="s">
        <v>508</v>
      </c>
      <c r="G277">
        <v>17.6548089591568</v>
      </c>
      <c r="H277" s="40">
        <v>30.7702366941284</v>
      </c>
      <c r="I277" s="16">
        <f>H277/G277</f>
        <v>1.74288131722712</v>
      </c>
      <c r="J277" s="6">
        <v>3.58</v>
      </c>
      <c r="K277" s="6">
        <v>7.13361039538638</v>
      </c>
      <c r="L277" s="6">
        <v>27.5627</v>
      </c>
      <c r="M277" s="6">
        <v>24.1</v>
      </c>
      <c r="N277" s="6"/>
      <c r="O277" s="6"/>
      <c r="P277" s="6"/>
      <c r="Q277" s="6">
        <v>5.02</v>
      </c>
      <c r="R277" s="6">
        <f>B277</f>
        <v>5.72</v>
      </c>
      <c r="S277" s="19">
        <f>B277/Q277-1</f>
        <v>0.139442231075697</v>
      </c>
      <c r="T277" s="14">
        <v>-0.340659340659341</v>
      </c>
      <c r="U277" s="14">
        <v>0.363636363636364</v>
      </c>
      <c r="V277" s="14">
        <v>-0.283333333333333</v>
      </c>
      <c r="W277" s="31" t="s">
        <v>508</v>
      </c>
      <c r="X277" s="4">
        <v>0.53</v>
      </c>
      <c r="Y277" s="4"/>
      <c r="Z277" s="4"/>
      <c r="AA277" s="6"/>
      <c r="AB277" s="6"/>
      <c r="AC277" s="4"/>
      <c r="AD277" s="4">
        <v>0.190317195325543</v>
      </c>
      <c r="AE277" s="4">
        <v>0.297161936560935</v>
      </c>
    </row>
    <row r="278" s="6" customFormat="1" ht="15" hidden="1" spans="1:34">
      <c r="A278" s="38">
        <v>8260</v>
      </c>
      <c r="B278" s="4">
        <v>1.15</v>
      </c>
      <c r="C278" s="4">
        <v>0.29</v>
      </c>
      <c r="D278" s="4">
        <v>2.6</v>
      </c>
      <c r="E278" s="13">
        <v>1548000000</v>
      </c>
      <c r="F278" s="46" t="s">
        <v>22</v>
      </c>
      <c r="G278">
        <v>58.2602888388012</v>
      </c>
      <c r="H278" s="28">
        <v>24.3471773190749</v>
      </c>
      <c r="I278" s="17">
        <f>H278/G278</f>
        <v>0.417903477726319</v>
      </c>
      <c r="J278" s="4">
        <v>5.93</v>
      </c>
      <c r="K278" s="14">
        <v>3.33429979704262</v>
      </c>
      <c r="L278" s="4"/>
      <c r="M278" s="4"/>
      <c r="N278" s="4"/>
      <c r="O278" s="4"/>
      <c r="Q278" s="4">
        <v>1.01</v>
      </c>
      <c r="R278" s="4">
        <f>B278</f>
        <v>1.15</v>
      </c>
      <c r="S278" s="18">
        <f>B278/Q278-1</f>
        <v>0.138613861386139</v>
      </c>
      <c r="T278" s="16">
        <v>-0.253218884120172</v>
      </c>
      <c r="U278" s="14">
        <v>1.63636363636364</v>
      </c>
      <c r="V278" s="16">
        <v>-0.379310344827586</v>
      </c>
      <c r="W278" s="31" t="s">
        <v>22</v>
      </c>
      <c r="X278" s="4">
        <v>0</v>
      </c>
      <c r="Y278" s="4"/>
      <c r="Z278" s="4"/>
      <c r="AA278" s="4"/>
      <c r="AB278" s="4"/>
      <c r="AC278" s="4"/>
      <c r="AD278" s="4">
        <v>0.233333333333333</v>
      </c>
      <c r="AE278" s="4">
        <v>0.35</v>
      </c>
      <c r="AF278" s="6">
        <v>0.3804</v>
      </c>
      <c r="AG278" s="6">
        <v>0.284</v>
      </c>
      <c r="AH278" s="6">
        <v>0.35</v>
      </c>
    </row>
    <row r="279" ht="15" hidden="1" spans="1:34">
      <c r="A279" s="37">
        <v>998</v>
      </c>
      <c r="B279" s="6">
        <v>4.84</v>
      </c>
      <c r="C279" s="6">
        <v>4.22</v>
      </c>
      <c r="D279" s="6">
        <v>7.4</v>
      </c>
      <c r="E279" s="15">
        <v>252504000000</v>
      </c>
      <c r="F279" s="47" t="s">
        <v>199</v>
      </c>
      <c r="G279">
        <v>17.3553719008264</v>
      </c>
      <c r="H279" s="26">
        <v>11.9820828667413</v>
      </c>
      <c r="I279" s="16">
        <f>H279/G279</f>
        <v>0.690396203274143</v>
      </c>
      <c r="J279" s="6">
        <v>0.58</v>
      </c>
      <c r="K279" s="6">
        <v>1.13934825588916</v>
      </c>
      <c r="L279" s="6">
        <v>3.9172</v>
      </c>
      <c r="M279" s="6">
        <v>3.917</v>
      </c>
      <c r="N279" s="6"/>
      <c r="O279" s="6"/>
      <c r="P279" s="6"/>
      <c r="Q279" s="6">
        <v>4.26</v>
      </c>
      <c r="R279" s="6">
        <f>B279</f>
        <v>4.84</v>
      </c>
      <c r="S279" s="19">
        <f>B279/Q279-1</f>
        <v>0.136150234741784</v>
      </c>
      <c r="T279" s="14">
        <v>-0.171055822974414</v>
      </c>
      <c r="U279" s="16">
        <v>-0.16167778384409</v>
      </c>
      <c r="V279" s="14">
        <v>-0.417181290192673</v>
      </c>
      <c r="W279" s="31" t="s">
        <v>199</v>
      </c>
      <c r="X279" s="4">
        <v>-0.21</v>
      </c>
      <c r="Y279" s="6"/>
      <c r="Z279" s="6"/>
      <c r="AA279" s="4"/>
      <c r="AB279" s="4"/>
      <c r="AC279" s="4"/>
      <c r="AD279" s="6">
        <v>0.0127272727272728</v>
      </c>
      <c r="AE279" s="4">
        <v>0.0654545454545455</v>
      </c>
      <c r="AF279" s="4">
        <v>3.09</v>
      </c>
      <c r="AG279" s="4">
        <v>1.99</v>
      </c>
      <c r="AH279" s="4">
        <v>1.63</v>
      </c>
    </row>
    <row r="280" s="6" customFormat="1" ht="14.25" hidden="1" spans="1:33">
      <c r="A280" s="38">
        <v>1919</v>
      </c>
      <c r="B280" s="4">
        <v>3.13</v>
      </c>
      <c r="C280" s="4">
        <v>2.56</v>
      </c>
      <c r="D280" s="4">
        <v>8.16</v>
      </c>
      <c r="E280" s="13">
        <v>27788000000</v>
      </c>
      <c r="F280" s="47" t="s">
        <v>985</v>
      </c>
      <c r="G280">
        <v>18.2137891551484</v>
      </c>
      <c r="H280" s="29">
        <v>29.3995859213251</v>
      </c>
      <c r="I280" s="14">
        <f>H280/G280</f>
        <v>1.61413891809628</v>
      </c>
      <c r="J280" s="4">
        <v>0.86</v>
      </c>
      <c r="K280" s="4">
        <v>0.372382392223815</v>
      </c>
      <c r="L280" s="4">
        <v>62.6535</v>
      </c>
      <c r="M280" s="4">
        <v>60.811</v>
      </c>
      <c r="N280" s="4"/>
      <c r="O280" s="4"/>
      <c r="P280" s="4"/>
      <c r="Q280" s="32">
        <v>2.76</v>
      </c>
      <c r="R280" s="6">
        <f>B280</f>
        <v>3.13</v>
      </c>
      <c r="S280" s="19">
        <f>B280/Q280-1</f>
        <v>0.134057971014493</v>
      </c>
      <c r="T280" s="14">
        <v>0.362294184204906</v>
      </c>
      <c r="U280" s="14">
        <v>0.793345397233086</v>
      </c>
      <c r="V280" s="16">
        <v>0.0132087638094122</v>
      </c>
      <c r="W280" s="31" t="s">
        <v>985</v>
      </c>
      <c r="X280" s="6">
        <v>6.83</v>
      </c>
      <c r="Y280" s="4"/>
      <c r="Z280" s="4"/>
      <c r="AA280" s="4"/>
      <c r="AB280" s="4"/>
      <c r="AC280" s="4"/>
      <c r="AD280" s="6">
        <v>0.156695156695157</v>
      </c>
      <c r="AE280" s="4">
        <v>0.270655270655271</v>
      </c>
      <c r="AF280" s="6">
        <v>2.92</v>
      </c>
      <c r="AG280" s="6">
        <v>2</v>
      </c>
    </row>
    <row r="281" s="6" customFormat="1" ht="14.25" hidden="1" spans="1:34">
      <c r="A281" s="38">
        <v>893</v>
      </c>
      <c r="B281" s="4">
        <v>0.34</v>
      </c>
      <c r="C281" s="4">
        <v>0.211</v>
      </c>
      <c r="D281" s="4">
        <v>1</v>
      </c>
      <c r="E281" s="13">
        <v>664000000</v>
      </c>
      <c r="F281" s="46" t="s">
        <v>986</v>
      </c>
      <c r="G281">
        <v>37.9421620950726</v>
      </c>
      <c r="H281" s="56">
        <v>26.4702162640698</v>
      </c>
      <c r="I281" s="14">
        <f>H281/G281</f>
        <v>0.697646491460944</v>
      </c>
      <c r="J281" s="4">
        <v>0.25</v>
      </c>
      <c r="K281" s="4">
        <v>0.981066970524724</v>
      </c>
      <c r="L281" s="4"/>
      <c r="M281" s="4"/>
      <c r="N281" s="4"/>
      <c r="O281" s="4"/>
      <c r="P281" s="4"/>
      <c r="Q281" s="4">
        <v>0.3</v>
      </c>
      <c r="R281" s="61">
        <f>B281</f>
        <v>0.34</v>
      </c>
      <c r="S281" s="18">
        <f>B281/Q281-1</f>
        <v>0.133333333333334</v>
      </c>
      <c r="T281" s="14">
        <v>-0.81902048866002</v>
      </c>
      <c r="U281" s="14">
        <v>-0.67346696714506</v>
      </c>
      <c r="V281" s="14">
        <v>-0.190337813294588</v>
      </c>
      <c r="W281" s="31" t="s">
        <v>986</v>
      </c>
      <c r="X281" s="4">
        <v>1.49</v>
      </c>
      <c r="Y281" s="4"/>
      <c r="Z281" s="4"/>
      <c r="AA281" s="4"/>
      <c r="AB281" s="4"/>
      <c r="AC281" s="4"/>
      <c r="AD281" s="4"/>
      <c r="AE281" s="4"/>
      <c r="AF281" s="6">
        <v>3.495</v>
      </c>
      <c r="AG281" s="6">
        <v>3.59</v>
      </c>
      <c r="AH281" s="6">
        <v>2.82</v>
      </c>
    </row>
    <row r="282" ht="15" hidden="1" spans="1:34">
      <c r="A282" s="41">
        <v>560</v>
      </c>
      <c r="B282" s="6">
        <v>2.14</v>
      </c>
      <c r="C282" s="6">
        <v>1.6</v>
      </c>
      <c r="D282" s="6">
        <v>4.85</v>
      </c>
      <c r="E282" s="15">
        <v>2311000000</v>
      </c>
      <c r="F282" s="53" t="s">
        <v>551</v>
      </c>
      <c r="G282">
        <v>19.1592562651576</v>
      </c>
      <c r="H282" s="27">
        <v>19.161105815062</v>
      </c>
      <c r="I282" s="16">
        <f>H282/G282</f>
        <v>1.00009653557939</v>
      </c>
      <c r="J282" s="6">
        <v>0.76</v>
      </c>
      <c r="K282" s="6">
        <v>1.07289016701692</v>
      </c>
      <c r="L282" s="6">
        <v>9.4691</v>
      </c>
      <c r="M282" s="6">
        <v>7.686</v>
      </c>
      <c r="N282" s="6"/>
      <c r="O282" s="6"/>
      <c r="P282" s="6"/>
      <c r="Q282" s="6">
        <v>1.89</v>
      </c>
      <c r="R282" s="6">
        <f>B282</f>
        <v>2.14</v>
      </c>
      <c r="S282" s="19">
        <f>B282/Q282-1</f>
        <v>0.132275132275132</v>
      </c>
      <c r="T282" s="14">
        <v>0.761020881670534</v>
      </c>
      <c r="U282" s="16">
        <v>1.36448598130841</v>
      </c>
      <c r="V282" s="16">
        <v>-0.887351778656126</v>
      </c>
      <c r="W282" s="31" t="s">
        <v>551</v>
      </c>
      <c r="X282" s="6">
        <v>-1.38</v>
      </c>
      <c r="AD282" s="6">
        <v>0.23</v>
      </c>
      <c r="AE282" s="4">
        <v>0.345</v>
      </c>
      <c r="AH282" s="4">
        <v>1.88</v>
      </c>
    </row>
    <row r="283" ht="15" hidden="1" spans="1:34">
      <c r="A283" s="37">
        <v>73</v>
      </c>
      <c r="B283" s="6">
        <v>0.6</v>
      </c>
      <c r="C283" s="6">
        <v>0.51</v>
      </c>
      <c r="D283" s="6">
        <v>2</v>
      </c>
      <c r="E283" s="15">
        <v>750000000</v>
      </c>
      <c r="F283" s="52" t="s">
        <v>474</v>
      </c>
      <c r="G283">
        <v>26.6647110589616</v>
      </c>
      <c r="H283" s="23">
        <v>83.3180568285976</v>
      </c>
      <c r="I283" s="16">
        <f>H283/G283</f>
        <v>3.12465627864345</v>
      </c>
      <c r="J283" s="6">
        <v>0.1</v>
      </c>
      <c r="K283" s="6">
        <v>0.514354722535782</v>
      </c>
      <c r="L283" s="6"/>
      <c r="M283" s="6"/>
      <c r="N283" s="6"/>
      <c r="O283" s="6"/>
      <c r="P283" s="6"/>
      <c r="Q283" s="6">
        <v>0.53</v>
      </c>
      <c r="R283" s="6">
        <f>B283</f>
        <v>0.6</v>
      </c>
      <c r="S283" s="19">
        <f>B283/Q283-1</f>
        <v>0.132075471698113</v>
      </c>
      <c r="T283" s="14">
        <v>0</v>
      </c>
      <c r="U283" s="16">
        <v>0</v>
      </c>
      <c r="V283" s="16">
        <v>0</v>
      </c>
      <c r="W283" s="5" t="s">
        <v>474</v>
      </c>
      <c r="X283" s="4">
        <v>0</v>
      </c>
      <c r="Y283" s="4"/>
      <c r="Z283" s="4"/>
      <c r="AA283" s="6"/>
      <c r="AB283" s="6"/>
      <c r="AC283" s="4"/>
      <c r="AD283" s="6">
        <v>0.266666666666667</v>
      </c>
      <c r="AE283" s="4">
        <v>0.304761904761905</v>
      </c>
      <c r="AF283" s="4">
        <v>0.375</v>
      </c>
      <c r="AG283" s="4">
        <v>0.4</v>
      </c>
      <c r="AH283" s="4">
        <v>0.56</v>
      </c>
    </row>
    <row r="284" s="6" customFormat="1" ht="15" spans="1:31">
      <c r="A284" s="48">
        <v>2727</v>
      </c>
      <c r="B284" s="6">
        <v>3.7</v>
      </c>
      <c r="C284" s="6">
        <v>3.18</v>
      </c>
      <c r="D284" s="6">
        <v>9.25</v>
      </c>
      <c r="E284" s="15">
        <v>49427000000</v>
      </c>
      <c r="F284" s="47" t="s">
        <v>488</v>
      </c>
      <c r="G284">
        <v>18.9167274791211</v>
      </c>
      <c r="H284" s="23">
        <v>41.8842224744608</v>
      </c>
      <c r="I284" s="16">
        <f>H284/G284</f>
        <v>2.21413680144674</v>
      </c>
      <c r="J284" s="6">
        <v>0.98</v>
      </c>
      <c r="K284" s="6">
        <v>0.468104618660277</v>
      </c>
      <c r="L284" s="6">
        <v>13.3586</v>
      </c>
      <c r="M284" s="6">
        <v>13.358</v>
      </c>
      <c r="N284" s="6"/>
      <c r="O284" s="6"/>
      <c r="P284" s="6"/>
      <c r="Q284" s="6">
        <v>3.27</v>
      </c>
      <c r="R284" s="4">
        <f>B284</f>
        <v>3.7</v>
      </c>
      <c r="S284" s="63">
        <f>B284/Q284-1</f>
        <v>0.131498470948012</v>
      </c>
      <c r="T284" s="16">
        <v>-0.225742700497259</v>
      </c>
      <c r="U284" s="16">
        <v>-0.0159285342912511</v>
      </c>
      <c r="V284" s="16">
        <v>-0.636475916014821</v>
      </c>
      <c r="W284" s="5" t="s">
        <v>488</v>
      </c>
      <c r="X284" s="4">
        <v>0</v>
      </c>
      <c r="Y284" s="6" t="s">
        <v>987</v>
      </c>
      <c r="Z284" s="6"/>
      <c r="AA284" s="4"/>
      <c r="AB284" s="4"/>
      <c r="AC284" s="4"/>
      <c r="AD284" s="4">
        <v>0.192857142857143</v>
      </c>
      <c r="AE284" s="4">
        <v>0.376190476190476</v>
      </c>
    </row>
    <row r="285" s="6" customFormat="1" ht="15" hidden="1" spans="1:34">
      <c r="A285" s="38">
        <v>737</v>
      </c>
      <c r="B285" s="4">
        <v>3.89</v>
      </c>
      <c r="C285" s="4">
        <v>3.45</v>
      </c>
      <c r="D285" s="4">
        <v>4.09</v>
      </c>
      <c r="E285" s="13">
        <v>14669000000</v>
      </c>
      <c r="F285" s="46" t="s">
        <v>383</v>
      </c>
      <c r="G285">
        <v>11.3082039911308</v>
      </c>
      <c r="H285" s="25">
        <v>25.1877816725088</v>
      </c>
      <c r="I285" s="17">
        <f>H285/G285</f>
        <v>2.22739010476499</v>
      </c>
      <c r="J285" s="4">
        <v>1.19</v>
      </c>
      <c r="K285" s="4">
        <v>3.98818316100443</v>
      </c>
      <c r="L285" s="4">
        <v>16.5981</v>
      </c>
      <c r="M285" s="4">
        <v>16.312</v>
      </c>
      <c r="N285" s="4"/>
      <c r="O285" s="4"/>
      <c r="P285" s="4"/>
      <c r="Q285" s="4">
        <v>3.45</v>
      </c>
      <c r="R285" s="4">
        <f>B285</f>
        <v>3.89</v>
      </c>
      <c r="S285" s="18">
        <f>B285/Q285-1</f>
        <v>0.127536231884058</v>
      </c>
      <c r="T285" s="14">
        <v>-0.183815112919929</v>
      </c>
      <c r="U285" s="14">
        <v>-0.284242728424273</v>
      </c>
      <c r="V285" s="14">
        <v>1.29037698677708</v>
      </c>
      <c r="W285" s="31" t="s">
        <v>383</v>
      </c>
      <c r="X285" s="6">
        <v>-1.02</v>
      </c>
      <c r="Y285" s="4"/>
      <c r="Z285" s="4"/>
      <c r="AA285" s="4"/>
      <c r="AB285" s="4"/>
      <c r="AC285" s="4"/>
      <c r="AD285" s="4">
        <v>0.0164978292329956</v>
      </c>
      <c r="AE285" s="4">
        <v>0.0274963820549927</v>
      </c>
      <c r="AF285" s="6">
        <v>5.935</v>
      </c>
      <c r="AG285" s="6">
        <v>5.08</v>
      </c>
      <c r="AH285" s="6">
        <v>7</v>
      </c>
    </row>
    <row r="286" s="6" customFormat="1" ht="15" hidden="1" spans="1:34">
      <c r="A286" s="22">
        <v>1020</v>
      </c>
      <c r="B286" s="6">
        <v>0.31</v>
      </c>
      <c r="C286" s="6">
        <v>0.18</v>
      </c>
      <c r="D286" s="6">
        <v>0.88</v>
      </c>
      <c r="E286" s="15">
        <v>789300000</v>
      </c>
      <c r="F286" s="47" t="s">
        <v>102</v>
      </c>
      <c r="G286">
        <v>41.9347346417373</v>
      </c>
      <c r="H286" s="23">
        <v>29.0322580645161</v>
      </c>
      <c r="I286" s="16">
        <f>H286/G286</f>
        <v>0.692320061460948</v>
      </c>
      <c r="J286" s="6">
        <v>0.86</v>
      </c>
      <c r="K286" s="6">
        <v>1.66268868399022</v>
      </c>
      <c r="L286" s="6"/>
      <c r="M286" s="6"/>
      <c r="N286" s="6"/>
      <c r="O286" s="6"/>
      <c r="P286" s="4"/>
      <c r="Q286" s="6">
        <v>0.275</v>
      </c>
      <c r="R286" s="4">
        <f>B286</f>
        <v>0.31</v>
      </c>
      <c r="S286" s="60">
        <f>B286/Q286-1</f>
        <v>0.127272727272727</v>
      </c>
      <c r="T286" s="14">
        <v>0.877757352941177</v>
      </c>
      <c r="U286" s="16">
        <v>2.37797619047619</v>
      </c>
      <c r="V286" s="14">
        <v>-0.867254038179148</v>
      </c>
      <c r="W286" s="31" t="s">
        <v>102</v>
      </c>
      <c r="X286" s="4">
        <v>-1.59</v>
      </c>
      <c r="Y286" s="6"/>
      <c r="Z286" s="6"/>
      <c r="AA286" s="4"/>
      <c r="AB286" s="4"/>
      <c r="AC286" s="6"/>
      <c r="AD286" s="6">
        <v>0.5625</v>
      </c>
      <c r="AE286" s="6">
        <v>1.13541666666667</v>
      </c>
      <c r="AF286" s="6">
        <v>0.105</v>
      </c>
      <c r="AG286" s="6">
        <v>0.325</v>
      </c>
      <c r="AH286" s="6">
        <v>0.46</v>
      </c>
    </row>
    <row r="287" s="6" customFormat="1" ht="15" hidden="1" spans="1:34">
      <c r="A287" s="38">
        <v>2866</v>
      </c>
      <c r="B287" s="4">
        <v>1.78</v>
      </c>
      <c r="C287" s="4">
        <v>1.34</v>
      </c>
      <c r="D287" s="4">
        <v>4.97</v>
      </c>
      <c r="E287" s="13">
        <v>19744000000</v>
      </c>
      <c r="F287" s="47" t="s">
        <v>988</v>
      </c>
      <c r="G287">
        <v>24.7214694369166</v>
      </c>
      <c r="H287" s="29">
        <v>37.6462491397109</v>
      </c>
      <c r="I287" s="14">
        <f>H287/G287</f>
        <v>1.52281599747844</v>
      </c>
      <c r="J287" s="4">
        <v>0.59</v>
      </c>
      <c r="K287" s="4">
        <v>0.45596485635286</v>
      </c>
      <c r="L287" s="4">
        <v>14.1401</v>
      </c>
      <c r="M287" s="4">
        <v>12.802</v>
      </c>
      <c r="N287" s="4"/>
      <c r="O287" s="4"/>
      <c r="P287" s="4"/>
      <c r="Q287" s="32">
        <v>1.58</v>
      </c>
      <c r="R287" s="6">
        <f>B287</f>
        <v>1.78</v>
      </c>
      <c r="S287" s="19">
        <f>B287/Q287-1</f>
        <v>0.126582278481013</v>
      </c>
      <c r="T287" s="14">
        <v>0.71508450638624</v>
      </c>
      <c r="U287" s="14">
        <v>2.09251659035209</v>
      </c>
      <c r="V287" s="16">
        <v>-0.135733225243035</v>
      </c>
      <c r="W287" s="31" t="s">
        <v>988</v>
      </c>
      <c r="X287" s="4">
        <v>4.71</v>
      </c>
      <c r="Y287" s="4"/>
      <c r="Z287" s="4"/>
      <c r="AA287" s="4"/>
      <c r="AB287" s="4"/>
      <c r="AC287" s="4"/>
      <c r="AD287" s="6">
        <v>0.218274111675127</v>
      </c>
      <c r="AE287" s="4">
        <v>0.33502538071066</v>
      </c>
      <c r="AF287" s="6">
        <v>1.15</v>
      </c>
      <c r="AG287" s="6">
        <v>0.93</v>
      </c>
      <c r="AH287" s="6">
        <v>1.29</v>
      </c>
    </row>
    <row r="288" ht="15" hidden="1" spans="1:34">
      <c r="A288" s="43">
        <v>758</v>
      </c>
      <c r="B288" s="4">
        <v>0.405</v>
      </c>
      <c r="C288" s="4">
        <v>0.23</v>
      </c>
      <c r="D288" s="4">
        <v>0.83</v>
      </c>
      <c r="E288" s="13">
        <v>397300000</v>
      </c>
      <c r="F288" s="46" t="s">
        <v>989</v>
      </c>
      <c r="G288">
        <v>22.2219629620988</v>
      </c>
      <c r="H288" s="26">
        <v>72.839932938106</v>
      </c>
      <c r="I288" s="14">
        <f>H288/G288</f>
        <v>3.27783522375319</v>
      </c>
      <c r="J288" s="4">
        <v>0.73</v>
      </c>
      <c r="K288" s="4">
        <v>1.05792118487172</v>
      </c>
      <c r="L288" s="4"/>
      <c r="M288" s="4"/>
      <c r="N288" s="4"/>
      <c r="O288" s="4"/>
      <c r="P288" s="4"/>
      <c r="Q288" s="32">
        <v>0.36</v>
      </c>
      <c r="R288" s="6">
        <f>B288</f>
        <v>0.405</v>
      </c>
      <c r="S288" s="19">
        <f>B288/Q288-1</f>
        <v>0.125</v>
      </c>
      <c r="T288" s="14">
        <v>0.117850953206239</v>
      </c>
      <c r="U288" s="14">
        <v>0.387096774193548</v>
      </c>
      <c r="V288" s="16">
        <v>-0.172093023255814</v>
      </c>
      <c r="W288" s="31" t="s">
        <v>989</v>
      </c>
      <c r="X288" s="4">
        <v>0</v>
      </c>
      <c r="Y288" s="4"/>
      <c r="Z288" s="4"/>
      <c r="AA288" s="6"/>
      <c r="AB288" s="6"/>
      <c r="AC288" s="6"/>
      <c r="AD288" s="4">
        <v>0.384615384615385</v>
      </c>
      <c r="AE288" s="4">
        <v>0.634615384615384</v>
      </c>
      <c r="AF288" s="4">
        <v>0.33</v>
      </c>
      <c r="AG288" s="4">
        <v>0.88</v>
      </c>
      <c r="AH288" s="4">
        <v>0.77</v>
      </c>
    </row>
    <row r="289" ht="15" hidden="1" spans="1:34">
      <c r="A289" s="37">
        <v>8269</v>
      </c>
      <c r="B289" s="6">
        <v>0.045</v>
      </c>
      <c r="C289" s="6">
        <v>0.037</v>
      </c>
      <c r="D289" s="6">
        <v>0.395</v>
      </c>
      <c r="E289" s="15">
        <v>197200000</v>
      </c>
      <c r="F289" s="52" t="s">
        <v>46</v>
      </c>
      <c r="G289">
        <v>28.8888888888889</v>
      </c>
      <c r="H289" s="23">
        <v>142.224590640442</v>
      </c>
      <c r="I289" s="16">
        <f>H289/G289</f>
        <v>4.92315890678452</v>
      </c>
      <c r="J289" s="6">
        <v>0.77</v>
      </c>
      <c r="K289" s="16">
        <v>1.89723320158102</v>
      </c>
      <c r="L289" s="6"/>
      <c r="M289" s="6"/>
      <c r="N289" s="6"/>
      <c r="O289" s="6"/>
      <c r="P289" s="6"/>
      <c r="Q289" s="6">
        <v>0.04</v>
      </c>
      <c r="R289" s="6">
        <f>B289</f>
        <v>0.045</v>
      </c>
      <c r="S289" s="19">
        <f>B289/Q289-1</f>
        <v>0.125</v>
      </c>
      <c r="T289" s="16">
        <v>0.00659958180867753</v>
      </c>
      <c r="U289" s="16">
        <v>0.380747512772251</v>
      </c>
      <c r="V289" s="14">
        <v>-0.821811100292113</v>
      </c>
      <c r="W289" s="5" t="s">
        <v>46</v>
      </c>
      <c r="X289" s="4">
        <v>-4.255</v>
      </c>
      <c r="AA289" s="6"/>
      <c r="AB289" s="6"/>
      <c r="AC289" s="6"/>
      <c r="AD289" s="4">
        <v>0.40001822821728</v>
      </c>
      <c r="AE289" s="4">
        <v>0.51667881881152</v>
      </c>
      <c r="AF289" s="4">
        <v>1.679</v>
      </c>
      <c r="AG289" s="4">
        <v>1.468</v>
      </c>
      <c r="AH289" s="4">
        <v>1.66</v>
      </c>
    </row>
    <row r="290" s="6" customFormat="1" ht="15" hidden="1" spans="1:34">
      <c r="A290" s="38">
        <v>683</v>
      </c>
      <c r="B290" s="4">
        <v>20.85</v>
      </c>
      <c r="C290" s="4">
        <v>16.66</v>
      </c>
      <c r="D290" s="38">
        <v>34.4</v>
      </c>
      <c r="E290" s="13">
        <v>34996000000</v>
      </c>
      <c r="F290" s="45" t="s">
        <v>990</v>
      </c>
      <c r="G290">
        <v>20.0958849380743</v>
      </c>
      <c r="H290" s="29">
        <v>24.7038284075321</v>
      </c>
      <c r="I290" s="14">
        <f>H290/G290</f>
        <v>1.22929786290364</v>
      </c>
      <c r="J290" s="4">
        <v>0.33</v>
      </c>
      <c r="K290" s="4">
        <v>3.03074222587242</v>
      </c>
      <c r="L290" s="4">
        <v>4.0097</v>
      </c>
      <c r="M290" s="4">
        <v>3.685</v>
      </c>
      <c r="N290" s="4"/>
      <c r="O290" s="4"/>
      <c r="P290" s="4"/>
      <c r="Q290" s="32">
        <v>18.56</v>
      </c>
      <c r="R290" s="6">
        <f>B290</f>
        <v>20.85</v>
      </c>
      <c r="S290" s="19">
        <f>B290/Q290-1</f>
        <v>0.123383620689655</v>
      </c>
      <c r="T290" s="14">
        <v>-0.337227387412297</v>
      </c>
      <c r="U290" s="14">
        <v>-0.413560047707881</v>
      </c>
      <c r="V290" s="14">
        <v>0.155143408427201</v>
      </c>
      <c r="W290" s="62" t="s">
        <v>990</v>
      </c>
      <c r="X290" s="6">
        <v>-1.42</v>
      </c>
      <c r="Y290" s="4"/>
      <c r="Z290" s="4"/>
      <c r="AA290" s="6"/>
      <c r="AB290" s="6"/>
      <c r="AC290" s="4"/>
      <c r="AD290" s="6">
        <v>0.0147331041517132</v>
      </c>
      <c r="AE290" s="4">
        <v>0.0367572059990178</v>
      </c>
      <c r="AF290" s="6">
        <v>1.156</v>
      </c>
      <c r="AG290" s="6">
        <v>0.939</v>
      </c>
      <c r="AH290" s="6">
        <v>0.86</v>
      </c>
    </row>
    <row r="291" s="6" customFormat="1" ht="15" hidden="1" spans="1:34">
      <c r="A291" s="38">
        <v>1333</v>
      </c>
      <c r="B291" s="4">
        <v>3.64</v>
      </c>
      <c r="C291" s="4">
        <v>2.43</v>
      </c>
      <c r="D291" s="4">
        <v>5.15</v>
      </c>
      <c r="E291" s="13">
        <v>19673000000</v>
      </c>
      <c r="F291" s="45" t="s">
        <v>427</v>
      </c>
      <c r="G291">
        <v>15.3833135894398</v>
      </c>
      <c r="H291" s="28">
        <v>24.1773252204148</v>
      </c>
      <c r="I291" s="17">
        <f>H291/G291</f>
        <v>1.57165912791453</v>
      </c>
      <c r="J291" s="4">
        <v>0.6</v>
      </c>
      <c r="K291" s="4">
        <v>0.901843638951107</v>
      </c>
      <c r="L291" s="4">
        <v>6.0173</v>
      </c>
      <c r="M291" s="4">
        <v>7.272</v>
      </c>
      <c r="N291" s="4"/>
      <c r="O291" s="4"/>
      <c r="P291" s="4"/>
      <c r="Q291" s="4">
        <v>3.25</v>
      </c>
      <c r="R291" s="4">
        <f>B291</f>
        <v>3.64</v>
      </c>
      <c r="S291" s="18">
        <f>B291/Q291-1</f>
        <v>0.12</v>
      </c>
      <c r="T291" s="14">
        <v>0.118994400534599</v>
      </c>
      <c r="U291" s="14">
        <v>-0.0688564196962724</v>
      </c>
      <c r="V291" s="14">
        <v>0.131895965898561</v>
      </c>
      <c r="W291" s="31" t="s">
        <v>427</v>
      </c>
      <c r="X291" s="4">
        <v>1.39</v>
      </c>
      <c r="Y291" s="4"/>
      <c r="Z291" s="4"/>
      <c r="AA291" s="4"/>
      <c r="AB291" s="4"/>
      <c r="AC291" s="4"/>
      <c r="AD291" s="4">
        <v>0.194210333455478</v>
      </c>
      <c r="AE291" s="4">
        <v>0.370831806522536</v>
      </c>
      <c r="AH291" s="6">
        <v>10.18</v>
      </c>
    </row>
    <row r="292" ht="15" hidden="1" spans="1:34">
      <c r="A292" s="38">
        <v>3322</v>
      </c>
      <c r="B292" s="4">
        <v>1.32</v>
      </c>
      <c r="C292" s="4">
        <v>0.81</v>
      </c>
      <c r="D292" s="4">
        <v>1.94</v>
      </c>
      <c r="E292" s="13">
        <v>1683000000</v>
      </c>
      <c r="F292" s="46" t="s">
        <v>348</v>
      </c>
      <c r="G292">
        <v>18.9364461738003</v>
      </c>
      <c r="H292" s="28">
        <v>46.9723691945914</v>
      </c>
      <c r="I292" s="17">
        <f>H292/G292</f>
        <v>2.48052716774178</v>
      </c>
      <c r="J292" s="4">
        <v>0.69</v>
      </c>
      <c r="K292" s="14">
        <v>0.403036206085846</v>
      </c>
      <c r="L292" s="4">
        <v>48.4759</v>
      </c>
      <c r="M292" s="4">
        <v>47.2</v>
      </c>
      <c r="Q292" s="4">
        <v>1.18</v>
      </c>
      <c r="R292" s="4">
        <f>B292</f>
        <v>1.32</v>
      </c>
      <c r="S292" s="18">
        <f>B292/Q292-1</f>
        <v>0.11864406779661</v>
      </c>
      <c r="T292" s="14">
        <v>0.651428571428571</v>
      </c>
      <c r="U292" s="16">
        <v>5.28260869565217</v>
      </c>
      <c r="V292" s="16">
        <v>0.474048442906574</v>
      </c>
      <c r="W292" s="31" t="s">
        <v>348</v>
      </c>
      <c r="X292" s="4">
        <v>-0.75</v>
      </c>
      <c r="AA292" s="6"/>
      <c r="AB292" s="6"/>
      <c r="AC292" s="6"/>
      <c r="AD292" s="6">
        <v>0.0319383259911895</v>
      </c>
      <c r="AE292" s="4">
        <v>0.0958149779735682</v>
      </c>
      <c r="AF292" s="4">
        <v>9.07</v>
      </c>
      <c r="AG292" s="4">
        <v>7.32</v>
      </c>
      <c r="AH292" s="4">
        <v>6.98</v>
      </c>
    </row>
    <row r="293" ht="15" hidden="1" spans="1:34">
      <c r="A293" s="38">
        <v>1882</v>
      </c>
      <c r="B293" s="4">
        <v>15.3</v>
      </c>
      <c r="C293" s="4">
        <v>8.67</v>
      </c>
      <c r="D293" s="4">
        <v>20.8</v>
      </c>
      <c r="E293" s="13">
        <v>26047000000</v>
      </c>
      <c r="F293" s="46" t="s">
        <v>991</v>
      </c>
      <c r="G293">
        <v>43.3331444438148</v>
      </c>
      <c r="H293" s="56">
        <v>9.40919037199125</v>
      </c>
      <c r="I293" s="14">
        <f>H293/G293</f>
        <v>0.217136108924453</v>
      </c>
      <c r="J293" s="4">
        <v>2.23</v>
      </c>
      <c r="K293" s="4">
        <v>2.32278179797526</v>
      </c>
      <c r="L293" s="4">
        <v>13.1021</v>
      </c>
      <c r="M293" s="4">
        <v>13.102</v>
      </c>
      <c r="N293" s="4"/>
      <c r="O293" s="4"/>
      <c r="P293" s="4"/>
      <c r="Q293" s="4">
        <v>13.68</v>
      </c>
      <c r="R293" s="61">
        <f>B293</f>
        <v>15.3</v>
      </c>
      <c r="S293" s="18">
        <f>B293/Q293-1</f>
        <v>0.118421052631579</v>
      </c>
      <c r="T293" s="14">
        <v>-0.403957035694313</v>
      </c>
      <c r="U293" s="14">
        <v>-0.297825938799155</v>
      </c>
      <c r="V293" s="14">
        <v>-0.517827817140639</v>
      </c>
      <c r="W293" s="31" t="s">
        <v>991</v>
      </c>
      <c r="X293" s="4">
        <v>0.13</v>
      </c>
      <c r="Y293" s="4"/>
      <c r="Z293" s="4"/>
      <c r="AA293" s="4"/>
      <c r="AB293" s="4"/>
      <c r="AC293" s="4"/>
      <c r="AD293" s="4"/>
      <c r="AE293" s="4"/>
      <c r="AF293" s="4">
        <v>4.3</v>
      </c>
      <c r="AG293" s="4">
        <v>3.56</v>
      </c>
      <c r="AH293" s="4">
        <v>3.61</v>
      </c>
    </row>
    <row r="294" s="6" customFormat="1" ht="15" hidden="1" spans="1:34">
      <c r="A294" s="43">
        <v>2799</v>
      </c>
      <c r="B294" s="4">
        <v>3.12</v>
      </c>
      <c r="C294" s="4">
        <v>2.34</v>
      </c>
      <c r="D294" s="4">
        <v>3.15</v>
      </c>
      <c r="E294" s="13">
        <v>117211000000</v>
      </c>
      <c r="F294" s="45" t="s">
        <v>992</v>
      </c>
      <c r="G294">
        <v>24.9981249531238</v>
      </c>
      <c r="H294" s="26">
        <v>3.53038616834041</v>
      </c>
      <c r="I294" s="14">
        <f>H294/G294</f>
        <v>0.141226038951343</v>
      </c>
      <c r="J294" s="4">
        <v>1.1</v>
      </c>
      <c r="K294" s="4">
        <v>8.5034</v>
      </c>
      <c r="L294" s="4"/>
      <c r="M294" s="4"/>
      <c r="N294" s="4"/>
      <c r="O294" s="4"/>
      <c r="P294" s="4"/>
      <c r="Q294" s="32">
        <v>2.79</v>
      </c>
      <c r="R294" s="6">
        <f>B294</f>
        <v>3.12</v>
      </c>
      <c r="S294" s="19">
        <f>B294/Q294-1</f>
        <v>0.118279569892473</v>
      </c>
      <c r="T294" s="14">
        <v>-0.436173708557535</v>
      </c>
      <c r="U294" s="14">
        <v>-0.758702155033773</v>
      </c>
      <c r="V294" s="14">
        <v>-0.440301077275464</v>
      </c>
      <c r="W294" s="31" t="s">
        <v>992</v>
      </c>
      <c r="X294" s="6">
        <v>0.65</v>
      </c>
      <c r="Y294" s="6"/>
      <c r="Z294" s="6"/>
      <c r="AA294" s="4"/>
      <c r="AB294" s="4"/>
      <c r="AC294" s="4"/>
      <c r="AD294" s="4">
        <v>0</v>
      </c>
      <c r="AE294" s="4">
        <v>0</v>
      </c>
      <c r="AF294" s="6">
        <v>2.2</v>
      </c>
      <c r="AG294" s="6">
        <v>2</v>
      </c>
      <c r="AH294" s="6">
        <v>2.15</v>
      </c>
    </row>
    <row r="295" ht="15" hidden="1" spans="1:34">
      <c r="A295" s="38">
        <v>467</v>
      </c>
      <c r="B295" s="4">
        <v>0.38</v>
      </c>
      <c r="C295" s="4">
        <v>0.33</v>
      </c>
      <c r="D295" s="4">
        <v>1.65</v>
      </c>
      <c r="E295" s="13">
        <v>10743600000</v>
      </c>
      <c r="F295" s="59" t="s">
        <v>993</v>
      </c>
      <c r="G295">
        <v>46.8424409951095</v>
      </c>
      <c r="H295" s="56">
        <v>165.81605528974</v>
      </c>
      <c r="I295" s="14">
        <f>H295/G295</f>
        <v>3.53986794383861</v>
      </c>
      <c r="J295" s="4">
        <v>0.65</v>
      </c>
      <c r="K295" s="4">
        <v>0.815152241668664</v>
      </c>
      <c r="Q295" s="4">
        <v>0.34</v>
      </c>
      <c r="R295" s="61">
        <f>B295</f>
        <v>0.38</v>
      </c>
      <c r="S295" s="18">
        <f>B295/Q295-1</f>
        <v>0.117647058823529</v>
      </c>
      <c r="T295" s="14">
        <v>0.0569690265486726</v>
      </c>
      <c r="U295" s="14">
        <v>1.83111111111111</v>
      </c>
      <c r="V295" s="14">
        <v>-0.769585818942962</v>
      </c>
      <c r="W295" s="31" t="s">
        <v>993</v>
      </c>
      <c r="X295" s="4">
        <v>1.33</v>
      </c>
      <c r="AF295" s="4">
        <v>5.05</v>
      </c>
      <c r="AG295" s="4">
        <v>3.28</v>
      </c>
      <c r="AH295" s="4">
        <v>2.47</v>
      </c>
    </row>
    <row r="296" ht="15" hidden="1" spans="1:34">
      <c r="A296" s="41">
        <v>317</v>
      </c>
      <c r="B296" s="6">
        <v>11.42</v>
      </c>
      <c r="C296" s="6">
        <v>10.06</v>
      </c>
      <c r="D296" s="6">
        <v>40</v>
      </c>
      <c r="E296" s="15">
        <v>16792000000</v>
      </c>
      <c r="F296" s="47" t="s">
        <v>564</v>
      </c>
      <c r="G296">
        <v>16.6388796265422</v>
      </c>
      <c r="H296" s="27">
        <v>63.9344262295082</v>
      </c>
      <c r="I296" s="16">
        <f>H296/G296</f>
        <v>3.84247182890371</v>
      </c>
      <c r="J296" s="6">
        <v>1.32</v>
      </c>
      <c r="K296" s="6">
        <v>0.534877539377084</v>
      </c>
      <c r="L296" s="6">
        <v>76.2583</v>
      </c>
      <c r="M296" s="6">
        <v>55.604</v>
      </c>
      <c r="N296" s="6"/>
      <c r="O296" s="6"/>
      <c r="P296" s="6"/>
      <c r="Q296" s="6">
        <v>10.22</v>
      </c>
      <c r="R296" s="6">
        <f>B296</f>
        <v>11.42</v>
      </c>
      <c r="S296" s="19">
        <f>B296/Q296-1</f>
        <v>0.117416829745597</v>
      </c>
      <c r="T296" s="14">
        <v>-0.246008048812151</v>
      </c>
      <c r="U296" s="16">
        <v>-0.209795918367347</v>
      </c>
      <c r="V296" s="14">
        <v>0.527326962809917</v>
      </c>
      <c r="W296" s="31" t="s">
        <v>564</v>
      </c>
      <c r="X296" s="4">
        <v>-0.35</v>
      </c>
      <c r="Y296" s="4"/>
      <c r="Z296" s="4"/>
      <c r="AA296" s="4"/>
      <c r="AB296" s="4"/>
      <c r="AC296" s="4"/>
      <c r="AD296" s="4">
        <v>0.30527817403709</v>
      </c>
      <c r="AE296" s="4">
        <v>0.608416547788873</v>
      </c>
      <c r="AF296" s="4">
        <v>1.46749</v>
      </c>
      <c r="AG296" s="4">
        <v>1.33333</v>
      </c>
      <c r="AH296" s="4">
        <v>1.24</v>
      </c>
    </row>
    <row r="297" s="6" customFormat="1" ht="15" hidden="1" spans="1:34">
      <c r="A297" s="38">
        <v>138</v>
      </c>
      <c r="B297" s="4">
        <v>1.05</v>
      </c>
      <c r="C297" s="4">
        <v>0.73</v>
      </c>
      <c r="D297" s="4">
        <v>1.36</v>
      </c>
      <c r="E297" s="13">
        <v>948000000</v>
      </c>
      <c r="F297" s="45" t="s">
        <v>72</v>
      </c>
      <c r="G297">
        <v>29.5228698287406</v>
      </c>
      <c r="H297" s="28">
        <v>29.5169019557052</v>
      </c>
      <c r="I297" s="17">
        <f>H297/G297</f>
        <v>0.999797855931013</v>
      </c>
      <c r="J297" s="4">
        <v>0.33</v>
      </c>
      <c r="K297" s="4">
        <v>1.23596922688863</v>
      </c>
      <c r="L297" s="4">
        <v>2.2786</v>
      </c>
      <c r="M297" s="4">
        <v>1.827</v>
      </c>
      <c r="N297" s="4"/>
      <c r="O297" s="4"/>
      <c r="P297" s="4"/>
      <c r="Q297" s="4">
        <v>0.94</v>
      </c>
      <c r="R297" s="4">
        <f>B297</f>
        <v>1.05</v>
      </c>
      <c r="S297" s="18">
        <f>B297/Q297-1</f>
        <v>0.117021276595745</v>
      </c>
      <c r="T297" s="14">
        <v>-0.15521978021978</v>
      </c>
      <c r="U297" s="14">
        <v>0.366666666666667</v>
      </c>
      <c r="V297" s="16">
        <v>0</v>
      </c>
      <c r="W297" s="31" t="s">
        <v>72</v>
      </c>
      <c r="X297" s="4">
        <v>0</v>
      </c>
      <c r="Y297" s="4"/>
      <c r="Z297" s="4"/>
      <c r="AA297" s="4"/>
      <c r="AB297" s="4"/>
      <c r="AC297" s="4"/>
      <c r="AD297" s="4">
        <v>0.060759493670886</v>
      </c>
      <c r="AE297" s="4">
        <v>0.158227848101266</v>
      </c>
      <c r="AF297" s="6">
        <v>2.99</v>
      </c>
      <c r="AG297" s="6">
        <v>2.68</v>
      </c>
      <c r="AH297" s="6">
        <v>4.08</v>
      </c>
    </row>
    <row r="298" ht="15" hidden="1" spans="1:34">
      <c r="A298" s="43">
        <v>264</v>
      </c>
      <c r="B298" s="4">
        <v>1.29</v>
      </c>
      <c r="C298" s="4">
        <v>0.58</v>
      </c>
      <c r="D298" s="4">
        <v>2.69</v>
      </c>
      <c r="E298" s="13">
        <v>397000000</v>
      </c>
      <c r="F298" s="46" t="s">
        <v>453</v>
      </c>
      <c r="G298">
        <v>22.4806201550388</v>
      </c>
      <c r="H298" s="25">
        <v>108.507089241034</v>
      </c>
      <c r="I298" s="17">
        <f>H298/G298</f>
        <v>4.82669465934256</v>
      </c>
      <c r="J298" s="4">
        <v>5.63</v>
      </c>
      <c r="K298" s="4">
        <v>3.08752232712426</v>
      </c>
      <c r="L298" s="4"/>
      <c r="M298" s="4"/>
      <c r="N298" s="4"/>
      <c r="O298" s="4"/>
      <c r="P298" s="4"/>
      <c r="Q298" s="4">
        <v>1.16</v>
      </c>
      <c r="R298" s="4">
        <f>B298</f>
        <v>1.29</v>
      </c>
      <c r="S298" s="18">
        <f>B298/Q298-1</f>
        <v>0.112068965517242</v>
      </c>
      <c r="T298" s="16">
        <v>1.21674876847291</v>
      </c>
      <c r="U298" s="16">
        <v>2.65853658536585</v>
      </c>
      <c r="V298" s="14">
        <v>-0.85</v>
      </c>
      <c r="W298" s="31" t="s">
        <v>453</v>
      </c>
      <c r="X298" s="6">
        <v>1.57</v>
      </c>
      <c r="Y298" s="6"/>
      <c r="Z298" s="6"/>
      <c r="AA298" s="4"/>
      <c r="AB298" s="4"/>
      <c r="AC298" s="4"/>
      <c r="AD298" s="4">
        <v>0.35</v>
      </c>
      <c r="AE298" s="6">
        <v>0.8375</v>
      </c>
      <c r="AF298" s="4">
        <v>0.63</v>
      </c>
      <c r="AG298" s="4">
        <v>0.63</v>
      </c>
      <c r="AH298" s="4">
        <v>0.71</v>
      </c>
    </row>
    <row r="299" ht="15" hidden="1" spans="1:34">
      <c r="A299" s="48">
        <v>694</v>
      </c>
      <c r="B299" s="4">
        <v>7.92</v>
      </c>
      <c r="C299" s="4">
        <v>5.26</v>
      </c>
      <c r="D299" s="4">
        <v>9.71</v>
      </c>
      <c r="E299" s="13">
        <v>36509000000</v>
      </c>
      <c r="F299" s="46" t="s">
        <v>546</v>
      </c>
      <c r="G299">
        <v>20.076726342711</v>
      </c>
      <c r="H299" s="28">
        <v>23.6093943139679</v>
      </c>
      <c r="I299" s="17">
        <f>H299/G299</f>
        <v>1.17595836646642</v>
      </c>
      <c r="J299" s="4">
        <v>1.45</v>
      </c>
      <c r="K299" s="4">
        <v>2.97476489538116</v>
      </c>
      <c r="L299" s="4">
        <v>17.8753</v>
      </c>
      <c r="M299" s="4">
        <v>17.75</v>
      </c>
      <c r="N299" s="4"/>
      <c r="O299" s="4"/>
      <c r="P299" s="4"/>
      <c r="Q299" s="4">
        <v>7.13</v>
      </c>
      <c r="R299" s="4">
        <f>B299</f>
        <v>7.92</v>
      </c>
      <c r="S299" s="18">
        <f>B299/Q299-1</f>
        <v>0.110799438990182</v>
      </c>
      <c r="T299" s="14">
        <v>0.64047468961548</v>
      </c>
      <c r="U299" s="16">
        <v>1.81340994817922</v>
      </c>
      <c r="V299" s="14">
        <v>-0.723227245388933</v>
      </c>
      <c r="W299" s="31" t="s">
        <v>546</v>
      </c>
      <c r="X299" s="6">
        <v>0.38</v>
      </c>
      <c r="Y299" s="4"/>
      <c r="Z299" s="4"/>
      <c r="AA299" s="6"/>
      <c r="AB299" s="6"/>
      <c r="AC299" s="4"/>
      <c r="AD299" s="4">
        <v>0.0691608483730733</v>
      </c>
      <c r="AE299" s="4">
        <v>0.127914635752865</v>
      </c>
      <c r="AF299" s="4">
        <v>1.9</v>
      </c>
      <c r="AG299" s="4">
        <v>2.62</v>
      </c>
      <c r="AH299" s="4">
        <v>2.66</v>
      </c>
    </row>
    <row r="300" ht="15" hidden="1" spans="1:34">
      <c r="A300" s="38">
        <v>794</v>
      </c>
      <c r="B300" s="4">
        <v>0.71</v>
      </c>
      <c r="C300" s="4">
        <v>0.6</v>
      </c>
      <c r="D300" s="4">
        <v>1.36</v>
      </c>
      <c r="E300" s="13">
        <v>264000000</v>
      </c>
      <c r="F300" s="46" t="s">
        <v>801</v>
      </c>
      <c r="G300">
        <v>15.4905771993577</v>
      </c>
      <c r="H300" s="28">
        <v>9.85389432055366</v>
      </c>
      <c r="I300" s="17">
        <f>H300/G300</f>
        <v>0.636121830306118</v>
      </c>
      <c r="J300" s="4">
        <v>0.42</v>
      </c>
      <c r="K300" s="4">
        <v>0.273099681383705</v>
      </c>
      <c r="L300" s="4">
        <v>4.2991</v>
      </c>
      <c r="M300" s="4">
        <v>4.298</v>
      </c>
      <c r="N300" s="4"/>
      <c r="O300" s="4"/>
      <c r="P300" s="4"/>
      <c r="Q300" s="4">
        <v>0.64</v>
      </c>
      <c r="R300" s="4">
        <f>B300</f>
        <v>0.71</v>
      </c>
      <c r="S300" s="18">
        <f>B300/Q300-1</f>
        <v>0.109375</v>
      </c>
      <c r="T300" s="14">
        <v>1.63736263736264</v>
      </c>
      <c r="U300" s="14">
        <v>17.8235294117647</v>
      </c>
      <c r="V300" s="14">
        <v>0</v>
      </c>
      <c r="W300" s="62" t="s">
        <v>801</v>
      </c>
      <c r="X300" s="4">
        <v>0</v>
      </c>
      <c r="Y300" s="4"/>
      <c r="Z300" s="4"/>
      <c r="AA300" s="4"/>
      <c r="AB300" s="4"/>
      <c r="AC300" s="4"/>
      <c r="AD300" s="6">
        <v>0.324546952224053</v>
      </c>
      <c r="AE300" s="4">
        <v>0.509060955518946</v>
      </c>
      <c r="AF300" s="4">
        <v>1.044</v>
      </c>
      <c r="AG300" s="4">
        <v>0.88</v>
      </c>
      <c r="AH300" s="4">
        <v>1.84</v>
      </c>
    </row>
    <row r="301" ht="15" spans="1:34">
      <c r="A301" s="38">
        <v>410</v>
      </c>
      <c r="B301" s="4">
        <v>3.97</v>
      </c>
      <c r="C301" s="4">
        <v>2.91</v>
      </c>
      <c r="D301" s="4">
        <v>6.72</v>
      </c>
      <c r="E301" s="13">
        <v>21682000000</v>
      </c>
      <c r="F301" s="53" t="s">
        <v>994</v>
      </c>
      <c r="G301">
        <v>24.9361957664014</v>
      </c>
      <c r="H301" s="23">
        <v>20.9043646475638</v>
      </c>
      <c r="I301" s="14">
        <f>H301/G301</f>
        <v>0.838314105463109</v>
      </c>
      <c r="J301" s="4">
        <v>0.4</v>
      </c>
      <c r="K301" s="4">
        <v>9.80261794169651</v>
      </c>
      <c r="L301" s="4">
        <v>3.6998</v>
      </c>
      <c r="M301" s="4">
        <v>3.4</v>
      </c>
      <c r="N301" s="4"/>
      <c r="O301" s="4"/>
      <c r="P301" s="4"/>
      <c r="Q301" s="32">
        <v>3.59</v>
      </c>
      <c r="R301" s="6">
        <f>B301</f>
        <v>3.97</v>
      </c>
      <c r="S301" s="19">
        <f>B301/Q301-1</f>
        <v>0.105849582172702</v>
      </c>
      <c r="T301" s="14">
        <v>-0.269309041573796</v>
      </c>
      <c r="U301" s="14">
        <v>-0.411259467478723</v>
      </c>
      <c r="V301" s="16">
        <v>-0.577453580901857</v>
      </c>
      <c r="W301" s="31" t="s">
        <v>994</v>
      </c>
      <c r="X301" s="4">
        <v>1.02</v>
      </c>
      <c r="Y301" s="61" t="s">
        <v>901</v>
      </c>
      <c r="Z301" s="4"/>
      <c r="AA301" s="4"/>
      <c r="AB301" s="4"/>
      <c r="AC301" s="6"/>
      <c r="AD301" s="4">
        <v>0.0877598152424942</v>
      </c>
      <c r="AE301" s="4">
        <v>0.120092378752887</v>
      </c>
      <c r="AF301" s="4">
        <v>2.23</v>
      </c>
      <c r="AG301" s="4">
        <v>2.74</v>
      </c>
      <c r="AH301" s="4">
        <v>2.18</v>
      </c>
    </row>
    <row r="302" ht="15" hidden="1" spans="1:34">
      <c r="A302" s="38">
        <v>579</v>
      </c>
      <c r="B302" s="4">
        <v>2.3</v>
      </c>
      <c r="C302" s="4">
        <v>1.99</v>
      </c>
      <c r="D302" s="4">
        <v>4.19</v>
      </c>
      <c r="E302" s="13">
        <v>16626000000</v>
      </c>
      <c r="F302" s="45" t="s">
        <v>548</v>
      </c>
      <c r="G302">
        <v>12.1728438433164</v>
      </c>
      <c r="H302" s="27">
        <v>24.7816321437484</v>
      </c>
      <c r="I302" s="17">
        <f>H302/G302</f>
        <v>2.03581286860548</v>
      </c>
      <c r="J302" s="4">
        <v>0.81</v>
      </c>
      <c r="K302" s="4">
        <v>0.784188255369337</v>
      </c>
      <c r="L302" s="4">
        <v>10.004</v>
      </c>
      <c r="M302" s="4">
        <v>9.043</v>
      </c>
      <c r="N302" s="4"/>
      <c r="O302" s="4"/>
      <c r="P302" s="4"/>
      <c r="Q302" s="4">
        <v>2.08</v>
      </c>
      <c r="R302" s="4">
        <f>B302</f>
        <v>2.3</v>
      </c>
      <c r="S302" s="18">
        <f>B302/Q302-1</f>
        <v>0.105769230769231</v>
      </c>
      <c r="T302" s="14">
        <v>-0.0273907910271547</v>
      </c>
      <c r="U302" s="14">
        <v>-0.207274826789838</v>
      </c>
      <c r="V302" s="14">
        <v>0.576024034959942</v>
      </c>
      <c r="W302" s="31" t="s">
        <v>548</v>
      </c>
      <c r="X302" s="4">
        <v>0</v>
      </c>
      <c r="Y302" s="4"/>
      <c r="Z302" s="4"/>
      <c r="AA302" s="4"/>
      <c r="AB302" s="4"/>
      <c r="AC302" s="6"/>
      <c r="AD302" s="4">
        <v>0.163636363636364</v>
      </c>
      <c r="AE302" s="4">
        <v>0.309090909090909</v>
      </c>
      <c r="AF302" s="4">
        <v>22.242</v>
      </c>
      <c r="AG302" s="4">
        <v>20.711</v>
      </c>
      <c r="AH302" s="4">
        <v>13.36</v>
      </c>
    </row>
    <row r="303" s="6" customFormat="1" ht="15" hidden="1" spans="1:34">
      <c r="A303" s="41">
        <v>1371</v>
      </c>
      <c r="B303" s="4">
        <v>0.265</v>
      </c>
      <c r="C303" s="4">
        <v>0.238</v>
      </c>
      <c r="D303" s="4">
        <v>1.01</v>
      </c>
      <c r="E303" s="13">
        <v>2780500000</v>
      </c>
      <c r="F303" s="45" t="s">
        <v>757</v>
      </c>
      <c r="G303">
        <v>15.8489994446034</v>
      </c>
      <c r="H303" s="27">
        <v>58.4911641176004</v>
      </c>
      <c r="I303" s="14">
        <f>H303/G303</f>
        <v>3.69052723624877</v>
      </c>
      <c r="J303" s="4">
        <v>1.33</v>
      </c>
      <c r="K303" s="4">
        <v>2.01421800947867</v>
      </c>
      <c r="L303" s="4">
        <v>21.7539</v>
      </c>
      <c r="M303" s="4">
        <v>18.898</v>
      </c>
      <c r="N303" s="4"/>
      <c r="O303" s="4"/>
      <c r="P303" s="4"/>
      <c r="Q303" s="4">
        <v>0.24</v>
      </c>
      <c r="R303" s="4">
        <f>B303</f>
        <v>0.265</v>
      </c>
      <c r="S303" s="18">
        <f>B303/Q303-1</f>
        <v>0.104166666666667</v>
      </c>
      <c r="T303" s="14">
        <v>0</v>
      </c>
      <c r="U303" s="16">
        <v>0</v>
      </c>
      <c r="V303" s="16">
        <v>0</v>
      </c>
      <c r="W303" s="62" t="s">
        <v>757</v>
      </c>
      <c r="X303" s="4">
        <v>-1.852</v>
      </c>
      <c r="Y303" s="4"/>
      <c r="Z303" s="4"/>
      <c r="AA303" s="4"/>
      <c r="AB303" s="4"/>
      <c r="AC303" s="4"/>
      <c r="AD303" s="4">
        <v>0.418181818181818</v>
      </c>
      <c r="AE303" s="4">
        <v>0.563636363636363</v>
      </c>
      <c r="AF303" s="6">
        <v>1.27</v>
      </c>
      <c r="AG303" s="6">
        <v>1.23</v>
      </c>
      <c r="AH303" s="6">
        <v>1.53</v>
      </c>
    </row>
    <row r="304" s="6" customFormat="1" ht="15" hidden="1" spans="1:31">
      <c r="A304" s="43">
        <v>3908</v>
      </c>
      <c r="B304" s="4">
        <v>11.36</v>
      </c>
      <c r="C304" s="4">
        <v>10</v>
      </c>
      <c r="D304" s="4">
        <v>13</v>
      </c>
      <c r="E304" s="13">
        <v>27311000000</v>
      </c>
      <c r="F304" s="46" t="s">
        <v>174</v>
      </c>
      <c r="G304">
        <v>16.1987765021369</v>
      </c>
      <c r="H304" s="25">
        <v>19.717466778403</v>
      </c>
      <c r="I304" s="17">
        <f>H304/G304</f>
        <v>1.21721950888092</v>
      </c>
      <c r="J304" s="4">
        <v>1.61</v>
      </c>
      <c r="K304" s="14">
        <v>17.5163</v>
      </c>
      <c r="L304" s="4"/>
      <c r="M304" s="4"/>
      <c r="N304" s="4"/>
      <c r="O304" s="4"/>
      <c r="P304" s="4"/>
      <c r="Q304" s="4">
        <v>10.3</v>
      </c>
      <c r="R304" s="4">
        <f>B304</f>
        <v>11.36</v>
      </c>
      <c r="S304" s="18">
        <f>B304/Q304-1</f>
        <v>0.102912621359223</v>
      </c>
      <c r="T304" s="16">
        <v>0.153988582008949</v>
      </c>
      <c r="U304" s="16">
        <v>0.228381374722838</v>
      </c>
      <c r="V304" s="14">
        <v>-0.343963096670678</v>
      </c>
      <c r="W304" s="72" t="s">
        <v>174</v>
      </c>
      <c r="X304" s="4">
        <v>0.53</v>
      </c>
      <c r="Y304" s="6"/>
      <c r="Z304" s="6"/>
      <c r="AA304" s="6"/>
      <c r="AB304" s="6"/>
      <c r="AC304" s="4"/>
      <c r="AD304" s="4">
        <v>0</v>
      </c>
      <c r="AE304" s="4">
        <v>0</v>
      </c>
    </row>
    <row r="305" ht="15" spans="1:34">
      <c r="A305" s="37">
        <v>1177</v>
      </c>
      <c r="B305" s="6">
        <v>5.37</v>
      </c>
      <c r="C305" s="6">
        <v>4.86</v>
      </c>
      <c r="D305" s="6">
        <v>10.76</v>
      </c>
      <c r="E305" s="15">
        <v>42694000000</v>
      </c>
      <c r="F305" s="47" t="s">
        <v>58</v>
      </c>
      <c r="G305">
        <v>14.1557215211606</v>
      </c>
      <c r="H305" s="23">
        <v>44.6968600781363</v>
      </c>
      <c r="I305" s="16">
        <f>H305/G305</f>
        <v>3.15751196513165</v>
      </c>
      <c r="J305" s="6">
        <v>5</v>
      </c>
      <c r="K305" s="6">
        <v>1.62676391311241</v>
      </c>
      <c r="L305" s="6">
        <v>25.1285</v>
      </c>
      <c r="M305" s="6">
        <v>23.861</v>
      </c>
      <c r="N305" s="6"/>
      <c r="O305" s="6"/>
      <c r="P305" s="6"/>
      <c r="Q305" s="6">
        <v>4.87</v>
      </c>
      <c r="R305" s="4">
        <f>B305</f>
        <v>5.37</v>
      </c>
      <c r="S305" s="68">
        <f>B305/Q305-1</f>
        <v>0.102669404517454</v>
      </c>
      <c r="T305" s="14">
        <v>0.0116655372232287</v>
      </c>
      <c r="U305" s="16">
        <v>0.347030660160206</v>
      </c>
      <c r="V305" s="14">
        <v>-0.466768238084497</v>
      </c>
      <c r="W305" s="31" t="s">
        <v>58</v>
      </c>
      <c r="X305" s="4">
        <v>-0.19</v>
      </c>
      <c r="Y305" s="6" t="s">
        <v>995</v>
      </c>
      <c r="Z305" s="6"/>
      <c r="AA305" s="6"/>
      <c r="AB305" s="6"/>
      <c r="AC305" s="4"/>
      <c r="AD305" s="6">
        <v>0.0537345693647558</v>
      </c>
      <c r="AE305" s="6">
        <v>0.192659680402105</v>
      </c>
      <c r="AG305" s="4">
        <v>38.05</v>
      </c>
      <c r="AH305" s="4">
        <v>23.55</v>
      </c>
    </row>
    <row r="306" ht="15" hidden="1" spans="1:34">
      <c r="A306" s="38">
        <v>583</v>
      </c>
      <c r="B306" s="4">
        <v>1.95</v>
      </c>
      <c r="C306" s="4">
        <v>1.77</v>
      </c>
      <c r="D306" s="4">
        <v>2</v>
      </c>
      <c r="E306" s="13">
        <v>0</v>
      </c>
      <c r="F306" s="46" t="s">
        <v>996</v>
      </c>
      <c r="G306">
        <v>99.4871794871795</v>
      </c>
      <c r="H306" s="27">
        <v>-113.97643572936</v>
      </c>
      <c r="I306" s="14">
        <f>H306/G306</f>
        <v>-1.14563943130027</v>
      </c>
      <c r="J306" s="4">
        <v>0.84</v>
      </c>
      <c r="K306" s="4">
        <v>2.49295774647887</v>
      </c>
      <c r="L306" s="4">
        <v>20.2104</v>
      </c>
      <c r="M306" s="4">
        <v>20.205</v>
      </c>
      <c r="N306" s="4"/>
      <c r="O306" s="4"/>
      <c r="P306" s="4"/>
      <c r="Q306" s="32">
        <v>1.77</v>
      </c>
      <c r="R306" s="6">
        <f>B306</f>
        <v>1.95</v>
      </c>
      <c r="S306" s="19">
        <f>B306/Q306-1</f>
        <v>0.101694915254237</v>
      </c>
      <c r="T306" s="14">
        <v>0</v>
      </c>
      <c r="U306" s="14">
        <v>0</v>
      </c>
      <c r="V306" s="16">
        <v>0</v>
      </c>
      <c r="W306" s="31" t="s">
        <v>996</v>
      </c>
      <c r="X306" s="6">
        <v>10.17</v>
      </c>
      <c r="Y306" s="6"/>
      <c r="Z306" s="6"/>
      <c r="AA306" s="4"/>
      <c r="AB306" s="4"/>
      <c r="AC306" s="4"/>
      <c r="AD306" s="6">
        <v>0</v>
      </c>
      <c r="AE306" s="4">
        <v>0</v>
      </c>
      <c r="AF306" s="4">
        <v>11.641</v>
      </c>
      <c r="AG306" s="4">
        <v>8.849</v>
      </c>
      <c r="AH306" s="4">
        <v>6.84</v>
      </c>
    </row>
    <row r="307" ht="15" spans="1:34">
      <c r="A307" s="37">
        <v>2208</v>
      </c>
      <c r="B307" s="6">
        <v>11.08</v>
      </c>
      <c r="C307" s="6">
        <v>8.53</v>
      </c>
      <c r="D307" s="6">
        <v>19.78</v>
      </c>
      <c r="E307" s="15">
        <v>32553000000</v>
      </c>
      <c r="F307" s="53" t="s">
        <v>497</v>
      </c>
      <c r="G307">
        <v>26.084706925863</v>
      </c>
      <c r="H307" s="27">
        <v>41.7032733456143</v>
      </c>
      <c r="I307" s="16">
        <f>H307/G307</f>
        <v>1.59876334682011</v>
      </c>
      <c r="J307" s="6">
        <v>1.66</v>
      </c>
      <c r="K307" s="6">
        <v>1.21872505422154</v>
      </c>
      <c r="L307" s="6">
        <v>13.0569</v>
      </c>
      <c r="M307" s="6">
        <v>11.849</v>
      </c>
      <c r="N307" s="6"/>
      <c r="O307" s="6"/>
      <c r="P307" s="6"/>
      <c r="Q307" s="6">
        <v>10.06</v>
      </c>
      <c r="R307" s="4">
        <f>B307</f>
        <v>11.08</v>
      </c>
      <c r="S307" s="19">
        <f>B307/Q307-1</f>
        <v>0.101391650099403</v>
      </c>
      <c r="T307" s="14">
        <v>0.154134498423653</v>
      </c>
      <c r="U307" s="14">
        <v>0.210004424433282</v>
      </c>
      <c r="V307" s="14">
        <v>-0.78411339585305</v>
      </c>
      <c r="W307" s="31" t="s">
        <v>497</v>
      </c>
      <c r="X307" s="6">
        <v>-1.25</v>
      </c>
      <c r="Y307" s="61" t="s">
        <v>997</v>
      </c>
      <c r="Z307" s="4"/>
      <c r="AA307" s="4"/>
      <c r="AB307" s="4"/>
      <c r="AC307" s="6"/>
      <c r="AD307" s="4">
        <v>0.10223642172524</v>
      </c>
      <c r="AE307" s="6">
        <v>0.298722044728435</v>
      </c>
      <c r="AH307" s="4">
        <v>1.26</v>
      </c>
    </row>
    <row r="308" ht="14.25" spans="1:34">
      <c r="A308" s="37">
        <v>806</v>
      </c>
      <c r="B308" s="6">
        <v>6.81</v>
      </c>
      <c r="C308" s="6">
        <v>5.34</v>
      </c>
      <c r="D308" s="6">
        <v>18.1</v>
      </c>
      <c r="E308" s="15">
        <v>14288000000</v>
      </c>
      <c r="F308" s="47" t="s">
        <v>278</v>
      </c>
      <c r="G308">
        <v>11.8942731277533</v>
      </c>
      <c r="H308" s="23">
        <v>42.8775539362766</v>
      </c>
      <c r="I308" s="16">
        <f>H308/G308</f>
        <v>3.60489064575363</v>
      </c>
      <c r="J308" s="6">
        <v>3.08</v>
      </c>
      <c r="K308" s="6">
        <v>6.35526831179005</v>
      </c>
      <c r="L308" s="6">
        <v>14.9198</v>
      </c>
      <c r="M308" s="6">
        <v>13.669</v>
      </c>
      <c r="N308" s="6"/>
      <c r="O308" s="6"/>
      <c r="P308" s="6"/>
      <c r="Q308" s="41">
        <v>6.21</v>
      </c>
      <c r="R308" s="41">
        <f>B308</f>
        <v>6.81</v>
      </c>
      <c r="S308" s="19">
        <f>B308/Q308-1</f>
        <v>0.0966183574879227</v>
      </c>
      <c r="T308" s="14">
        <v>-0.325209748302038</v>
      </c>
      <c r="U308" s="16">
        <v>-0.392358612750036</v>
      </c>
      <c r="V308" s="14">
        <v>-0.361207815275311</v>
      </c>
      <c r="W308" s="31" t="s">
        <v>278</v>
      </c>
      <c r="X308" s="6">
        <v>-1.73</v>
      </c>
      <c r="Y308" s="4" t="s">
        <v>998</v>
      </c>
      <c r="Z308" s="4"/>
      <c r="AA308" s="6"/>
      <c r="AB308" s="6"/>
      <c r="AC308" s="4"/>
      <c r="AD308" s="4">
        <v>0.242656449553001</v>
      </c>
      <c r="AE308" s="6">
        <v>0.473818646232439</v>
      </c>
      <c r="AF308" s="4">
        <v>1.02</v>
      </c>
      <c r="AG308" s="4">
        <v>0.65</v>
      </c>
      <c r="AH308" s="4">
        <v>0.62</v>
      </c>
    </row>
    <row r="309" ht="15" hidden="1" spans="1:34">
      <c r="A309" s="38">
        <v>550</v>
      </c>
      <c r="B309" s="4">
        <v>2.47</v>
      </c>
      <c r="C309" s="4">
        <v>1.15</v>
      </c>
      <c r="D309" s="4">
        <v>4.5</v>
      </c>
      <c r="E309" s="13">
        <v>874000000</v>
      </c>
      <c r="F309" s="45" t="s">
        <v>357</v>
      </c>
      <c r="G309">
        <v>39.2724843626647</v>
      </c>
      <c r="H309" s="28">
        <v>31.9783555496899</v>
      </c>
      <c r="I309" s="17">
        <f>H309/G309</f>
        <v>0.814268719401179</v>
      </c>
      <c r="J309" s="4">
        <v>5.64</v>
      </c>
      <c r="K309" s="4">
        <v>2.28009828009828</v>
      </c>
      <c r="L309" s="4">
        <v>9.8131</v>
      </c>
      <c r="M309" s="4">
        <v>9.548</v>
      </c>
      <c r="N309" s="4"/>
      <c r="O309" s="4"/>
      <c r="P309" s="4"/>
      <c r="Q309" s="4">
        <v>2.26</v>
      </c>
      <c r="R309" s="4">
        <f>B309</f>
        <v>2.47</v>
      </c>
      <c r="S309" s="18">
        <f>B309/Q309-1</f>
        <v>0.0929203539823011</v>
      </c>
      <c r="T309" s="14">
        <v>1.3013698630137</v>
      </c>
      <c r="U309" s="14">
        <v>4.6</v>
      </c>
      <c r="V309" s="14">
        <v>-0.946428571428571</v>
      </c>
      <c r="W309" s="31" t="s">
        <v>357</v>
      </c>
      <c r="X309" s="4">
        <v>0.82</v>
      </c>
      <c r="Y309" s="4"/>
      <c r="Z309" s="4"/>
      <c r="AA309" s="4"/>
      <c r="AB309" s="4"/>
      <c r="AC309" s="4"/>
      <c r="AD309" s="4">
        <v>0</v>
      </c>
      <c r="AE309" s="4">
        <v>0</v>
      </c>
      <c r="AF309" s="4">
        <v>1.1</v>
      </c>
      <c r="AG309" s="4">
        <v>1.48</v>
      </c>
      <c r="AH309" s="4">
        <v>0.89</v>
      </c>
    </row>
    <row r="310" s="6" customFormat="1" ht="15" hidden="1" spans="1:34">
      <c r="A310" s="43">
        <v>3333</v>
      </c>
      <c r="B310" s="4">
        <v>5.3</v>
      </c>
      <c r="C310" s="4">
        <v>2.89</v>
      </c>
      <c r="D310" s="4">
        <v>8.4</v>
      </c>
      <c r="E310" s="13">
        <v>71709000000</v>
      </c>
      <c r="F310" s="46" t="s">
        <v>688</v>
      </c>
      <c r="G310">
        <v>12.8312412831241</v>
      </c>
      <c r="H310" s="28">
        <v>29.2490629442937</v>
      </c>
      <c r="I310" s="17">
        <f>H310/G310</f>
        <v>2.27951936207158</v>
      </c>
      <c r="J310" s="4">
        <v>0.55</v>
      </c>
      <c r="K310" s="14">
        <v>0.4096808458931</v>
      </c>
      <c r="L310" s="4">
        <v>4.5703</v>
      </c>
      <c r="M310" s="4">
        <v>4.562</v>
      </c>
      <c r="N310" s="4"/>
      <c r="O310" s="4"/>
      <c r="P310" s="6"/>
      <c r="Q310" s="4">
        <v>4.87</v>
      </c>
      <c r="R310" s="4">
        <f>B310</f>
        <v>5.3</v>
      </c>
      <c r="S310" s="18">
        <f>B310/Q310-1</f>
        <v>0.0882956878850103</v>
      </c>
      <c r="T310" s="16">
        <v>-0.0113219500492614</v>
      </c>
      <c r="U310" s="14">
        <v>0.079859574143326</v>
      </c>
      <c r="V310" s="14">
        <v>-0.354939290711974</v>
      </c>
      <c r="W310" s="31" t="s">
        <v>688</v>
      </c>
      <c r="X310" s="6">
        <v>1.15</v>
      </c>
      <c r="Y310" s="4"/>
      <c r="Z310" s="4"/>
      <c r="AA310" s="6"/>
      <c r="AB310" s="6"/>
      <c r="AC310" s="4"/>
      <c r="AD310" s="6">
        <v>0.11340206185567</v>
      </c>
      <c r="AE310" s="4">
        <v>0.175257731958763</v>
      </c>
      <c r="AH310" s="6">
        <v>0.34</v>
      </c>
    </row>
    <row r="311" ht="14.25" hidden="1" spans="1:34">
      <c r="A311" s="38">
        <v>6230</v>
      </c>
      <c r="B311" s="4">
        <v>25</v>
      </c>
      <c r="C311" s="4">
        <v>13.7</v>
      </c>
      <c r="D311" s="4">
        <v>53</v>
      </c>
      <c r="E311" s="13">
        <v>0</v>
      </c>
      <c r="F311" s="46" t="s">
        <v>999</v>
      </c>
      <c r="G311">
        <v>45.1994739149496</v>
      </c>
      <c r="H311" s="56">
        <v>56.7889620570712</v>
      </c>
      <c r="I311" s="14">
        <f>H311/G311</f>
        <v>1.25640758925489</v>
      </c>
      <c r="J311" s="4">
        <v>0.02</v>
      </c>
      <c r="K311" s="4">
        <v>0.0182158249785871</v>
      </c>
      <c r="L311" s="4"/>
      <c r="M311" s="4"/>
      <c r="N311" s="4"/>
      <c r="O311" s="4"/>
      <c r="P311" s="4"/>
      <c r="Q311" s="4">
        <v>23</v>
      </c>
      <c r="R311" s="61">
        <f>B311</f>
        <v>25</v>
      </c>
      <c r="S311" s="18">
        <f>B311/Q311-1</f>
        <v>0.0869565217391304</v>
      </c>
      <c r="T311" s="14">
        <v>0</v>
      </c>
      <c r="U311" s="14">
        <v>0</v>
      </c>
      <c r="V311" s="14">
        <v>0</v>
      </c>
      <c r="W311" s="31" t="s">
        <v>999</v>
      </c>
      <c r="X311" s="4">
        <v>0</v>
      </c>
      <c r="Y311" s="4"/>
      <c r="Z311" s="4"/>
      <c r="AA311" s="4"/>
      <c r="AB311" s="4"/>
      <c r="AC311" s="4"/>
      <c r="AD311" s="4"/>
      <c r="AE311" s="4"/>
      <c r="AF311" s="4">
        <v>3.86</v>
      </c>
      <c r="AG311" s="4">
        <v>4.35</v>
      </c>
      <c r="AH311" s="4">
        <v>5.6</v>
      </c>
    </row>
    <row r="312" s="6" customFormat="1" ht="14.25" spans="1:34">
      <c r="A312" s="65">
        <v>3799</v>
      </c>
      <c r="B312" s="4">
        <v>3.77</v>
      </c>
      <c r="C312" s="4">
        <v>3.37</v>
      </c>
      <c r="D312" s="4">
        <v>5.28</v>
      </c>
      <c r="E312" s="13">
        <v>57104000000</v>
      </c>
      <c r="F312" s="46" t="s">
        <v>154</v>
      </c>
      <c r="G312">
        <v>10.6105300795566</v>
      </c>
      <c r="H312" s="25">
        <v>40.0560224089636</v>
      </c>
      <c r="I312" s="17">
        <f>H312/G312</f>
        <v>3.77511982046399</v>
      </c>
      <c r="J312" s="4">
        <v>5.14</v>
      </c>
      <c r="K312" s="14">
        <v>20.0925</v>
      </c>
      <c r="L312" s="4"/>
      <c r="M312" s="4"/>
      <c r="N312" s="4"/>
      <c r="O312" s="4"/>
      <c r="P312" s="4"/>
      <c r="Q312" s="4">
        <v>3.47</v>
      </c>
      <c r="R312" s="4">
        <f>B312</f>
        <v>3.77</v>
      </c>
      <c r="S312" s="18">
        <f>B312/Q312-1</f>
        <v>0.0864553314121037</v>
      </c>
      <c r="T312" s="14">
        <v>0.0204368454978708</v>
      </c>
      <c r="U312" s="14">
        <v>0.047375784986822</v>
      </c>
      <c r="V312" s="14">
        <v>-0.129050296685203</v>
      </c>
      <c r="W312" s="31" t="s">
        <v>154</v>
      </c>
      <c r="X312" s="4">
        <v>2.45</v>
      </c>
      <c r="Y312" s="61" t="s">
        <v>1000</v>
      </c>
      <c r="Z312" s="4"/>
      <c r="AA312" s="4"/>
      <c r="AB312" s="4"/>
      <c r="AC312" s="4"/>
      <c r="AD312" s="4">
        <v>0</v>
      </c>
      <c r="AE312" s="4">
        <v>0.373464373464374</v>
      </c>
      <c r="AF312" s="6">
        <v>3.588</v>
      </c>
      <c r="AG312" s="6">
        <v>3.736</v>
      </c>
      <c r="AH312" s="6">
        <v>2.085</v>
      </c>
    </row>
    <row r="313" ht="15" hidden="1" spans="1:34">
      <c r="A313" s="38">
        <v>2868</v>
      </c>
      <c r="B313" s="4">
        <v>2.93</v>
      </c>
      <c r="C313" s="4">
        <v>2.6</v>
      </c>
      <c r="D313" s="4">
        <v>7.39</v>
      </c>
      <c r="E313" s="13">
        <v>9296000000</v>
      </c>
      <c r="F313" s="46" t="s">
        <v>1001</v>
      </c>
      <c r="G313">
        <v>13.6516708401692</v>
      </c>
      <c r="H313" s="28">
        <v>30.0390117035111</v>
      </c>
      <c r="I313" s="14">
        <f>H313/G313</f>
        <v>2.20039085729514</v>
      </c>
      <c r="J313" s="4">
        <v>0.77</v>
      </c>
      <c r="K313" s="4">
        <v>0.403792372646187</v>
      </c>
      <c r="L313" s="4">
        <v>3.9841</v>
      </c>
      <c r="M313" s="4">
        <v>2.659</v>
      </c>
      <c r="N313" s="4"/>
      <c r="O313" s="4"/>
      <c r="P313" s="4"/>
      <c r="Q313" s="33">
        <v>2.7</v>
      </c>
      <c r="R313" s="4">
        <f>B313</f>
        <v>2.93</v>
      </c>
      <c r="S313" s="18">
        <f>B313/Q313-1</f>
        <v>0.0851851851851853</v>
      </c>
      <c r="T313" s="14">
        <v>-0.170802669861373</v>
      </c>
      <c r="U313" s="14">
        <v>-0.249070055796652</v>
      </c>
      <c r="V313" s="14">
        <v>-0.718064809081527</v>
      </c>
      <c r="W313" s="34" t="s">
        <v>1001</v>
      </c>
      <c r="X313" s="4">
        <v>-0.68</v>
      </c>
      <c r="Y313" s="4"/>
      <c r="Z313" s="4"/>
      <c r="AA313" s="4"/>
      <c r="AB313" s="4"/>
      <c r="AC313" s="4"/>
      <c r="AD313" s="4">
        <v>0.251322751322752</v>
      </c>
      <c r="AE313" s="4">
        <v>0.240740740740741</v>
      </c>
      <c r="AF313" s="4">
        <v>3.2</v>
      </c>
      <c r="AG313" s="4">
        <v>2.8</v>
      </c>
      <c r="AH313" s="4">
        <v>3.85</v>
      </c>
    </row>
    <row r="314" s="6" customFormat="1" ht="15" spans="1:34">
      <c r="A314" s="38">
        <v>729</v>
      </c>
      <c r="B314" s="4">
        <v>0.385</v>
      </c>
      <c r="C314" s="4">
        <v>0.3</v>
      </c>
      <c r="D314" s="4">
        <v>0.88</v>
      </c>
      <c r="E314" s="13">
        <v>9293700000</v>
      </c>
      <c r="F314" s="47" t="s">
        <v>1002</v>
      </c>
      <c r="G314">
        <v>22.0777196823888</v>
      </c>
      <c r="H314" s="27">
        <v>35.0657770334153</v>
      </c>
      <c r="I314" s="14">
        <f>H314/G314</f>
        <v>1.58828799069258</v>
      </c>
      <c r="J314" s="4">
        <v>2.87</v>
      </c>
      <c r="K314" s="4">
        <v>22.5903614457831</v>
      </c>
      <c r="L314" s="4"/>
      <c r="M314" s="4"/>
      <c r="N314" s="4"/>
      <c r="O314" s="4"/>
      <c r="P314" s="4"/>
      <c r="Q314" s="32">
        <v>0.355</v>
      </c>
      <c r="R314" s="6">
        <f>B314</f>
        <v>0.385</v>
      </c>
      <c r="S314" s="19">
        <f>B314/Q314-1</f>
        <v>0.0845070422535212</v>
      </c>
      <c r="T314" s="14">
        <v>0.40335481043904</v>
      </c>
      <c r="U314" s="14">
        <v>1.71352098083233</v>
      </c>
      <c r="V314" s="16">
        <v>-0.76275932289678</v>
      </c>
      <c r="W314" s="31" t="s">
        <v>1002</v>
      </c>
      <c r="X314" s="6">
        <v>0</v>
      </c>
      <c r="Y314" s="4" t="s">
        <v>1003</v>
      </c>
      <c r="Z314" s="4"/>
      <c r="AA314" s="4"/>
      <c r="AB314" s="4"/>
      <c r="AC314" s="4"/>
      <c r="AD314" s="4">
        <v>0.162790697674419</v>
      </c>
      <c r="AE314" s="4">
        <v>0.348837209302326</v>
      </c>
      <c r="AF314" s="6">
        <v>1.662</v>
      </c>
      <c r="AG314" s="6">
        <v>1.34</v>
      </c>
      <c r="AH314" s="6">
        <v>1.34</v>
      </c>
    </row>
    <row r="315" ht="15" spans="1:34">
      <c r="A315" s="37">
        <v>439</v>
      </c>
      <c r="B315" s="6">
        <v>2.83</v>
      </c>
      <c r="C315" s="6">
        <v>1.11</v>
      </c>
      <c r="D315" s="6">
        <v>6.38</v>
      </c>
      <c r="E315" s="15">
        <v>17050000000</v>
      </c>
      <c r="F315" s="57" t="s">
        <v>566</v>
      </c>
      <c r="G315">
        <v>18.0193474340056</v>
      </c>
      <c r="H315" s="23">
        <v>37.4570446735395</v>
      </c>
      <c r="I315" s="16">
        <f>H315/G315</f>
        <v>2.07871260658706</v>
      </c>
      <c r="J315" s="6">
        <v>8.45</v>
      </c>
      <c r="K315" s="6">
        <v>71.5068493150685</v>
      </c>
      <c r="L315" s="6"/>
      <c r="M315" s="6"/>
      <c r="N315" s="6"/>
      <c r="O315" s="6"/>
      <c r="P315" s="6"/>
      <c r="Q315" s="6">
        <v>2.61</v>
      </c>
      <c r="R315" s="4">
        <f>B315</f>
        <v>2.83</v>
      </c>
      <c r="S315" s="68">
        <f>B315/Q315-1</f>
        <v>0.0842911877394636</v>
      </c>
      <c r="T315" s="14">
        <v>-0.330146231721035</v>
      </c>
      <c r="U315" s="16">
        <v>-0.3430777716492</v>
      </c>
      <c r="V315" s="16">
        <v>-0.612510495382032</v>
      </c>
      <c r="W315" s="31" t="s">
        <v>566</v>
      </c>
      <c r="X315" s="4">
        <v>1.8</v>
      </c>
      <c r="Y315" s="61" t="s">
        <v>1004</v>
      </c>
      <c r="Z315" s="6"/>
      <c r="AA315" s="4"/>
      <c r="AB315" s="4"/>
      <c r="AC315" s="6"/>
      <c r="AD315" s="4">
        <v>0.543624161073825</v>
      </c>
      <c r="AE315" s="4">
        <v>0.557046979865772</v>
      </c>
      <c r="AF315" s="4">
        <v>3.22</v>
      </c>
      <c r="AG315" s="4">
        <v>2.87</v>
      </c>
      <c r="AH315" s="4">
        <v>2.47</v>
      </c>
    </row>
    <row r="316" ht="15" hidden="1" spans="1:34">
      <c r="A316" s="38">
        <v>1883</v>
      </c>
      <c r="B316" s="4">
        <v>2.67</v>
      </c>
      <c r="C316" s="4">
        <v>2.28</v>
      </c>
      <c r="D316" s="4">
        <v>4.42</v>
      </c>
      <c r="E316" s="13">
        <v>9466000000</v>
      </c>
      <c r="F316" s="46" t="s">
        <v>502</v>
      </c>
      <c r="G316">
        <v>7.86806707204717</v>
      </c>
      <c r="H316" s="28">
        <v>26.598303582732</v>
      </c>
      <c r="I316" s="17">
        <f>H316/G316</f>
        <v>3.38053849047978</v>
      </c>
      <c r="J316" s="4">
        <v>1.25</v>
      </c>
      <c r="K316" s="4">
        <v>0.960049550944564</v>
      </c>
      <c r="L316" s="4">
        <v>11.5902</v>
      </c>
      <c r="M316" s="4">
        <v>11.393</v>
      </c>
      <c r="N316" s="4"/>
      <c r="O316" s="4"/>
      <c r="P316" s="4"/>
      <c r="Q316" s="4">
        <v>2.47</v>
      </c>
      <c r="R316" s="4">
        <f>B316</f>
        <v>2.67</v>
      </c>
      <c r="S316" s="18">
        <f>B316/Q316-1</f>
        <v>0.0809716599190282</v>
      </c>
      <c r="T316" s="14">
        <v>-0.218920478388586</v>
      </c>
      <c r="U316" s="16">
        <v>-0.490949182093226</v>
      </c>
      <c r="V316" s="14">
        <v>0.775334945099224</v>
      </c>
      <c r="W316" s="31" t="s">
        <v>502</v>
      </c>
      <c r="X316" s="4">
        <v>0.75</v>
      </c>
      <c r="Y316" s="4"/>
      <c r="Z316" s="4"/>
      <c r="AA316" s="6"/>
      <c r="AB316" s="6"/>
      <c r="AC316" s="4"/>
      <c r="AD316" s="4">
        <v>0.163822416230208</v>
      </c>
      <c r="AE316" s="4">
        <v>0.204778910414122</v>
      </c>
      <c r="AF316" s="4">
        <v>8.98</v>
      </c>
      <c r="AG316" s="4">
        <v>6.96</v>
      </c>
      <c r="AH316" s="4">
        <v>4.79</v>
      </c>
    </row>
    <row r="317" ht="15" hidden="1" spans="1:34">
      <c r="A317" s="38">
        <v>8057</v>
      </c>
      <c r="B317" s="4">
        <v>10.82</v>
      </c>
      <c r="C317" s="4">
        <v>5.8</v>
      </c>
      <c r="D317" s="4">
        <v>10.6</v>
      </c>
      <c r="E317" s="13">
        <v>4344000000</v>
      </c>
      <c r="F317" s="46" t="s">
        <v>294</v>
      </c>
      <c r="G317">
        <v>89.9260572602905</v>
      </c>
      <c r="H317" s="28">
        <v>3.50895352447987</v>
      </c>
      <c r="I317" s="17">
        <f>H317/G317</f>
        <v>0.0390204311340285</v>
      </c>
      <c r="J317" s="4">
        <v>38.13</v>
      </c>
      <c r="K317" s="14">
        <v>33.0626826891848</v>
      </c>
      <c r="L317" s="4">
        <v>287.5909</v>
      </c>
      <c r="Q317" s="4">
        <v>10.02</v>
      </c>
      <c r="R317" s="4">
        <f>B317</f>
        <v>10.82</v>
      </c>
      <c r="S317" s="18">
        <f>B317/Q317-1</f>
        <v>0.0798403193612776</v>
      </c>
      <c r="T317" s="16">
        <v>0</v>
      </c>
      <c r="U317" s="14">
        <v>0</v>
      </c>
      <c r="V317" s="14">
        <v>0</v>
      </c>
      <c r="W317" s="31" t="s">
        <v>294</v>
      </c>
      <c r="X317" s="4">
        <v>0</v>
      </c>
      <c r="Y317" s="6"/>
      <c r="Z317" s="6"/>
      <c r="AD317" s="4">
        <v>0</v>
      </c>
      <c r="AE317" s="4">
        <v>0</v>
      </c>
      <c r="AF317" s="4">
        <v>0.78</v>
      </c>
      <c r="AG317" s="4">
        <v>0.69</v>
      </c>
      <c r="AH317" s="4">
        <v>0.82</v>
      </c>
    </row>
    <row r="318" s="6" customFormat="1" ht="15" hidden="1" spans="1:34">
      <c r="A318" s="38">
        <v>3839</v>
      </c>
      <c r="B318" s="4">
        <v>2.5</v>
      </c>
      <c r="C318" s="4">
        <v>1.5</v>
      </c>
      <c r="D318" s="4">
        <v>8</v>
      </c>
      <c r="E318" s="13">
        <v>583000000</v>
      </c>
      <c r="F318" s="50" t="s">
        <v>1005</v>
      </c>
      <c r="G318">
        <v>40.0011999760005</v>
      </c>
      <c r="H318" s="56">
        <v>13.5976371691469</v>
      </c>
      <c r="I318" s="14">
        <f>H318/G318</f>
        <v>0.339930731510681</v>
      </c>
      <c r="J318" s="4">
        <v>0.46</v>
      </c>
      <c r="K318" s="4">
        <v>0.661755052792527</v>
      </c>
      <c r="L318" s="4">
        <v>8.3893</v>
      </c>
      <c r="M318" s="4">
        <v>8.231</v>
      </c>
      <c r="N318" s="4"/>
      <c r="O318" s="4"/>
      <c r="P318" s="4"/>
      <c r="Q318" s="4">
        <v>2.32</v>
      </c>
      <c r="R318" s="61">
        <f>B318</f>
        <v>2.5</v>
      </c>
      <c r="S318" s="18">
        <f>B318/Q318-1</f>
        <v>0.0775862068965518</v>
      </c>
      <c r="T318" s="14">
        <v>0.634085213032581</v>
      </c>
      <c r="U318" s="14">
        <v>0.57487922705314</v>
      </c>
      <c r="V318" s="14">
        <v>-0.331288343558282</v>
      </c>
      <c r="W318" s="31" t="s">
        <v>1005</v>
      </c>
      <c r="X318" s="4">
        <v>2.46</v>
      </c>
      <c r="Y318" s="4"/>
      <c r="Z318" s="4"/>
      <c r="AA318" s="4"/>
      <c r="AB318" s="4"/>
      <c r="AC318" s="4"/>
      <c r="AD318" s="4"/>
      <c r="AE318" s="4"/>
      <c r="AF318" s="6">
        <v>1.25</v>
      </c>
      <c r="AG318" s="6">
        <v>1</v>
      </c>
      <c r="AH318" s="6">
        <v>0.89</v>
      </c>
    </row>
    <row r="319" ht="15" hidden="1" spans="1:34">
      <c r="A319" s="37">
        <v>8325</v>
      </c>
      <c r="B319" s="6">
        <v>1.56</v>
      </c>
      <c r="C319" s="6">
        <v>0.9</v>
      </c>
      <c r="D319" s="6">
        <v>4.77</v>
      </c>
      <c r="E319" s="15">
        <v>2700000000</v>
      </c>
      <c r="F319" s="53" t="s">
        <v>777</v>
      </c>
      <c r="G319">
        <v>23.0769230769231</v>
      </c>
      <c r="H319" s="26">
        <v>35.2630867036386</v>
      </c>
      <c r="I319" s="16">
        <f>H319/G319</f>
        <v>1.528067090491</v>
      </c>
      <c r="J319" s="6">
        <v>1.74</v>
      </c>
      <c r="K319" s="16">
        <v>4.32949114422266</v>
      </c>
      <c r="L319" s="6"/>
      <c r="M319" s="6"/>
      <c r="N319" s="6"/>
      <c r="O319" s="6"/>
      <c r="P319" s="6"/>
      <c r="Q319" s="6">
        <v>1.45</v>
      </c>
      <c r="R319" s="4">
        <f>B319</f>
        <v>1.56</v>
      </c>
      <c r="S319" s="18">
        <f>B319/Q319-1</f>
        <v>0.0758620689655174</v>
      </c>
      <c r="T319" s="14">
        <v>-0.0566037735849057</v>
      </c>
      <c r="U319" s="14">
        <v>0.0050251256281407</v>
      </c>
      <c r="V319" s="14">
        <v>-0.545</v>
      </c>
      <c r="W319" s="31" t="s">
        <v>777</v>
      </c>
      <c r="X319" s="6">
        <v>-1.27</v>
      </c>
      <c r="AA319" s="6"/>
      <c r="AB319" s="6"/>
      <c r="AD319" s="4">
        <v>0.694915254237288</v>
      </c>
      <c r="AE319" s="4">
        <v>0.949152542372881</v>
      </c>
      <c r="AF319" s="4">
        <v>1.44662</v>
      </c>
      <c r="AG319" s="4">
        <v>1.37679</v>
      </c>
      <c r="AH319" s="4">
        <v>1.33688</v>
      </c>
    </row>
    <row r="320" ht="15" hidden="1" spans="1:34">
      <c r="A320" s="38">
        <v>1480</v>
      </c>
      <c r="B320" s="4">
        <v>2.04</v>
      </c>
      <c r="C320" s="4">
        <v>1.32</v>
      </c>
      <c r="D320" s="4">
        <v>102</v>
      </c>
      <c r="E320" s="13">
        <v>504000000</v>
      </c>
      <c r="F320" s="46" t="s">
        <v>121</v>
      </c>
      <c r="G320">
        <v>15.6829679595278</v>
      </c>
      <c r="H320" s="25">
        <v>59.311773140035</v>
      </c>
      <c r="I320" s="14">
        <f>H320/G320</f>
        <v>3.78192273892912</v>
      </c>
      <c r="J320" s="4">
        <v>1.07</v>
      </c>
      <c r="K320" s="4">
        <v>0.709423145825868</v>
      </c>
      <c r="L320" s="4">
        <v>10.7489</v>
      </c>
      <c r="M320" s="4">
        <v>7.907</v>
      </c>
      <c r="N320" s="4"/>
      <c r="O320" s="4"/>
      <c r="P320" s="4"/>
      <c r="Q320" s="4">
        <v>1.9</v>
      </c>
      <c r="R320" s="4">
        <f>B320</f>
        <v>2.04</v>
      </c>
      <c r="S320" s="18">
        <f>B320/Q320-1</f>
        <v>0.0736842105263158</v>
      </c>
      <c r="T320" s="16">
        <v>0.407407407407407</v>
      </c>
      <c r="U320" s="14">
        <v>0.80952380952381</v>
      </c>
      <c r="V320" s="16">
        <v>-0.421052631578947</v>
      </c>
      <c r="W320" s="31" t="s">
        <v>121</v>
      </c>
      <c r="X320" s="6">
        <v>0</v>
      </c>
      <c r="Y320" s="6"/>
      <c r="Z320" s="6"/>
      <c r="AA320" s="6"/>
      <c r="AB320" s="6"/>
      <c r="AC320" s="4"/>
      <c r="AD320" s="6">
        <v>0.427230046948357</v>
      </c>
      <c r="AE320" s="4">
        <v>0.676056338028169</v>
      </c>
      <c r="AF320" s="4">
        <v>4.27</v>
      </c>
      <c r="AG320" s="4">
        <v>4.91</v>
      </c>
      <c r="AH320" s="4">
        <v>8.78</v>
      </c>
    </row>
    <row r="321" ht="15" hidden="1" spans="1:34">
      <c r="A321" s="38">
        <v>916</v>
      </c>
      <c r="B321" s="4">
        <v>5.73</v>
      </c>
      <c r="C321" s="4">
        <v>3.6</v>
      </c>
      <c r="D321" s="4">
        <v>11.36</v>
      </c>
      <c r="E321" s="13">
        <v>52397000000</v>
      </c>
      <c r="F321" s="59" t="s">
        <v>1006</v>
      </c>
      <c r="G321">
        <v>37.1740905949614</v>
      </c>
      <c r="H321" s="49">
        <v>27.4047649382087</v>
      </c>
      <c r="I321" s="14">
        <f>H321/G321</f>
        <v>0.737200681969694</v>
      </c>
      <c r="J321" s="4">
        <v>0.92</v>
      </c>
      <c r="K321" s="4">
        <v>1.72116150863248</v>
      </c>
      <c r="L321" s="4">
        <v>12.1296</v>
      </c>
      <c r="M321" s="4">
        <v>12.129</v>
      </c>
      <c r="N321" s="4"/>
      <c r="O321" s="4"/>
      <c r="P321" s="4"/>
      <c r="Q321" s="4">
        <v>5.34</v>
      </c>
      <c r="R321" s="61">
        <f>B321</f>
        <v>5.73</v>
      </c>
      <c r="S321" s="18">
        <f>B321/Q321-1</f>
        <v>0.0730337078651686</v>
      </c>
      <c r="T321" s="14">
        <v>-0.42850914996356</v>
      </c>
      <c r="U321" s="14">
        <v>-0.187270171652492</v>
      </c>
      <c r="V321" s="14">
        <v>-0.366909491116818</v>
      </c>
      <c r="W321" s="31" t="s">
        <v>1006</v>
      </c>
      <c r="X321" s="4">
        <v>0.17</v>
      </c>
      <c r="Y321" s="4"/>
      <c r="Z321" s="4"/>
      <c r="AA321" s="4"/>
      <c r="AB321" s="4"/>
      <c r="AC321" s="4"/>
      <c r="AD321" s="4"/>
      <c r="AE321" s="4"/>
      <c r="AF321" s="4">
        <v>18.798</v>
      </c>
      <c r="AG321" s="4">
        <v>14.34</v>
      </c>
      <c r="AH321" s="4">
        <v>9.43</v>
      </c>
    </row>
    <row r="322" s="6" customFormat="1" ht="15" hidden="1" spans="1:34">
      <c r="A322" s="38">
        <v>1662</v>
      </c>
      <c r="B322" s="4">
        <v>1.04</v>
      </c>
      <c r="C322" s="4">
        <v>0.81</v>
      </c>
      <c r="D322" s="4">
        <v>1.9</v>
      </c>
      <c r="E322" s="13">
        <v>535000000</v>
      </c>
      <c r="F322" s="59" t="s">
        <v>1007</v>
      </c>
      <c r="G322">
        <v>22.1183800623053</v>
      </c>
      <c r="H322" s="49">
        <v>82.6817683595177</v>
      </c>
      <c r="I322" s="14">
        <f>H322/G322</f>
        <v>3.73814755540918</v>
      </c>
      <c r="J322" s="4">
        <v>2.42</v>
      </c>
      <c r="K322" s="4">
        <v>6.6278</v>
      </c>
      <c r="L322" s="4"/>
      <c r="M322" s="4"/>
      <c r="N322" s="4"/>
      <c r="O322" s="4"/>
      <c r="P322" s="4"/>
      <c r="Q322" s="4">
        <v>0.97</v>
      </c>
      <c r="R322" s="61">
        <f>B322</f>
        <v>1.04</v>
      </c>
      <c r="S322" s="18">
        <f>B322/Q322-1</f>
        <v>0.0721649484536082</v>
      </c>
      <c r="T322" s="14">
        <v>0.45398773006135</v>
      </c>
      <c r="U322" s="14">
        <v>0.462962962962963</v>
      </c>
      <c r="V322" s="14">
        <v>0</v>
      </c>
      <c r="W322" s="31" t="s">
        <v>1007</v>
      </c>
      <c r="X322" s="4">
        <v>0.97</v>
      </c>
      <c r="Y322" s="4"/>
      <c r="Z322" s="4"/>
      <c r="AA322" s="4"/>
      <c r="AB322" s="4"/>
      <c r="AC322" s="4"/>
      <c r="AD322" s="4"/>
      <c r="AE322" s="4"/>
      <c r="AH322" s="6">
        <v>42.4</v>
      </c>
    </row>
    <row r="323" s="6" customFormat="1" ht="15" hidden="1" spans="1:34">
      <c r="A323" s="43">
        <v>880</v>
      </c>
      <c r="B323" s="4">
        <v>5.66</v>
      </c>
      <c r="C323" s="4">
        <v>4.43</v>
      </c>
      <c r="D323" s="4">
        <v>21</v>
      </c>
      <c r="E323" s="13">
        <v>31171000000</v>
      </c>
      <c r="F323" s="50" t="s">
        <v>1008</v>
      </c>
      <c r="G323">
        <v>22.2636815920398</v>
      </c>
      <c r="H323" s="56">
        <v>8.66021949364338</v>
      </c>
      <c r="I323" s="14">
        <f>H323/G323</f>
        <v>0.388984160496608</v>
      </c>
      <c r="J323" s="4">
        <v>1.26</v>
      </c>
      <c r="K323" s="4">
        <v>0.597982957485711</v>
      </c>
      <c r="L323" s="4">
        <v>11.9331</v>
      </c>
      <c r="M323" s="4">
        <v>11.932</v>
      </c>
      <c r="N323" s="4"/>
      <c r="O323" s="4"/>
      <c r="P323" s="4"/>
      <c r="Q323" s="4">
        <v>5.28</v>
      </c>
      <c r="R323" s="61">
        <f>B323</f>
        <v>5.66</v>
      </c>
      <c r="S323" s="18">
        <f>B323/Q323-1</f>
        <v>0.071969696969697</v>
      </c>
      <c r="T323" s="14">
        <v>0.17376918344612</v>
      </c>
      <c r="U323" s="14">
        <v>0.203915616419667</v>
      </c>
      <c r="V323" s="14">
        <v>0.387624727313936</v>
      </c>
      <c r="W323" s="31" t="s">
        <v>1008</v>
      </c>
      <c r="X323" s="4">
        <v>3.1</v>
      </c>
      <c r="Y323" s="4"/>
      <c r="Z323" s="4"/>
      <c r="AA323" s="4"/>
      <c r="AB323" s="4"/>
      <c r="AC323" s="4"/>
      <c r="AD323" s="4"/>
      <c r="AE323" s="4"/>
      <c r="AF323" s="6">
        <v>0.28913</v>
      </c>
      <c r="AG323" s="6">
        <v>0.73</v>
      </c>
      <c r="AH323" s="6">
        <v>0.34</v>
      </c>
    </row>
    <row r="324" ht="15" hidden="1" spans="1:34">
      <c r="A324" s="38">
        <v>8355</v>
      </c>
      <c r="B324" s="4">
        <v>0.214</v>
      </c>
      <c r="C324" s="4">
        <v>0.195</v>
      </c>
      <c r="D324" s="4">
        <v>6.7</v>
      </c>
      <c r="E324" s="13">
        <v>212000000</v>
      </c>
      <c r="F324" s="46" t="s">
        <v>335</v>
      </c>
      <c r="G324">
        <v>18.224490129696</v>
      </c>
      <c r="H324" s="25">
        <v>58.8789501278976</v>
      </c>
      <c r="I324" s="28">
        <f>H324/G324</f>
        <v>3.23075980227052</v>
      </c>
      <c r="J324" s="4">
        <v>1.81</v>
      </c>
      <c r="K324" s="14">
        <v>1.32100396301188</v>
      </c>
      <c r="L324" s="4">
        <v>41.3138</v>
      </c>
      <c r="M324" s="4">
        <v>29.412</v>
      </c>
      <c r="N324" s="4"/>
      <c r="O324" s="4"/>
      <c r="P324" s="4"/>
      <c r="Q324" s="43">
        <v>0.2</v>
      </c>
      <c r="R324" s="4">
        <f>B324</f>
        <v>0.214</v>
      </c>
      <c r="S324" s="70">
        <f>B324/Q324-1</f>
        <v>0.0699999999999998</v>
      </c>
      <c r="T324" s="14">
        <v>0.754385964912281</v>
      </c>
      <c r="U324" s="16">
        <v>2.125</v>
      </c>
      <c r="V324" s="14">
        <v>-0.51</v>
      </c>
      <c r="W324" s="31" t="s">
        <v>335</v>
      </c>
      <c r="X324" s="4">
        <v>0</v>
      </c>
      <c r="Y324" s="4"/>
      <c r="Z324" s="4"/>
      <c r="AA324" s="4"/>
      <c r="AB324" s="4"/>
      <c r="AC324" s="4"/>
      <c r="AD324" s="4">
        <v>0.0360360360360359</v>
      </c>
      <c r="AE324" s="4">
        <v>0.0360360360360359</v>
      </c>
      <c r="AF324" s="4">
        <v>3.29</v>
      </c>
      <c r="AG324" s="4">
        <v>2.41</v>
      </c>
      <c r="AH324" s="4">
        <v>1.5</v>
      </c>
    </row>
    <row r="325" ht="15" hidden="1" spans="1:34">
      <c r="A325" s="38">
        <v>635</v>
      </c>
      <c r="B325" s="4">
        <v>9.09</v>
      </c>
      <c r="C325" s="4">
        <v>6.77</v>
      </c>
      <c r="D325" s="4">
        <v>9.9</v>
      </c>
      <c r="E325" s="13">
        <v>1992000000</v>
      </c>
      <c r="F325" s="46" t="s">
        <v>384</v>
      </c>
      <c r="G325">
        <v>8.46681922196796</v>
      </c>
      <c r="H325" s="28">
        <v>21.8917601170161</v>
      </c>
      <c r="I325" s="17">
        <f>H325/G325</f>
        <v>2.58559437057731</v>
      </c>
      <c r="J325" s="4">
        <v>0.3</v>
      </c>
      <c r="K325" s="4">
        <v>1.22221910033435</v>
      </c>
      <c r="L325" s="4">
        <v>2.4672</v>
      </c>
      <c r="M325" s="4">
        <v>2.572</v>
      </c>
      <c r="N325" s="4"/>
      <c r="O325" s="4"/>
      <c r="P325" s="4"/>
      <c r="Q325" s="4">
        <v>8.5</v>
      </c>
      <c r="R325" s="4">
        <f>B325</f>
        <v>9.09</v>
      </c>
      <c r="S325" s="18">
        <f>B325/Q325-1</f>
        <v>0.0694117647058823</v>
      </c>
      <c r="T325" s="16">
        <v>-0.535048231511254</v>
      </c>
      <c r="U325" s="16">
        <v>-0.58448275862069</v>
      </c>
      <c r="V325" s="14">
        <v>1.88381742738589</v>
      </c>
      <c r="W325" s="5" t="s">
        <v>384</v>
      </c>
      <c r="X325" s="4">
        <v>2.94</v>
      </c>
      <c r="Y325" s="4"/>
      <c r="Z325" s="4"/>
      <c r="AA325" s="4"/>
      <c r="AB325" s="4"/>
      <c r="AC325" s="4"/>
      <c r="AD325" s="4">
        <v>0.064052795031056</v>
      </c>
      <c r="AE325" s="6">
        <v>0.139751552795031</v>
      </c>
      <c r="AF325" s="4">
        <v>2.7</v>
      </c>
      <c r="AG325" s="4">
        <v>1.92</v>
      </c>
      <c r="AH325" s="4">
        <v>3.44</v>
      </c>
    </row>
    <row r="326" s="6" customFormat="1" ht="15" hidden="1" spans="1:34">
      <c r="A326" s="38">
        <v>2000</v>
      </c>
      <c r="B326" s="4">
        <v>0.32</v>
      </c>
      <c r="C326" s="4">
        <v>0.285</v>
      </c>
      <c r="D326" s="4">
        <v>0.78</v>
      </c>
      <c r="E326" s="13">
        <v>831300000</v>
      </c>
      <c r="F326" s="45" t="s">
        <v>129</v>
      </c>
      <c r="G326">
        <v>10.936943355896</v>
      </c>
      <c r="H326" s="28">
        <v>59.3625498007968</v>
      </c>
      <c r="I326" s="17">
        <f>H326/G326</f>
        <v>5.42770935800771</v>
      </c>
      <c r="J326" s="4">
        <v>0.39</v>
      </c>
      <c r="K326" s="4">
        <v>0.321560933071724</v>
      </c>
      <c r="L326" s="4">
        <v>31.4841</v>
      </c>
      <c r="M326" s="4">
        <v>31.915</v>
      </c>
      <c r="N326" s="4"/>
      <c r="O326" s="4"/>
      <c r="P326" s="4"/>
      <c r="Q326" s="4">
        <v>0.3</v>
      </c>
      <c r="R326" s="4">
        <f>B326</f>
        <v>0.32</v>
      </c>
      <c r="S326" s="18">
        <f>B326/Q326-1</f>
        <v>0.0666666666666667</v>
      </c>
      <c r="T326" s="16">
        <v>0.267193308550186</v>
      </c>
      <c r="U326" s="14">
        <v>0.367945823927765</v>
      </c>
      <c r="V326" s="16">
        <v>-0.904840484048405</v>
      </c>
      <c r="W326" s="31" t="s">
        <v>129</v>
      </c>
      <c r="X326" s="4">
        <v>0</v>
      </c>
      <c r="Y326" s="4"/>
      <c r="Z326" s="4"/>
      <c r="AA326" s="6"/>
      <c r="AB326" s="6"/>
      <c r="AC326" s="6"/>
      <c r="AD326" s="4">
        <v>0.26984126984127</v>
      </c>
      <c r="AE326" s="4">
        <v>0.619047619047619</v>
      </c>
      <c r="AF326" s="6">
        <v>1.48</v>
      </c>
      <c r="AG326" s="6">
        <v>1.43</v>
      </c>
      <c r="AH326" s="6">
        <v>1.39</v>
      </c>
    </row>
    <row r="327" ht="15" hidden="1" spans="1:34">
      <c r="A327" s="38">
        <v>978</v>
      </c>
      <c r="B327" s="4">
        <v>1.14</v>
      </c>
      <c r="C327" s="4">
        <v>0.91</v>
      </c>
      <c r="D327" s="4">
        <v>2.76</v>
      </c>
      <c r="E327" s="13">
        <v>5592000000</v>
      </c>
      <c r="F327" s="53" t="s">
        <v>532</v>
      </c>
      <c r="G327">
        <v>11.4024984495437</v>
      </c>
      <c r="H327" s="28">
        <v>54.3924656476764</v>
      </c>
      <c r="I327" s="17">
        <f>H327/G327</f>
        <v>4.77022346360003</v>
      </c>
      <c r="J327" s="4">
        <v>0.85</v>
      </c>
      <c r="K327" s="4">
        <v>1.50716127680674</v>
      </c>
      <c r="L327" s="4">
        <v>11.5549</v>
      </c>
      <c r="M327" s="4">
        <v>11.042</v>
      </c>
      <c r="Q327" s="4">
        <v>1.07</v>
      </c>
      <c r="R327" s="4">
        <f>B327</f>
        <v>1.14</v>
      </c>
      <c r="S327" s="18">
        <f>B327/Q327-1</f>
        <v>0.0654205607476634</v>
      </c>
      <c r="T327" s="16">
        <v>0.950948840306292</v>
      </c>
      <c r="U327" s="14">
        <v>4.20426287744227</v>
      </c>
      <c r="V327" s="14">
        <v>-0.802901023890785</v>
      </c>
      <c r="W327" s="31" t="s">
        <v>532</v>
      </c>
      <c r="X327" s="4">
        <v>0</v>
      </c>
      <c r="AD327" s="6">
        <v>0.252336448598131</v>
      </c>
      <c r="AE327" s="6">
        <v>0.570093457943925</v>
      </c>
      <c r="AH327" s="4">
        <v>4.4</v>
      </c>
    </row>
    <row r="328" s="6" customFormat="1" ht="15" hidden="1" spans="1:34">
      <c r="A328" s="38">
        <v>2698</v>
      </c>
      <c r="B328" s="4">
        <v>5.19</v>
      </c>
      <c r="C328" s="4">
        <v>3</v>
      </c>
      <c r="D328" s="4">
        <v>6.8</v>
      </c>
      <c r="E328" s="13">
        <v>6271000000</v>
      </c>
      <c r="F328" s="59" t="s">
        <v>1009</v>
      </c>
      <c r="G328">
        <v>41.4245548266167</v>
      </c>
      <c r="H328" s="49">
        <v>33.7255950788981</v>
      </c>
      <c r="I328" s="14">
        <f>H328/G328</f>
        <v>0.814145021474757</v>
      </c>
      <c r="J328" s="4">
        <v>0.29</v>
      </c>
      <c r="K328" s="4">
        <v>0.494486884487715</v>
      </c>
      <c r="L328" s="4">
        <v>5.0062</v>
      </c>
      <c r="M328" s="4">
        <v>5.006</v>
      </c>
      <c r="N328" s="4"/>
      <c r="O328" s="4"/>
      <c r="P328" s="4"/>
      <c r="Q328" s="4">
        <v>4.88</v>
      </c>
      <c r="R328" s="61">
        <f>B328</f>
        <v>5.19</v>
      </c>
      <c r="S328" s="18">
        <f>B328/Q328-1</f>
        <v>0.0635245901639345</v>
      </c>
      <c r="T328" s="14">
        <v>-0.0408352668213458</v>
      </c>
      <c r="U328" s="14">
        <v>0.940845070422535</v>
      </c>
      <c r="V328" s="14">
        <v>0.28011611030479</v>
      </c>
      <c r="W328" s="31" t="s">
        <v>1009</v>
      </c>
      <c r="X328" s="4">
        <v>3.18</v>
      </c>
      <c r="Y328" s="4"/>
      <c r="Z328" s="4"/>
      <c r="AA328" s="4"/>
      <c r="AB328" s="4"/>
      <c r="AC328" s="4"/>
      <c r="AD328" s="4"/>
      <c r="AE328" s="4"/>
      <c r="AF328" s="6">
        <v>1.49</v>
      </c>
      <c r="AG328" s="6">
        <v>0.44</v>
      </c>
      <c r="AH328" s="6">
        <v>0.405</v>
      </c>
    </row>
    <row r="329" s="6" customFormat="1" ht="15" spans="1:34">
      <c r="A329" s="37">
        <v>3800</v>
      </c>
      <c r="B329" s="6">
        <v>1.01</v>
      </c>
      <c r="C329" s="6">
        <v>0.94</v>
      </c>
      <c r="D329" s="6">
        <v>3.08</v>
      </c>
      <c r="E329" s="15">
        <v>19889000000</v>
      </c>
      <c r="F329" s="52" t="s">
        <v>715</v>
      </c>
      <c r="G329">
        <v>9.90179295432021</v>
      </c>
      <c r="H329" s="23">
        <v>61.9695497246518</v>
      </c>
      <c r="I329" s="16">
        <f>H329/G329</f>
        <v>6.25841703725123</v>
      </c>
      <c r="J329" s="6">
        <v>0.94</v>
      </c>
      <c r="K329" s="16">
        <v>0.405145768941608</v>
      </c>
      <c r="L329" s="6">
        <v>9.2222</v>
      </c>
      <c r="M329" s="6">
        <v>7.594</v>
      </c>
      <c r="N329" s="6"/>
      <c r="O329" s="6"/>
      <c r="P329" s="6"/>
      <c r="Q329" s="6">
        <v>0.95</v>
      </c>
      <c r="R329" s="6">
        <f>B329</f>
        <v>1.01</v>
      </c>
      <c r="S329" s="19">
        <f>B329/Q329-1</f>
        <v>0.0631578947368421</v>
      </c>
      <c r="T329" s="14">
        <v>-0.325475782921738</v>
      </c>
      <c r="U329" s="16">
        <v>-0.110515608703285</v>
      </c>
      <c r="V329" s="16">
        <v>-0.275656933882858</v>
      </c>
      <c r="W329" s="31" t="s">
        <v>715</v>
      </c>
      <c r="X329" s="4">
        <v>1</v>
      </c>
      <c r="Y329" s="6" t="s">
        <v>1010</v>
      </c>
      <c r="Z329" s="6"/>
      <c r="AA329" s="4"/>
      <c r="AB329" s="4"/>
      <c r="AC329" s="4"/>
      <c r="AD329" s="6">
        <v>0.207692307692308</v>
      </c>
      <c r="AE329" s="4">
        <v>0.261538461538461</v>
      </c>
      <c r="AF329" s="6">
        <v>4.893</v>
      </c>
      <c r="AG329" s="6">
        <v>5.419</v>
      </c>
      <c r="AH329" s="6">
        <v>4.144</v>
      </c>
    </row>
    <row r="330" ht="15" hidden="1" spans="1:34">
      <c r="A330" s="38">
        <v>722</v>
      </c>
      <c r="B330" s="4">
        <v>1.23</v>
      </c>
      <c r="C330" s="4">
        <v>0.98</v>
      </c>
      <c r="D330" s="4">
        <v>1.97</v>
      </c>
      <c r="E330" s="13">
        <v>942000000</v>
      </c>
      <c r="F330" s="45" t="s">
        <v>1011</v>
      </c>
      <c r="G330">
        <v>20.3250736993068</v>
      </c>
      <c r="H330" s="29">
        <v>60.1537475976938</v>
      </c>
      <c r="I330" s="14">
        <f>H330/G330</f>
        <v>2.9595832461727</v>
      </c>
      <c r="J330" s="4">
        <v>2.22</v>
      </c>
      <c r="K330" s="4">
        <v>21.5153</v>
      </c>
      <c r="Q330" s="32">
        <v>1.16</v>
      </c>
      <c r="R330" s="6">
        <f>B330</f>
        <v>1.23</v>
      </c>
      <c r="S330" s="19">
        <f>B330/Q330-1</f>
        <v>0.0603448275862069</v>
      </c>
      <c r="T330" s="14">
        <v>-0.490579204466155</v>
      </c>
      <c r="U330" s="14">
        <v>-0.580459770114943</v>
      </c>
      <c r="V330" s="14">
        <v>-0.931506849315068</v>
      </c>
      <c r="W330" s="31" t="s">
        <v>1011</v>
      </c>
      <c r="X330" s="6">
        <v>-0.81</v>
      </c>
      <c r="Y330" s="6"/>
      <c r="Z330" s="6"/>
      <c r="AC330" s="6"/>
      <c r="AD330" s="6">
        <v>0</v>
      </c>
      <c r="AE330" s="4">
        <v>0</v>
      </c>
      <c r="AF330" s="4">
        <v>0.32333</v>
      </c>
      <c r="AG330" s="4">
        <v>0.28</v>
      </c>
      <c r="AH330" s="4">
        <v>0.229</v>
      </c>
    </row>
    <row r="331" ht="15" hidden="1" spans="1:34">
      <c r="A331" s="38">
        <v>1098</v>
      </c>
      <c r="B331" s="4">
        <v>6.54</v>
      </c>
      <c r="C331" s="4">
        <v>5.92</v>
      </c>
      <c r="D331" s="4">
        <v>8.28</v>
      </c>
      <c r="E331" s="13">
        <v>4861000000</v>
      </c>
      <c r="F331" s="45" t="s">
        <v>1012</v>
      </c>
      <c r="G331">
        <v>9.47768624966054</v>
      </c>
      <c r="H331" s="49">
        <v>4.43864229765013</v>
      </c>
      <c r="I331" s="14">
        <f>H331/G331</f>
        <v>0.468325515397717</v>
      </c>
      <c r="J331" s="4">
        <v>0.35</v>
      </c>
      <c r="K331" s="4">
        <v>0.36177586287641</v>
      </c>
      <c r="L331" s="4">
        <v>5.5766</v>
      </c>
      <c r="M331" s="4">
        <v>5.552</v>
      </c>
      <c r="N331" s="4"/>
      <c r="O331" s="4"/>
      <c r="P331" s="4"/>
      <c r="Q331" s="4">
        <v>6.17</v>
      </c>
      <c r="R331" s="61">
        <f>B331</f>
        <v>6.54</v>
      </c>
      <c r="S331" s="18">
        <f>B331/Q331-1</f>
        <v>0.059967585089141</v>
      </c>
      <c r="T331" s="14">
        <v>0.917830731306491</v>
      </c>
      <c r="U331" s="14">
        <v>2.01550387596899</v>
      </c>
      <c r="V331" s="14">
        <v>-0.803341902313625</v>
      </c>
      <c r="W331" s="31" t="s">
        <v>1012</v>
      </c>
      <c r="X331" s="4">
        <v>-0.15</v>
      </c>
      <c r="Y331" s="4"/>
      <c r="Z331" s="4"/>
      <c r="AA331" s="4"/>
      <c r="AB331" s="4"/>
      <c r="AC331" s="4"/>
      <c r="AD331" s="4"/>
      <c r="AE331" s="4"/>
      <c r="AF331" s="4">
        <v>4.578</v>
      </c>
      <c r="AG331" s="4">
        <v>4.869</v>
      </c>
      <c r="AH331" s="4">
        <v>4.976</v>
      </c>
    </row>
    <row r="332" s="6" customFormat="1" ht="14.25" hidden="1" spans="1:34">
      <c r="A332" s="38">
        <v>170</v>
      </c>
      <c r="B332" s="4">
        <v>3.95</v>
      </c>
      <c r="C332" s="4">
        <v>2.45</v>
      </c>
      <c r="D332" s="4">
        <v>9.89</v>
      </c>
      <c r="E332" s="13">
        <v>307000000</v>
      </c>
      <c r="F332" s="46" t="s">
        <v>77</v>
      </c>
      <c r="G332">
        <v>10.6344950848972</v>
      </c>
      <c r="H332" s="25">
        <v>11.3957892391668</v>
      </c>
      <c r="I332" s="17">
        <f>H332/G332</f>
        <v>1.07158724022081</v>
      </c>
      <c r="J332" s="4">
        <v>0.14</v>
      </c>
      <c r="K332" s="4">
        <v>56.606322000434</v>
      </c>
      <c r="L332" s="4">
        <v>3.7955</v>
      </c>
      <c r="M332" s="4">
        <v>3.796</v>
      </c>
      <c r="N332" s="4"/>
      <c r="O332" s="4"/>
      <c r="P332" s="4"/>
      <c r="Q332" s="4">
        <v>3.73</v>
      </c>
      <c r="R332" s="4">
        <f>B332</f>
        <v>3.95</v>
      </c>
      <c r="S332" s="18">
        <f>B332/Q332-1</f>
        <v>0.0589812332439679</v>
      </c>
      <c r="T332" s="14">
        <v>0</v>
      </c>
      <c r="U332" s="14">
        <v>0</v>
      </c>
      <c r="V332" s="14">
        <v>0</v>
      </c>
      <c r="W332" s="31" t="s">
        <v>77</v>
      </c>
      <c r="X332" s="6">
        <v>0.51</v>
      </c>
      <c r="Y332" s="4"/>
      <c r="Z332" s="4"/>
      <c r="AA332" s="4"/>
      <c r="AB332" s="4"/>
      <c r="AC332" s="6"/>
      <c r="AD332" s="4">
        <v>0</v>
      </c>
      <c r="AE332" s="4">
        <v>0</v>
      </c>
      <c r="AF332" s="6">
        <v>0.275</v>
      </c>
      <c r="AG332" s="6">
        <v>0.355</v>
      </c>
      <c r="AH332" s="6">
        <v>0.227</v>
      </c>
    </row>
    <row r="333" s="6" customFormat="1" ht="14.25" hidden="1" spans="1:34">
      <c r="A333" s="37">
        <v>2333</v>
      </c>
      <c r="B333" s="6">
        <v>6.84</v>
      </c>
      <c r="C333" s="6">
        <v>6.4</v>
      </c>
      <c r="D333" s="6">
        <v>60.7</v>
      </c>
      <c r="E333" s="15">
        <v>81050000000</v>
      </c>
      <c r="F333" s="47" t="s">
        <v>7</v>
      </c>
      <c r="G333">
        <v>27.7769752997256</v>
      </c>
      <c r="H333" s="23">
        <v>49.7005988023952</v>
      </c>
      <c r="I333" s="14">
        <f>H333/G333</f>
        <v>1.78927324757661</v>
      </c>
      <c r="J333" s="6">
        <v>1.54</v>
      </c>
      <c r="K333" s="6">
        <v>0.734948650272182</v>
      </c>
      <c r="L333" s="6">
        <v>5.8639</v>
      </c>
      <c r="M333" s="6">
        <v>5.864</v>
      </c>
      <c r="N333" s="6"/>
      <c r="O333" s="6"/>
      <c r="P333" s="4"/>
      <c r="Q333" s="6">
        <v>6.46</v>
      </c>
      <c r="R333" s="4">
        <f>B333</f>
        <v>6.84</v>
      </c>
      <c r="S333" s="18">
        <f>B333/Q333-1</f>
        <v>0.0588235294117647</v>
      </c>
      <c r="T333" s="14">
        <v>0.169104398804631</v>
      </c>
      <c r="U333" s="16">
        <v>0.538684729928681</v>
      </c>
      <c r="V333" s="14">
        <v>-0.428536747759283</v>
      </c>
      <c r="W333" s="62" t="s">
        <v>7</v>
      </c>
      <c r="X333" s="6">
        <v>-0.58</v>
      </c>
      <c r="Y333" s="4"/>
      <c r="Z333" s="4"/>
      <c r="AA333" s="4"/>
      <c r="AB333" s="4"/>
      <c r="AC333" s="6"/>
      <c r="AD333" s="6">
        <v>0</v>
      </c>
      <c r="AE333" s="4">
        <v>0</v>
      </c>
      <c r="AF333" s="6">
        <v>3.17</v>
      </c>
      <c r="AG333" s="6">
        <v>2.2</v>
      </c>
      <c r="AH333" s="6">
        <v>2.28</v>
      </c>
    </row>
    <row r="334" ht="15" spans="1:34">
      <c r="A334" s="22">
        <v>8071</v>
      </c>
      <c r="B334" s="6">
        <v>0.09</v>
      </c>
      <c r="C334" s="6">
        <v>0.073</v>
      </c>
      <c r="D334" s="6">
        <v>0.33</v>
      </c>
      <c r="E334" s="15">
        <v>305800000</v>
      </c>
      <c r="F334" s="52" t="s">
        <v>140</v>
      </c>
      <c r="G334">
        <v>12.7932327548618</v>
      </c>
      <c r="H334" s="27">
        <v>52.3229246001523</v>
      </c>
      <c r="I334" s="16">
        <f>H334/G334</f>
        <v>4.08989077293761</v>
      </c>
      <c r="J334" s="6">
        <v>5.38</v>
      </c>
      <c r="K334" s="16">
        <v>210</v>
      </c>
      <c r="L334" s="6"/>
      <c r="M334" s="6"/>
      <c r="N334" s="6"/>
      <c r="O334" s="6"/>
      <c r="P334" s="6"/>
      <c r="Q334" s="6">
        <v>0.085</v>
      </c>
      <c r="R334" s="6">
        <f>B334</f>
        <v>0.09</v>
      </c>
      <c r="S334" s="19">
        <f>B334/Q334-1</f>
        <v>0.0588235294117645</v>
      </c>
      <c r="T334" s="16">
        <v>-0.337585868498528</v>
      </c>
      <c r="U334" s="14">
        <v>-0.639423076923077</v>
      </c>
      <c r="V334" s="14">
        <v>0</v>
      </c>
      <c r="W334" s="62" t="s">
        <v>140</v>
      </c>
      <c r="X334" s="4">
        <v>0</v>
      </c>
      <c r="Y334" s="6" t="s">
        <v>1013</v>
      </c>
      <c r="Z334" s="6"/>
      <c r="AA334" s="4"/>
      <c r="AB334" s="4"/>
      <c r="AC334" s="4"/>
      <c r="AD334" s="4">
        <v>0.433734939759036</v>
      </c>
      <c r="AE334" s="6">
        <v>0.626506024096386</v>
      </c>
      <c r="AF334" s="4">
        <v>0.664</v>
      </c>
      <c r="AG334" s="4">
        <v>0.607</v>
      </c>
      <c r="AH334" s="4">
        <v>0.64</v>
      </c>
    </row>
    <row r="335" s="6" customFormat="1" ht="15" hidden="1" spans="1:34">
      <c r="A335" s="43">
        <v>291</v>
      </c>
      <c r="B335" s="4">
        <v>16.6</v>
      </c>
      <c r="C335" s="4">
        <v>11.74</v>
      </c>
      <c r="D335" s="4">
        <v>26.15</v>
      </c>
      <c r="E335" s="13">
        <v>55086000000</v>
      </c>
      <c r="F335" s="53" t="s">
        <v>1014</v>
      </c>
      <c r="G335">
        <v>35.1743809153377</v>
      </c>
      <c r="H335" s="25">
        <v>8.92059688487093</v>
      </c>
      <c r="I335" s="14">
        <f>H335/G335</f>
        <v>0.253610629461885</v>
      </c>
      <c r="J335" s="4">
        <v>0.83</v>
      </c>
      <c r="K335" s="4">
        <v>0.912695534440656</v>
      </c>
      <c r="L335" s="4"/>
      <c r="M335" s="4"/>
      <c r="N335" s="4"/>
      <c r="O335" s="4"/>
      <c r="P335" s="4"/>
      <c r="Q335" s="4">
        <v>15.68</v>
      </c>
      <c r="R335" s="4">
        <f>B335</f>
        <v>16.6</v>
      </c>
      <c r="S335" s="18">
        <f>B335/Q335-1</f>
        <v>0.0586734693877553</v>
      </c>
      <c r="T335" s="14">
        <v>-0.243438728071302</v>
      </c>
      <c r="U335" s="14">
        <v>-0.344898449384825</v>
      </c>
      <c r="V335" s="14">
        <v>-0.346503299926668</v>
      </c>
      <c r="W335" s="31" t="s">
        <v>1014</v>
      </c>
      <c r="X335" s="4">
        <v>-1.31</v>
      </c>
      <c r="Y335" s="4"/>
      <c r="Z335" s="4"/>
      <c r="AA335" s="4"/>
      <c r="AB335" s="4"/>
      <c r="AC335" s="4"/>
      <c r="AD335" s="4"/>
      <c r="AE335" s="4"/>
      <c r="AF335" s="6">
        <v>2.19</v>
      </c>
      <c r="AG335" s="6">
        <v>2.16</v>
      </c>
      <c r="AH335" s="6">
        <v>2.87</v>
      </c>
    </row>
    <row r="336" ht="15" hidden="1" spans="1:34">
      <c r="A336" s="41">
        <v>882</v>
      </c>
      <c r="B336" s="6">
        <v>3.72</v>
      </c>
      <c r="C336" s="6">
        <v>3.5</v>
      </c>
      <c r="D336" s="6">
        <v>8.69</v>
      </c>
      <c r="E336" s="15">
        <v>4001000000</v>
      </c>
      <c r="F336" s="52" t="s">
        <v>536</v>
      </c>
      <c r="G336">
        <v>12.6332343176656</v>
      </c>
      <c r="H336" s="27">
        <v>48.6546751895347</v>
      </c>
      <c r="I336" s="16">
        <f>H336/G336</f>
        <v>3.85132373595722</v>
      </c>
      <c r="J336" s="6">
        <v>0.33</v>
      </c>
      <c r="K336" s="6">
        <v>0.715659258965565</v>
      </c>
      <c r="L336" s="6">
        <v>5.3287</v>
      </c>
      <c r="M336" s="6">
        <v>5.302</v>
      </c>
      <c r="N336" s="6"/>
      <c r="O336" s="6"/>
      <c r="P336" s="6"/>
      <c r="Q336" s="6">
        <v>3.52</v>
      </c>
      <c r="R336" s="6">
        <f>B336</f>
        <v>3.72</v>
      </c>
      <c r="S336" s="19">
        <f>B336/Q336-1</f>
        <v>0.0568181818181819</v>
      </c>
      <c r="T336" s="16">
        <v>-0.363440860215054</v>
      </c>
      <c r="U336" s="16">
        <v>-0.560830860534125</v>
      </c>
      <c r="V336" s="16">
        <v>0.319256756756757</v>
      </c>
      <c r="W336" s="31" t="s">
        <v>536</v>
      </c>
      <c r="X336" s="4">
        <v>0.54</v>
      </c>
      <c r="Y336" s="4"/>
      <c r="Z336" s="4"/>
      <c r="AA336" s="4"/>
      <c r="AB336" s="4"/>
      <c r="AC336" s="4"/>
      <c r="AD336" s="6">
        <v>0.171830411740726</v>
      </c>
      <c r="AE336" s="6">
        <v>0.305136567468406</v>
      </c>
      <c r="AF336" s="4">
        <v>6.234</v>
      </c>
      <c r="AG336" s="4">
        <v>5.24</v>
      </c>
      <c r="AH336" s="4">
        <v>4.51</v>
      </c>
    </row>
    <row r="337" s="6" customFormat="1" ht="15" hidden="1" spans="1:34">
      <c r="A337" s="41">
        <v>6839</v>
      </c>
      <c r="B337" s="6">
        <v>4.24</v>
      </c>
      <c r="C337" s="6">
        <v>3.66</v>
      </c>
      <c r="D337" s="6">
        <v>7.72</v>
      </c>
      <c r="E337" s="15">
        <v>4964000000</v>
      </c>
      <c r="F337" s="47" t="s">
        <v>178</v>
      </c>
      <c r="G337">
        <v>16.2759544541192</v>
      </c>
      <c r="H337" s="27">
        <v>23.8236750866766</v>
      </c>
      <c r="I337" s="16">
        <f>H337/G337</f>
        <v>1.46373444051062</v>
      </c>
      <c r="J337" s="6">
        <v>0.97</v>
      </c>
      <c r="K337" s="16">
        <v>3.81401085058844</v>
      </c>
      <c r="L337" s="6">
        <v>23.0279</v>
      </c>
      <c r="M337" s="6"/>
      <c r="N337" s="6"/>
      <c r="O337" s="6"/>
      <c r="P337" s="6"/>
      <c r="Q337" s="6">
        <v>4.02</v>
      </c>
      <c r="R337" s="6">
        <f>B337</f>
        <v>4.24</v>
      </c>
      <c r="S337" s="19">
        <f>B337/Q337-1</f>
        <v>0.0547263681592041</v>
      </c>
      <c r="T337" s="14">
        <v>0.259515570934256</v>
      </c>
      <c r="U337" s="14">
        <v>-0.0618556701030928</v>
      </c>
      <c r="V337" s="14">
        <v>-0.777472527472527</v>
      </c>
      <c r="W337" s="31" t="s">
        <v>178</v>
      </c>
      <c r="X337" s="4">
        <v>-1.62</v>
      </c>
      <c r="Y337" s="4"/>
      <c r="Z337" s="4"/>
      <c r="AA337" s="4"/>
      <c r="AB337" s="4"/>
      <c r="AC337" s="4"/>
      <c r="AD337" s="4">
        <v>0.289156626506024</v>
      </c>
      <c r="AE337" s="6">
        <v>0.269879518072289</v>
      </c>
      <c r="AF337" s="6">
        <v>0.95366</v>
      </c>
      <c r="AG337" s="6">
        <v>0.86518</v>
      </c>
      <c r="AH337" s="6">
        <v>1.15</v>
      </c>
    </row>
    <row r="338" ht="15" hidden="1" spans="1:34">
      <c r="A338" s="38">
        <v>746</v>
      </c>
      <c r="B338" s="4">
        <v>2.4</v>
      </c>
      <c r="C338" s="4">
        <v>1.76</v>
      </c>
      <c r="D338" s="4">
        <v>5</v>
      </c>
      <c r="E338" s="13">
        <v>2030000000</v>
      </c>
      <c r="F338" s="45" t="s">
        <v>1015</v>
      </c>
      <c r="G338">
        <v>26.6647110589616</v>
      </c>
      <c r="H338" s="28">
        <v>25</v>
      </c>
      <c r="I338" s="14">
        <f>H338/G338</f>
        <v>0.937568756875688</v>
      </c>
      <c r="J338" s="4">
        <v>0.85</v>
      </c>
      <c r="K338" s="4">
        <v>1.11495047224141</v>
      </c>
      <c r="L338" s="4">
        <v>7.4033</v>
      </c>
      <c r="M338" s="4">
        <v>4.974</v>
      </c>
      <c r="N338" s="4"/>
      <c r="O338" s="4"/>
      <c r="P338" s="4"/>
      <c r="Q338" s="4">
        <v>2.28</v>
      </c>
      <c r="R338" s="4">
        <f>B338</f>
        <v>2.4</v>
      </c>
      <c r="S338" s="60">
        <f>B338/Q338-1</f>
        <v>0.0526315789473684</v>
      </c>
      <c r="T338" s="14">
        <v>0.857142857142857</v>
      </c>
      <c r="U338" s="14">
        <v>25</v>
      </c>
      <c r="V338" s="14">
        <v>-0.153846153846154</v>
      </c>
      <c r="W338" s="31" t="s">
        <v>1015</v>
      </c>
      <c r="X338" s="4">
        <v>-2.44</v>
      </c>
      <c r="Y338" s="4"/>
      <c r="Z338" s="4"/>
      <c r="AA338" s="4"/>
      <c r="AB338" s="4"/>
      <c r="AC338" s="4"/>
      <c r="AD338" s="4"/>
      <c r="AE338" s="4"/>
      <c r="AH338" s="4">
        <v>1.74</v>
      </c>
    </row>
    <row r="339" s="6" customFormat="1" ht="15" hidden="1" spans="1:34">
      <c r="A339" s="38">
        <v>817</v>
      </c>
      <c r="B339" s="4">
        <v>2.06</v>
      </c>
      <c r="C339" s="4">
        <v>1.73</v>
      </c>
      <c r="D339" s="4">
        <v>3.34</v>
      </c>
      <c r="E339" s="13">
        <v>23051000000</v>
      </c>
      <c r="F339" s="46" t="s">
        <v>185</v>
      </c>
      <c r="G339">
        <v>13.1039277024678</v>
      </c>
      <c r="H339" s="25">
        <v>30.0897619357357</v>
      </c>
      <c r="I339" s="17">
        <f>H339/G339</f>
        <v>2.2962399227881</v>
      </c>
      <c r="J339" s="4">
        <v>0.51</v>
      </c>
      <c r="K339" s="4">
        <v>1.37235116044399</v>
      </c>
      <c r="L339" s="4">
        <v>4.1107</v>
      </c>
      <c r="M339" s="4">
        <v>3.387</v>
      </c>
      <c r="N339" s="4"/>
      <c r="O339" s="4"/>
      <c r="P339" s="4"/>
      <c r="Q339" s="4">
        <v>1.96</v>
      </c>
      <c r="R339" s="4">
        <f>B339</f>
        <v>2.06</v>
      </c>
      <c r="S339" s="18">
        <f>B339/Q339-1</f>
        <v>0.0510204081632653</v>
      </c>
      <c r="T339" s="14">
        <v>-0.0531317902692489</v>
      </c>
      <c r="U339" s="14">
        <v>-0.0845268542199488</v>
      </c>
      <c r="V339" s="16">
        <v>-0.833376568954164</v>
      </c>
      <c r="W339" s="31" t="s">
        <v>185</v>
      </c>
      <c r="X339" s="4">
        <v>0</v>
      </c>
      <c r="Y339" s="6"/>
      <c r="Z339" s="6"/>
      <c r="AA339" s="4"/>
      <c r="AB339" s="4"/>
      <c r="AC339" s="4"/>
      <c r="AD339" s="4">
        <v>0.0669642857142857</v>
      </c>
      <c r="AE339" s="4">
        <v>0.120535714285714</v>
      </c>
      <c r="AF339" s="6">
        <v>16.61</v>
      </c>
      <c r="AG339" s="6">
        <v>17.04</v>
      </c>
      <c r="AH339" s="6">
        <v>15.9</v>
      </c>
    </row>
    <row r="340" ht="15" spans="1:34">
      <c r="A340" s="65">
        <v>2357</v>
      </c>
      <c r="B340" s="6">
        <v>5.29</v>
      </c>
      <c r="C340" s="6">
        <v>3.9</v>
      </c>
      <c r="D340" s="6">
        <v>10.5</v>
      </c>
      <c r="E340" s="15">
        <v>31919000000</v>
      </c>
      <c r="F340" s="52" t="s">
        <v>493</v>
      </c>
      <c r="G340">
        <v>10.0152973994421</v>
      </c>
      <c r="H340" s="29">
        <v>35.9249694168819</v>
      </c>
      <c r="I340" s="16">
        <f>H340/G340</f>
        <v>3.58700974959396</v>
      </c>
      <c r="J340" s="6">
        <v>2.02</v>
      </c>
      <c r="K340" s="6">
        <v>1.01350526512568</v>
      </c>
      <c r="L340" s="6">
        <v>29.9236</v>
      </c>
      <c r="M340" s="6">
        <v>28.228</v>
      </c>
      <c r="N340" s="6"/>
      <c r="O340" s="6"/>
      <c r="P340" s="6"/>
      <c r="Q340" s="6">
        <v>5.05</v>
      </c>
      <c r="R340" s="4">
        <f>B340</f>
        <v>5.29</v>
      </c>
      <c r="S340" s="19">
        <f>B340/Q340-1</f>
        <v>0.0475247524752476</v>
      </c>
      <c r="T340" s="14">
        <v>0.0867062421298795</v>
      </c>
      <c r="U340" s="16">
        <v>0.0280803267528931</v>
      </c>
      <c r="V340" s="14">
        <v>-0.700662142029465</v>
      </c>
      <c r="W340" s="31" t="s">
        <v>493</v>
      </c>
      <c r="X340" s="6">
        <v>0.57</v>
      </c>
      <c r="Y340" s="61" t="s">
        <v>1016</v>
      </c>
      <c r="Z340" s="4"/>
      <c r="AA340" s="4"/>
      <c r="AB340" s="4"/>
      <c r="AC340" s="4"/>
      <c r="AD340" s="6">
        <v>0.330376940133038</v>
      </c>
      <c r="AE340" s="6">
        <v>0.574279379157428</v>
      </c>
      <c r="AF340" s="4">
        <v>0.86</v>
      </c>
      <c r="AG340" s="4">
        <v>2.16</v>
      </c>
      <c r="AH340" s="4">
        <v>2.59</v>
      </c>
    </row>
    <row r="341" ht="15" hidden="1" spans="1:34">
      <c r="A341" s="41">
        <v>2722</v>
      </c>
      <c r="B341" s="6">
        <v>0.89</v>
      </c>
      <c r="C341" s="6">
        <v>0.84</v>
      </c>
      <c r="D341" s="6">
        <v>2.11</v>
      </c>
      <c r="E341" s="15">
        <v>3390000000</v>
      </c>
      <c r="F341" s="47" t="s">
        <v>514</v>
      </c>
      <c r="G341">
        <v>11.2373513225635</v>
      </c>
      <c r="H341" s="27">
        <v>29.2156609381057</v>
      </c>
      <c r="I341" s="16">
        <f>H341/G341</f>
        <v>2.59987074351263</v>
      </c>
      <c r="J341" s="6">
        <v>0.42</v>
      </c>
      <c r="K341" s="6">
        <v>0.265261291953187</v>
      </c>
      <c r="L341" s="6">
        <v>4.8926</v>
      </c>
      <c r="M341" s="6">
        <v>4.893</v>
      </c>
      <c r="N341" s="6"/>
      <c r="O341" s="6"/>
      <c r="P341" s="6"/>
      <c r="Q341" s="6">
        <v>0.85</v>
      </c>
      <c r="R341" s="6">
        <f>B341</f>
        <v>0.89</v>
      </c>
      <c r="S341" s="19">
        <f>B341/Q341-1</f>
        <v>0.0470588235294118</v>
      </c>
      <c r="T341" s="16">
        <v>-0.130926489778164</v>
      </c>
      <c r="U341" s="14">
        <v>-0.366920152091255</v>
      </c>
      <c r="V341" s="16">
        <v>-0.375375375375375</v>
      </c>
      <c r="W341" s="31" t="s">
        <v>514</v>
      </c>
      <c r="X341" s="4">
        <v>0</v>
      </c>
      <c r="Y341" s="4"/>
      <c r="Z341" s="4"/>
      <c r="AA341" s="4"/>
      <c r="AB341" s="4"/>
      <c r="AC341" s="4"/>
      <c r="AD341" s="4">
        <v>0.125</v>
      </c>
      <c r="AE341" s="6">
        <v>0.175</v>
      </c>
      <c r="AF341" s="4">
        <v>11.63</v>
      </c>
      <c r="AG341" s="4">
        <v>12.52</v>
      </c>
      <c r="AH341" s="4">
        <v>11.8</v>
      </c>
    </row>
    <row r="342" s="6" customFormat="1" ht="15" hidden="1" spans="1:34">
      <c r="A342" s="37">
        <v>750</v>
      </c>
      <c r="B342" s="6">
        <v>3.55</v>
      </c>
      <c r="C342" s="6">
        <v>3.37</v>
      </c>
      <c r="D342" s="6">
        <v>15.28</v>
      </c>
      <c r="E342" s="15">
        <v>3386000000</v>
      </c>
      <c r="F342" s="52" t="s">
        <v>542</v>
      </c>
      <c r="G342">
        <v>30.7047328667452</v>
      </c>
      <c r="H342" s="23">
        <v>66.0302174995849</v>
      </c>
      <c r="I342" s="16">
        <f>H342/G342</f>
        <v>2.150489886564</v>
      </c>
      <c r="J342" s="6">
        <v>0.6</v>
      </c>
      <c r="K342" s="6">
        <v>0.415058579346734</v>
      </c>
      <c r="L342" s="6">
        <v>3.2823</v>
      </c>
      <c r="M342" s="6">
        <v>3.24</v>
      </c>
      <c r="N342" s="6"/>
      <c r="O342" s="6"/>
      <c r="P342" s="6"/>
      <c r="Q342" s="6">
        <v>3.41</v>
      </c>
      <c r="R342" s="6">
        <f>B342</f>
        <v>3.55</v>
      </c>
      <c r="S342" s="64">
        <f>B342/Q342-1</f>
        <v>0.0410557184750733</v>
      </c>
      <c r="T342" s="16">
        <v>0.240105744553577</v>
      </c>
      <c r="U342" s="14">
        <v>1.07839332492481</v>
      </c>
      <c r="V342" s="16">
        <v>-0.702912893287275</v>
      </c>
      <c r="W342" s="31" t="s">
        <v>542</v>
      </c>
      <c r="X342" s="4">
        <v>0</v>
      </c>
      <c r="Y342" s="6"/>
      <c r="Z342" s="6"/>
      <c r="AA342" s="6"/>
      <c r="AB342" s="6"/>
      <c r="AC342" s="6"/>
      <c r="AD342" s="4">
        <v>0.225806451612903</v>
      </c>
      <c r="AE342" s="6">
        <v>0.276297335203366</v>
      </c>
      <c r="AF342" s="6">
        <v>2.49211</v>
      </c>
      <c r="AG342" s="6">
        <v>2.75</v>
      </c>
      <c r="AH342" s="6">
        <v>2.9</v>
      </c>
    </row>
    <row r="343" ht="15" hidden="1" spans="1:34">
      <c r="A343" s="43">
        <v>1229</v>
      </c>
      <c r="B343" s="4">
        <v>0.52</v>
      </c>
      <c r="C343" s="4">
        <v>0.34</v>
      </c>
      <c r="D343" s="4">
        <v>1.65</v>
      </c>
      <c r="E343" s="13">
        <v>413000000</v>
      </c>
      <c r="F343" s="46" t="s">
        <v>334</v>
      </c>
      <c r="G343">
        <v>14.4201968335473</v>
      </c>
      <c r="H343" s="27">
        <v>53.8461538461538</v>
      </c>
      <c r="I343" s="14">
        <f>H343/G343</f>
        <v>3.73407897740242</v>
      </c>
      <c r="J343" s="4">
        <v>2.99</v>
      </c>
      <c r="K343" s="4">
        <v>8.58585858585858</v>
      </c>
      <c r="Q343" s="4">
        <v>0.5</v>
      </c>
      <c r="R343" s="4">
        <f>B343</f>
        <v>0.52</v>
      </c>
      <c r="S343" s="18">
        <f>B343/Q343-1</f>
        <v>0.04</v>
      </c>
      <c r="T343" s="14">
        <v>-1</v>
      </c>
      <c r="U343" s="14">
        <v>-1</v>
      </c>
      <c r="V343" s="14">
        <v>0</v>
      </c>
      <c r="W343" s="31" t="s">
        <v>334</v>
      </c>
      <c r="X343" s="6">
        <v>0</v>
      </c>
      <c r="AD343" s="4">
        <v>0.175</v>
      </c>
      <c r="AE343" s="6">
        <v>0.5</v>
      </c>
      <c r="AF343" s="4">
        <v>0.98</v>
      </c>
      <c r="AG343" s="4">
        <v>0.156</v>
      </c>
      <c r="AH343" s="4">
        <v>0.305</v>
      </c>
    </row>
    <row r="344" ht="15" spans="1:34">
      <c r="A344" s="43">
        <v>1386</v>
      </c>
      <c r="B344" s="4">
        <v>1.3</v>
      </c>
      <c r="C344" s="4">
        <v>0.35</v>
      </c>
      <c r="D344" s="4">
        <v>2.4</v>
      </c>
      <c r="E344" s="13">
        <v>1066000000</v>
      </c>
      <c r="F344" s="47" t="s">
        <v>118</v>
      </c>
      <c r="G344">
        <v>46.9242609203333</v>
      </c>
      <c r="H344" s="28">
        <v>81.5541031227306</v>
      </c>
      <c r="I344" s="17">
        <f>H344/G344</f>
        <v>1.7379944089304</v>
      </c>
      <c r="J344" s="4">
        <v>2.73</v>
      </c>
      <c r="K344" s="4">
        <v>0.928381962864721</v>
      </c>
      <c r="Q344" s="4">
        <v>1.25</v>
      </c>
      <c r="R344" s="4">
        <f>B344</f>
        <v>1.3</v>
      </c>
      <c r="S344" s="70">
        <f>B344/Q344-1</f>
        <v>0.04</v>
      </c>
      <c r="T344" s="16">
        <v>0.698338870431894</v>
      </c>
      <c r="U344" s="14">
        <v>0.801268498942918</v>
      </c>
      <c r="V344" s="14">
        <v>-0.597809076682316</v>
      </c>
      <c r="W344" s="31" t="s">
        <v>118</v>
      </c>
      <c r="X344" s="4">
        <v>-3.7</v>
      </c>
      <c r="Y344" s="61" t="s">
        <v>1017</v>
      </c>
      <c r="Z344" s="6"/>
      <c r="AD344" s="4">
        <v>0.26</v>
      </c>
      <c r="AE344" s="4">
        <v>0.8</v>
      </c>
      <c r="AF344" s="4">
        <v>0.283</v>
      </c>
      <c r="AG344" s="4">
        <v>0.311</v>
      </c>
      <c r="AH344" s="4">
        <v>0.26</v>
      </c>
    </row>
    <row r="345" s="6" customFormat="1" ht="15" hidden="1" spans="1:34">
      <c r="A345" s="38">
        <v>8181</v>
      </c>
      <c r="B345" s="4">
        <v>0.27</v>
      </c>
      <c r="C345" s="4">
        <v>0.115</v>
      </c>
      <c r="D345" s="4">
        <v>1.82</v>
      </c>
      <c r="E345" s="13">
        <v>166400000</v>
      </c>
      <c r="F345" s="53" t="s">
        <v>1018</v>
      </c>
      <c r="G345">
        <v>57.4069341511202</v>
      </c>
      <c r="H345" s="25">
        <v>48.1481481481482</v>
      </c>
      <c r="I345" s="14">
        <f>H345/G345</f>
        <v>0.838716591647294</v>
      </c>
      <c r="J345" s="4">
        <v>1.42</v>
      </c>
      <c r="K345" s="4">
        <v>0.365740125016624</v>
      </c>
      <c r="L345" s="4">
        <v>27.3757</v>
      </c>
      <c r="M345" s="4">
        <v>11.129</v>
      </c>
      <c r="N345" s="4"/>
      <c r="O345" s="4"/>
      <c r="P345" s="4"/>
      <c r="Q345" s="33">
        <v>0.26</v>
      </c>
      <c r="R345" s="4">
        <f>B345</f>
        <v>0.27</v>
      </c>
      <c r="S345" s="18">
        <f>B345/Q345-1</f>
        <v>0.0384615384615385</v>
      </c>
      <c r="T345" s="14">
        <v>-1</v>
      </c>
      <c r="U345" s="14">
        <v>-1</v>
      </c>
      <c r="V345" s="14">
        <v>0</v>
      </c>
      <c r="W345" s="34" t="s">
        <v>1018</v>
      </c>
      <c r="X345" s="4">
        <v>-3.57</v>
      </c>
      <c r="Y345" s="4"/>
      <c r="Z345" s="4"/>
      <c r="AA345" s="4"/>
      <c r="AB345" s="4"/>
      <c r="AC345" s="4"/>
      <c r="AD345" s="4">
        <v>0.293103448275862</v>
      </c>
      <c r="AE345" s="4">
        <v>0.603448275862069</v>
      </c>
      <c r="AF345" s="6">
        <v>4.82</v>
      </c>
      <c r="AG345" s="6">
        <v>4.24</v>
      </c>
      <c r="AH345" s="6">
        <v>2.68</v>
      </c>
    </row>
    <row r="346" ht="15" hidden="1" spans="1:34">
      <c r="A346" s="37">
        <v>2371</v>
      </c>
      <c r="B346" s="6">
        <v>0.162</v>
      </c>
      <c r="C346" s="6">
        <v>0.15</v>
      </c>
      <c r="D346" s="6">
        <v>0.86</v>
      </c>
      <c r="E346" s="15">
        <v>888600000</v>
      </c>
      <c r="F346" s="47" t="s">
        <v>279</v>
      </c>
      <c r="G346">
        <v>22.8395061728395</v>
      </c>
      <c r="H346" s="27">
        <v>109.87680231704</v>
      </c>
      <c r="I346" s="16">
        <f>H346/G346</f>
        <v>4.81082215550283</v>
      </c>
      <c r="J346" s="6">
        <v>0.85</v>
      </c>
      <c r="K346" s="6">
        <v>8.10192949773197</v>
      </c>
      <c r="L346" s="6">
        <v>23.9528</v>
      </c>
      <c r="M346" s="6">
        <v>21.37</v>
      </c>
      <c r="N346" s="6"/>
      <c r="O346" s="6"/>
      <c r="P346" s="6"/>
      <c r="Q346" s="6">
        <v>0.156</v>
      </c>
      <c r="R346" s="4">
        <f>B346</f>
        <v>0.162</v>
      </c>
      <c r="S346" s="64">
        <f>B346/Q346-1</f>
        <v>0.0384615384615385</v>
      </c>
      <c r="T346" s="14">
        <v>0.59</v>
      </c>
      <c r="U346" s="16">
        <v>0.585470085470085</v>
      </c>
      <c r="V346" s="14">
        <v>-0.649595687331536</v>
      </c>
      <c r="W346" s="31" t="s">
        <v>279</v>
      </c>
      <c r="X346" s="4">
        <v>0</v>
      </c>
      <c r="Y346" s="6"/>
      <c r="Z346" s="6"/>
      <c r="AC346" s="6"/>
      <c r="AD346" s="4">
        <v>0.423076923076923</v>
      </c>
      <c r="AE346" s="6">
        <v>0.961538461538461</v>
      </c>
      <c r="AF346" s="4">
        <v>1.31</v>
      </c>
      <c r="AG346" s="4">
        <v>0.9</v>
      </c>
      <c r="AH346" s="4">
        <v>1</v>
      </c>
    </row>
    <row r="347" ht="15" hidden="1" spans="1:34">
      <c r="A347" s="41">
        <v>1330</v>
      </c>
      <c r="B347" s="6">
        <v>3.53</v>
      </c>
      <c r="C347" s="6">
        <v>3.32</v>
      </c>
      <c r="D347" s="6">
        <v>7.99</v>
      </c>
      <c r="E347" s="15">
        <v>4107000000</v>
      </c>
      <c r="F347" s="47" t="s">
        <v>681</v>
      </c>
      <c r="G347">
        <v>11.3317964178046</v>
      </c>
      <c r="H347" s="27">
        <v>45.602795573675</v>
      </c>
      <c r="I347" s="16">
        <f>H347/G347</f>
        <v>4.0243218190916</v>
      </c>
      <c r="J347" s="6">
        <v>1.24</v>
      </c>
      <c r="K347" s="6">
        <v>2.17373648731366</v>
      </c>
      <c r="L347" s="6">
        <v>20.0042</v>
      </c>
      <c r="M347" s="6">
        <v>16.915</v>
      </c>
      <c r="N347" s="6"/>
      <c r="O347" s="6"/>
      <c r="P347" s="6"/>
      <c r="Q347" s="6">
        <v>3.4</v>
      </c>
      <c r="R347" s="4">
        <f>B347</f>
        <v>3.53</v>
      </c>
      <c r="S347" s="19">
        <f>B347/Q347-1</f>
        <v>0.0382352941176469</v>
      </c>
      <c r="T347" s="14">
        <v>0.258620689655172</v>
      </c>
      <c r="U347" s="14">
        <v>0.215108834827145</v>
      </c>
      <c r="V347" s="14">
        <v>-0.880927291886196</v>
      </c>
      <c r="W347" s="5" t="s">
        <v>681</v>
      </c>
      <c r="X347" s="4">
        <v>-0.56</v>
      </c>
      <c r="Y347" s="6"/>
      <c r="Z347" s="6"/>
      <c r="AD347" s="6">
        <v>0.264044943820225</v>
      </c>
      <c r="AE347" s="4">
        <v>0.421348314606741</v>
      </c>
      <c r="AF347" s="4">
        <v>24.642</v>
      </c>
      <c r="AG347" s="4">
        <v>26.471</v>
      </c>
      <c r="AH347" s="4">
        <v>19.4</v>
      </c>
    </row>
    <row r="348" ht="15" hidden="1" spans="1:34">
      <c r="A348" s="38">
        <v>1339</v>
      </c>
      <c r="B348" s="4">
        <v>3.05</v>
      </c>
      <c r="C348" s="4">
        <v>2.94</v>
      </c>
      <c r="D348" s="4">
        <v>5.85</v>
      </c>
      <c r="E348" s="13">
        <v>131939000000</v>
      </c>
      <c r="F348" s="53" t="s">
        <v>314</v>
      </c>
      <c r="G348">
        <v>13.1114779737597</v>
      </c>
      <c r="H348" s="28">
        <v>38.0262249827467</v>
      </c>
      <c r="I348" s="17">
        <f>H348/G348</f>
        <v>2.90022414397901</v>
      </c>
      <c r="J348" s="4">
        <v>0.94</v>
      </c>
      <c r="K348" s="4">
        <v>2.39</v>
      </c>
      <c r="L348" s="4">
        <v>7.9457</v>
      </c>
      <c r="M348" s="4">
        <v>7.609</v>
      </c>
      <c r="Q348" s="43">
        <v>2.94</v>
      </c>
      <c r="R348" s="43">
        <f>B348</f>
        <v>3.05</v>
      </c>
      <c r="S348" s="18">
        <f>B348/Q348-1</f>
        <v>0.0374149659863945</v>
      </c>
      <c r="T348" s="14">
        <v>0.270917938023634</v>
      </c>
      <c r="U348" s="16">
        <v>0.567889365812267</v>
      </c>
      <c r="V348" s="14">
        <v>-0.849356554781507</v>
      </c>
      <c r="W348" s="31" t="s">
        <v>314</v>
      </c>
      <c r="X348" s="4">
        <v>0</v>
      </c>
      <c r="AD348" s="4">
        <v>0.098404255319149</v>
      </c>
      <c r="AE348" s="6">
        <v>0.191489361702128</v>
      </c>
      <c r="AF348" s="4">
        <v>0.17724</v>
      </c>
      <c r="AG348" s="4">
        <v>0.09847</v>
      </c>
      <c r="AH348" s="4">
        <v>0.068</v>
      </c>
    </row>
    <row r="349" ht="15" hidden="1" spans="1:34">
      <c r="A349" s="38">
        <v>3110</v>
      </c>
      <c r="B349" s="4">
        <v>22.45</v>
      </c>
      <c r="C349" s="4">
        <v>19.38</v>
      </c>
      <c r="D349" s="4">
        <v>28.4</v>
      </c>
      <c r="E349" s="13">
        <v>243000000</v>
      </c>
      <c r="F349" s="46" t="s">
        <v>1019</v>
      </c>
      <c r="G349">
        <v>13.6740331491713</v>
      </c>
      <c r="H349" s="49">
        <v>21.3739531496541</v>
      </c>
      <c r="I349" s="14">
        <f>H349/G349</f>
        <v>1.56310526064137</v>
      </c>
      <c r="J349" s="4">
        <v>0</v>
      </c>
      <c r="K349" s="4"/>
      <c r="L349" s="4"/>
      <c r="M349" s="4"/>
      <c r="N349" s="4"/>
      <c r="O349" s="4"/>
      <c r="P349" s="4"/>
      <c r="Q349" s="4">
        <v>21.65</v>
      </c>
      <c r="R349" s="61">
        <f>B349</f>
        <v>22.45</v>
      </c>
      <c r="S349" s="18">
        <f>B349/Q349-1</f>
        <v>0.0369515011547346</v>
      </c>
      <c r="T349" s="14">
        <v>-0.30064308681672</v>
      </c>
      <c r="U349" s="14">
        <v>-0.431372549019608</v>
      </c>
      <c r="V349" s="14">
        <v>0.793103448275862</v>
      </c>
      <c r="W349" s="31" t="s">
        <v>1019</v>
      </c>
      <c r="X349" s="4">
        <v>0.22</v>
      </c>
      <c r="Y349" s="4"/>
      <c r="Z349" s="4"/>
      <c r="AA349" s="4"/>
      <c r="AB349" s="4"/>
      <c r="AC349" s="4"/>
      <c r="AD349" s="4"/>
      <c r="AE349" s="4"/>
      <c r="AF349" s="4">
        <v>1.62</v>
      </c>
      <c r="AG349" s="4">
        <v>1.56</v>
      </c>
      <c r="AH349" s="4">
        <v>1.56</v>
      </c>
    </row>
    <row r="350" ht="15" hidden="1" spans="1:34">
      <c r="A350" s="38">
        <v>543</v>
      </c>
      <c r="B350" s="4">
        <v>2.1</v>
      </c>
      <c r="C350" s="4">
        <v>1.84</v>
      </c>
      <c r="D350" s="4">
        <v>5.16</v>
      </c>
      <c r="E350" s="13">
        <v>2139000000</v>
      </c>
      <c r="F350" s="46" t="s">
        <v>552</v>
      </c>
      <c r="G350">
        <v>16.1917532685216</v>
      </c>
      <c r="H350" s="25">
        <v>30.9586170770037</v>
      </c>
      <c r="I350" s="17">
        <f>H350/G350</f>
        <v>1.91199906295449</v>
      </c>
      <c r="J350" s="4">
        <v>2.17</v>
      </c>
      <c r="K350" s="4">
        <v>1.90858833519391</v>
      </c>
      <c r="L350" s="4">
        <v>8.5478</v>
      </c>
      <c r="M350" s="4">
        <v>8.117</v>
      </c>
      <c r="Q350" s="43">
        <v>2.03</v>
      </c>
      <c r="R350" s="43">
        <f>B350</f>
        <v>2.1</v>
      </c>
      <c r="S350" s="18">
        <f>B350/Q350-1</f>
        <v>0.0344827586206897</v>
      </c>
      <c r="T350" s="16">
        <v>-0.387624466571835</v>
      </c>
      <c r="U350" s="14">
        <v>-0.0433333333333333</v>
      </c>
      <c r="V350" s="16">
        <v>15.7640069686411</v>
      </c>
      <c r="W350" s="62" t="s">
        <v>552</v>
      </c>
      <c r="X350" s="6">
        <v>7.14</v>
      </c>
      <c r="Y350" s="6"/>
      <c r="Z350" s="6"/>
      <c r="AD350" s="4">
        <v>0.136929460580913</v>
      </c>
      <c r="AE350" s="6">
        <v>0.20746887966805</v>
      </c>
      <c r="AH350" s="4">
        <v>0.8</v>
      </c>
    </row>
    <row r="351" s="6" customFormat="1" ht="15" spans="1:31">
      <c r="A351" s="41">
        <v>1297</v>
      </c>
      <c r="B351" s="6">
        <v>3.31</v>
      </c>
      <c r="C351" s="6">
        <v>2.47</v>
      </c>
      <c r="D351" s="6">
        <v>7.76</v>
      </c>
      <c r="E351" s="15">
        <v>4534000000</v>
      </c>
      <c r="F351" s="47" t="s">
        <v>524</v>
      </c>
      <c r="G351">
        <v>20.1915403032721</v>
      </c>
      <c r="H351" s="27">
        <v>28.4026707755521</v>
      </c>
      <c r="I351" s="16">
        <f>H351/G351</f>
        <v>1.40666191627537</v>
      </c>
      <c r="J351" s="6">
        <v>3.52</v>
      </c>
      <c r="K351" s="6">
        <v>7.59629731148047</v>
      </c>
      <c r="L351" s="6">
        <v>20.6188</v>
      </c>
      <c r="M351" s="6">
        <v>19.632</v>
      </c>
      <c r="N351" s="6"/>
      <c r="O351" s="6"/>
      <c r="P351" s="6"/>
      <c r="Q351" s="6">
        <v>3.2</v>
      </c>
      <c r="R351" s="6">
        <f>B351</f>
        <v>3.31</v>
      </c>
      <c r="S351" s="64">
        <f>B351/Q351-1</f>
        <v>0.034375</v>
      </c>
      <c r="T351" s="14">
        <v>0.291766485941243</v>
      </c>
      <c r="U351" s="14">
        <v>0.366364363830355</v>
      </c>
      <c r="V351" s="14">
        <v>-0.752074182528062</v>
      </c>
      <c r="W351" s="31" t="s">
        <v>524</v>
      </c>
      <c r="X351" s="6">
        <v>-0.9</v>
      </c>
      <c r="Y351" s="6" t="s">
        <v>1020</v>
      </c>
      <c r="Z351" s="6"/>
      <c r="AA351" s="6"/>
      <c r="AB351" s="6"/>
      <c r="AC351" s="4"/>
      <c r="AD351" s="4">
        <v>0.290220820189274</v>
      </c>
      <c r="AE351" s="4">
        <v>0.422712933753943</v>
      </c>
    </row>
    <row r="352" ht="15" hidden="1" spans="1:34">
      <c r="A352" s="38">
        <v>1203</v>
      </c>
      <c r="B352" s="4">
        <v>0.91</v>
      </c>
      <c r="C352" s="4">
        <v>0.87</v>
      </c>
      <c r="D352" s="4">
        <v>2.23</v>
      </c>
      <c r="E352" s="13">
        <v>826000000</v>
      </c>
      <c r="F352" s="53" t="s">
        <v>110</v>
      </c>
      <c r="G352">
        <v>13.1869085858147</v>
      </c>
      <c r="H352" s="25">
        <v>18.6802753382388</v>
      </c>
      <c r="I352" s="17">
        <f>H352/G352</f>
        <v>1.4165772983619</v>
      </c>
      <c r="J352" s="4">
        <v>0.33</v>
      </c>
      <c r="K352" s="4">
        <v>0.291724741499465</v>
      </c>
      <c r="L352" s="4">
        <v>5.5121</v>
      </c>
      <c r="M352" s="4">
        <v>5.51</v>
      </c>
      <c r="N352" s="4"/>
      <c r="O352" s="4"/>
      <c r="P352" s="4"/>
      <c r="Q352" s="4">
        <v>0.88</v>
      </c>
      <c r="R352" s="4">
        <f>B352</f>
        <v>0.91</v>
      </c>
      <c r="S352" s="18">
        <f>B352/Q352-1</f>
        <v>0.0340909090909092</v>
      </c>
      <c r="T352" s="14">
        <v>-0.140740740740741</v>
      </c>
      <c r="U352" s="14">
        <v>0.681159420289855</v>
      </c>
      <c r="V352" s="14">
        <v>-0.649425287356322</v>
      </c>
      <c r="W352" s="31" t="s">
        <v>110</v>
      </c>
      <c r="X352" s="4">
        <v>1.11</v>
      </c>
      <c r="Y352" s="4"/>
      <c r="Z352" s="4"/>
      <c r="AA352" s="6"/>
      <c r="AB352" s="6"/>
      <c r="AC352" s="6"/>
      <c r="AD352" s="4">
        <v>0.168516649848638</v>
      </c>
      <c r="AE352" s="6">
        <v>0.347124117053481</v>
      </c>
      <c r="AF352" s="4">
        <v>6.69</v>
      </c>
      <c r="AG352" s="4">
        <v>4.29</v>
      </c>
      <c r="AH352" s="4">
        <v>3.82</v>
      </c>
    </row>
    <row r="353" ht="15" hidden="1" spans="1:34">
      <c r="A353" s="58">
        <v>220</v>
      </c>
      <c r="B353" s="4">
        <v>5.37</v>
      </c>
      <c r="C353" s="4">
        <v>4.92</v>
      </c>
      <c r="D353" s="4">
        <v>8.19</v>
      </c>
      <c r="E353" s="13">
        <v>23152000000</v>
      </c>
      <c r="F353" s="45" t="s">
        <v>81</v>
      </c>
      <c r="G353">
        <v>9.12395492548164</v>
      </c>
      <c r="H353" s="28">
        <v>41.5227851684121</v>
      </c>
      <c r="I353" s="17">
        <f>H353/G353</f>
        <v>4.55096342622716</v>
      </c>
      <c r="J353" s="4">
        <v>1.56</v>
      </c>
      <c r="K353" s="4">
        <v>0.739981530569381</v>
      </c>
      <c r="L353" s="4">
        <v>62.9084</v>
      </c>
      <c r="M353" s="4">
        <v>57.906</v>
      </c>
      <c r="N353" s="4"/>
      <c r="O353" s="4"/>
      <c r="P353" s="4"/>
      <c r="Q353" s="4">
        <v>5.2</v>
      </c>
      <c r="R353" s="4">
        <f>B353</f>
        <v>5.37</v>
      </c>
      <c r="S353" s="18">
        <f>B353/Q353-1</f>
        <v>0.0326923076923076</v>
      </c>
      <c r="T353" s="14">
        <v>0.199654173428992</v>
      </c>
      <c r="U353" s="16">
        <v>0.741347424042272</v>
      </c>
      <c r="V353" s="14">
        <v>-0.673987255348202</v>
      </c>
      <c r="W353" s="31" t="s">
        <v>81</v>
      </c>
      <c r="X353" s="6">
        <v>-0.19</v>
      </c>
      <c r="Y353" s="6"/>
      <c r="Z353" s="6"/>
      <c r="AA353" s="4"/>
      <c r="AB353" s="4"/>
      <c r="AC353" s="6"/>
      <c r="AD353" s="6">
        <v>0.125193199381762</v>
      </c>
      <c r="AE353" s="4">
        <v>0.142194744976816</v>
      </c>
      <c r="AG353" s="4">
        <v>1.5</v>
      </c>
      <c r="AH353" s="4">
        <v>1.65</v>
      </c>
    </row>
    <row r="354" s="6" customFormat="1" ht="15" hidden="1" spans="1:34">
      <c r="A354" s="41">
        <v>906</v>
      </c>
      <c r="B354" s="4">
        <v>3.85</v>
      </c>
      <c r="C354" s="4">
        <v>3.5</v>
      </c>
      <c r="D354" s="4">
        <v>6.93</v>
      </c>
      <c r="E354" s="13">
        <v>4710000000</v>
      </c>
      <c r="F354" s="46" t="s">
        <v>537</v>
      </c>
      <c r="G354">
        <v>20.261542141775</v>
      </c>
      <c r="H354" s="28">
        <v>29.8701298701299</v>
      </c>
      <c r="I354" s="17">
        <f>H354/G354</f>
        <v>1.47422785793506</v>
      </c>
      <c r="J354" s="4">
        <v>0.74</v>
      </c>
      <c r="K354" s="4">
        <v>0.580514964766965</v>
      </c>
      <c r="L354" s="4">
        <v>8.9732</v>
      </c>
      <c r="M354" s="4">
        <v>8.627</v>
      </c>
      <c r="N354" s="4"/>
      <c r="O354" s="4"/>
      <c r="P354" s="4"/>
      <c r="Q354" s="4">
        <v>3.74</v>
      </c>
      <c r="R354" s="4">
        <f>B354</f>
        <v>3.85</v>
      </c>
      <c r="S354" s="18">
        <f>B354/Q354-1</f>
        <v>0.0294117647058822</v>
      </c>
      <c r="T354" s="16">
        <v>-0.230895645028759</v>
      </c>
      <c r="U354" s="14">
        <v>-0.627684964200477</v>
      </c>
      <c r="V354" s="14">
        <v>-0.439102564102564</v>
      </c>
      <c r="W354" s="31" t="s">
        <v>537</v>
      </c>
      <c r="X354" s="4">
        <v>-1.28</v>
      </c>
      <c r="Y354" s="4"/>
      <c r="Z354" s="4"/>
      <c r="AA354" s="4"/>
      <c r="AB354" s="4"/>
      <c r="AC354" s="4"/>
      <c r="AD354" s="4">
        <v>0.0739795918367347</v>
      </c>
      <c r="AE354" s="4">
        <v>0.163265306122449</v>
      </c>
      <c r="AF354" s="6">
        <v>6.42</v>
      </c>
      <c r="AG354" s="6">
        <v>7.73</v>
      </c>
      <c r="AH354" s="6">
        <v>6.97</v>
      </c>
    </row>
    <row r="355" s="6" customFormat="1" ht="15" hidden="1" spans="1:34">
      <c r="A355" s="37">
        <v>336</v>
      </c>
      <c r="B355" s="6">
        <v>3.03</v>
      </c>
      <c r="C355" s="6">
        <v>2.26</v>
      </c>
      <c r="D355" s="6">
        <v>9.31</v>
      </c>
      <c r="E355" s="15">
        <v>9351000000</v>
      </c>
      <c r="F355" s="52" t="s">
        <v>311</v>
      </c>
      <c r="G355">
        <v>21.4515748959233</v>
      </c>
      <c r="H355" s="23">
        <v>11.2223334445557</v>
      </c>
      <c r="I355" s="16">
        <f>H355/G355</f>
        <v>0.523147297995746</v>
      </c>
      <c r="J355" s="6">
        <v>0.95</v>
      </c>
      <c r="K355" s="6">
        <v>2.50889834186995</v>
      </c>
      <c r="L355" s="6">
        <v>4.5194</v>
      </c>
      <c r="M355" s="6">
        <v>4.608</v>
      </c>
      <c r="N355" s="6"/>
      <c r="O355" s="6"/>
      <c r="P355" s="6"/>
      <c r="Q355" s="6">
        <v>2.95</v>
      </c>
      <c r="R355" s="6">
        <f>B355</f>
        <v>3.03</v>
      </c>
      <c r="S355" s="19">
        <f>B355/Q355-1</f>
        <v>0.0271186440677964</v>
      </c>
      <c r="T355" s="16">
        <v>-0.234926033657476</v>
      </c>
      <c r="U355" s="14">
        <v>-0.38872188734478</v>
      </c>
      <c r="V355" s="14">
        <v>1.5105561277034</v>
      </c>
      <c r="W355" s="31" t="s">
        <v>311</v>
      </c>
      <c r="X355" s="6">
        <v>2.36</v>
      </c>
      <c r="Y355" s="4"/>
      <c r="Z355" s="4"/>
      <c r="AA355" s="6"/>
      <c r="AB355" s="6"/>
      <c r="AC355" s="6"/>
      <c r="AD355" s="4">
        <v>0.307432432432432</v>
      </c>
      <c r="AE355" s="4">
        <v>0.398648648648649</v>
      </c>
      <c r="AF355" s="6">
        <v>0.112</v>
      </c>
      <c r="AG355" s="6">
        <v>0.285</v>
      </c>
      <c r="AH355" s="6">
        <v>0.169</v>
      </c>
    </row>
    <row r="356" ht="15" hidden="1" spans="1:34">
      <c r="A356" s="38">
        <v>460</v>
      </c>
      <c r="B356" s="4">
        <v>1.92</v>
      </c>
      <c r="C356" s="4">
        <v>1.41</v>
      </c>
      <c r="D356" s="4">
        <v>6.68</v>
      </c>
      <c r="E356" s="13">
        <v>19131000000</v>
      </c>
      <c r="F356" s="53" t="s">
        <v>1021</v>
      </c>
      <c r="G356">
        <v>26.562385253727</v>
      </c>
      <c r="H356" s="28">
        <v>35.4096140825999</v>
      </c>
      <c r="I356" s="14">
        <f>H356/G356</f>
        <v>1.33307358297695</v>
      </c>
      <c r="J356" s="4">
        <v>1.63</v>
      </c>
      <c r="K356" s="4">
        <v>4.35202412642119</v>
      </c>
      <c r="L356" s="4">
        <v>10.0678</v>
      </c>
      <c r="M356" s="4">
        <v>21.711</v>
      </c>
      <c r="Q356" s="4">
        <v>1.87</v>
      </c>
      <c r="R356" s="4">
        <f>B356</f>
        <v>1.92</v>
      </c>
      <c r="S356" s="18">
        <f>B356/Q356-1</f>
        <v>0.0267379679144384</v>
      </c>
      <c r="T356" s="14">
        <v>0.343637105672869</v>
      </c>
      <c r="U356" s="14">
        <v>0.543157224697645</v>
      </c>
      <c r="V356" s="14">
        <v>-0.484462244021704</v>
      </c>
      <c r="W356" s="31" t="s">
        <v>1021</v>
      </c>
      <c r="X356" s="4">
        <v>0.52</v>
      </c>
      <c r="AF356" s="4">
        <v>2.27</v>
      </c>
      <c r="AG356" s="4">
        <v>2.67</v>
      </c>
      <c r="AH356" s="4">
        <v>3.09</v>
      </c>
    </row>
    <row r="357" ht="15" spans="1:34">
      <c r="A357" s="37">
        <v>1811</v>
      </c>
      <c r="B357" s="6">
        <v>1.16</v>
      </c>
      <c r="C357" s="6">
        <v>1.1</v>
      </c>
      <c r="D357" s="6">
        <v>3.6</v>
      </c>
      <c r="E357" s="15">
        <v>5063000000</v>
      </c>
      <c r="F357" s="53" t="s">
        <v>716</v>
      </c>
      <c r="G357">
        <v>15.5191349159415</v>
      </c>
      <c r="H357" s="23">
        <v>57.7535888941473</v>
      </c>
      <c r="I357" s="16">
        <f>H357/G357</f>
        <v>3.7214438309201</v>
      </c>
      <c r="J357" s="6">
        <v>0.86</v>
      </c>
      <c r="K357" s="6">
        <v>0.534792502998387</v>
      </c>
      <c r="L357" s="6">
        <v>3.1738</v>
      </c>
      <c r="M357" s="6">
        <v>2.439</v>
      </c>
      <c r="N357" s="6"/>
      <c r="O357" s="6"/>
      <c r="P357" s="6"/>
      <c r="Q357" s="6">
        <v>1.13</v>
      </c>
      <c r="R357" s="6">
        <f>B357</f>
        <v>1.16</v>
      </c>
      <c r="S357" s="63">
        <f>B357/Q357-1</f>
        <v>0.0265486725663717</v>
      </c>
      <c r="T357" s="14">
        <v>-0.109010011123471</v>
      </c>
      <c r="U357" s="16">
        <v>0.707889125799574</v>
      </c>
      <c r="V357" s="14">
        <v>-0.528089887640449</v>
      </c>
      <c r="W357" s="5" t="s">
        <v>716</v>
      </c>
      <c r="X357" s="4">
        <v>0.87</v>
      </c>
      <c r="Y357" s="4" t="s">
        <v>1022</v>
      </c>
      <c r="AD357" s="4">
        <v>0.267015706806283</v>
      </c>
      <c r="AE357" s="4">
        <v>0.382198952879581</v>
      </c>
      <c r="AF357" s="4">
        <v>0.97</v>
      </c>
      <c r="AG357" s="4">
        <v>0.73</v>
      </c>
      <c r="AH357" s="4">
        <v>1.62</v>
      </c>
    </row>
    <row r="358" ht="15" spans="1:34">
      <c r="A358" s="41">
        <v>241</v>
      </c>
      <c r="B358" s="6">
        <v>4.11</v>
      </c>
      <c r="C358" s="6">
        <v>3.81</v>
      </c>
      <c r="D358" s="6">
        <v>14.32</v>
      </c>
      <c r="E358" s="15">
        <v>34526000000</v>
      </c>
      <c r="F358" s="57" t="s">
        <v>809</v>
      </c>
      <c r="G358">
        <v>19.7109594540345</v>
      </c>
      <c r="H358" s="27">
        <v>53.0456075910621</v>
      </c>
      <c r="I358" s="16">
        <f>H358/G358</f>
        <v>2.69117328939584</v>
      </c>
      <c r="J358" s="6">
        <v>22.04</v>
      </c>
      <c r="K358" s="6">
        <v>537.662337662337</v>
      </c>
      <c r="L358" s="6"/>
      <c r="M358" s="6"/>
      <c r="N358" s="6"/>
      <c r="O358" s="6"/>
      <c r="P358" s="6"/>
      <c r="Q358" s="6">
        <v>4.01</v>
      </c>
      <c r="R358" s="6">
        <f>B358</f>
        <v>4.11</v>
      </c>
      <c r="S358" s="68">
        <f>B358/Q358-1</f>
        <v>0.0249376558603494</v>
      </c>
      <c r="T358" s="16">
        <v>-0.102392344497608</v>
      </c>
      <c r="U358" s="14">
        <v>-0.0457782299084435</v>
      </c>
      <c r="V358" s="14">
        <v>-0.654584221748401</v>
      </c>
      <c r="W358" s="31" t="s">
        <v>809</v>
      </c>
      <c r="X358" s="6">
        <v>0.74</v>
      </c>
      <c r="Y358" s="61" t="s">
        <v>1023</v>
      </c>
      <c r="Z358" s="6"/>
      <c r="AD358" s="4">
        <v>0.357456140350877</v>
      </c>
      <c r="AE358" s="6">
        <v>0.56359649122807</v>
      </c>
      <c r="AF358" s="4">
        <v>0.57</v>
      </c>
      <c r="AG358" s="4">
        <v>0.82</v>
      </c>
      <c r="AH358" s="4">
        <v>0.84</v>
      </c>
    </row>
    <row r="359" s="6" customFormat="1" ht="15" hidden="1" spans="1:34">
      <c r="A359" s="38">
        <v>1355</v>
      </c>
      <c r="B359" s="4">
        <v>0.83</v>
      </c>
      <c r="C359" s="4">
        <v>0.5</v>
      </c>
      <c r="D359" s="4">
        <v>2.84</v>
      </c>
      <c r="E359" s="13">
        <v>362000000</v>
      </c>
      <c r="F359" s="53" t="s">
        <v>147</v>
      </c>
      <c r="G359">
        <v>28.9166903611032</v>
      </c>
      <c r="H359" s="25">
        <v>42.1666192777936</v>
      </c>
      <c r="I359" s="14">
        <f>H359/G359</f>
        <v>1.45821042281219</v>
      </c>
      <c r="J359" s="4">
        <v>1.51</v>
      </c>
      <c r="K359" s="4">
        <v>10.4591836734693</v>
      </c>
      <c r="L359" s="4"/>
      <c r="M359" s="4"/>
      <c r="N359" s="4"/>
      <c r="O359" s="4"/>
      <c r="P359" s="4"/>
      <c r="Q359" s="4">
        <v>0.81</v>
      </c>
      <c r="R359" s="4">
        <f>B359</f>
        <v>0.83</v>
      </c>
      <c r="S359" s="18">
        <f>B359/Q359-1</f>
        <v>0.0246913580246912</v>
      </c>
      <c r="T359" s="14">
        <v>-0.651872699718554</v>
      </c>
      <c r="U359" s="14">
        <v>-0.508707607699358</v>
      </c>
      <c r="V359" s="14">
        <v>-0.201492537313433</v>
      </c>
      <c r="W359" s="5" t="s">
        <v>147</v>
      </c>
      <c r="X359" s="4">
        <v>-3.49</v>
      </c>
      <c r="Y359" s="4"/>
      <c r="Z359" s="4"/>
      <c r="AA359" s="4"/>
      <c r="AB359" s="4"/>
      <c r="AC359" s="4"/>
      <c r="AD359" s="4">
        <v>0.0135135135135135</v>
      </c>
      <c r="AE359" s="4">
        <v>0.162162162162162</v>
      </c>
      <c r="AF359" s="6">
        <v>67.323</v>
      </c>
      <c r="AG359" s="6">
        <v>65.278</v>
      </c>
      <c r="AH359" s="6">
        <v>54.225</v>
      </c>
    </row>
    <row r="360" s="6" customFormat="1" ht="15" hidden="1" spans="1:34">
      <c r="A360" s="38">
        <v>328</v>
      </c>
      <c r="B360" s="4">
        <v>2.99</v>
      </c>
      <c r="C360" s="4">
        <v>1.35</v>
      </c>
      <c r="D360" s="4">
        <v>3.55</v>
      </c>
      <c r="E360" s="13">
        <v>1721000000</v>
      </c>
      <c r="F360" s="46" t="s">
        <v>1024</v>
      </c>
      <c r="G360">
        <v>30.76710052617</v>
      </c>
      <c r="H360" s="49">
        <v>29.4330830960393</v>
      </c>
      <c r="I360" s="14">
        <f>H360/G360</f>
        <v>0.956641431681351</v>
      </c>
      <c r="J360" s="4">
        <v>0.85</v>
      </c>
      <c r="K360" s="4">
        <v>0.58731970530248</v>
      </c>
      <c r="L360" s="4">
        <v>14.3511</v>
      </c>
      <c r="M360" s="4">
        <v>14.358</v>
      </c>
      <c r="N360" s="4"/>
      <c r="O360" s="4"/>
      <c r="P360" s="4"/>
      <c r="Q360" s="4">
        <v>2.92</v>
      </c>
      <c r="R360" s="61">
        <f>B360</f>
        <v>2.99</v>
      </c>
      <c r="S360" s="18">
        <f>B360/Q360-1</f>
        <v>0.0239726027397262</v>
      </c>
      <c r="T360" s="14">
        <v>0.599033816425121</v>
      </c>
      <c r="U360" s="14">
        <v>2.03669724770642</v>
      </c>
      <c r="V360" s="14">
        <v>-0.655589123867069</v>
      </c>
      <c r="W360" s="31" t="s">
        <v>1024</v>
      </c>
      <c r="X360" s="4">
        <v>-0.33</v>
      </c>
      <c r="Y360" s="4"/>
      <c r="Z360" s="4"/>
      <c r="AA360" s="4"/>
      <c r="AB360" s="4"/>
      <c r="AC360" s="4"/>
      <c r="AD360" s="4"/>
      <c r="AE360" s="4"/>
      <c r="AF360" s="6">
        <v>2.29</v>
      </c>
      <c r="AG360" s="6">
        <v>1.6</v>
      </c>
      <c r="AH360" s="6">
        <v>1.06</v>
      </c>
    </row>
    <row r="361" s="6" customFormat="1" ht="15" hidden="1" spans="1:34">
      <c r="A361" s="37">
        <v>8001</v>
      </c>
      <c r="B361" s="6">
        <v>0.98</v>
      </c>
      <c r="C361" s="6">
        <v>0.85</v>
      </c>
      <c r="D361" s="6">
        <v>3.81</v>
      </c>
      <c r="E361" s="15">
        <v>382000000</v>
      </c>
      <c r="F361" s="53" t="s">
        <v>466</v>
      </c>
      <c r="G361">
        <v>15.3044803929872</v>
      </c>
      <c r="H361" s="23">
        <v>65.3165812530997</v>
      </c>
      <c r="I361" s="16">
        <f>H361/G361</f>
        <v>4.26780782985804</v>
      </c>
      <c r="J361" s="6">
        <v>1.37</v>
      </c>
      <c r="K361" s="16">
        <v>14.6478873239436</v>
      </c>
      <c r="L361" s="6">
        <v>20.8812</v>
      </c>
      <c r="M361" s="6">
        <v>16.609</v>
      </c>
      <c r="N361" s="6"/>
      <c r="O361" s="6"/>
      <c r="P361" s="6"/>
      <c r="Q361" s="6">
        <v>0.96</v>
      </c>
      <c r="R361" s="4">
        <f>B361</f>
        <v>0.98</v>
      </c>
      <c r="S361" s="19">
        <f>B361/Q361-1</f>
        <v>0.0208333333333333</v>
      </c>
      <c r="T361" s="14">
        <v>-0.18957345971564</v>
      </c>
      <c r="U361" s="14">
        <v>-0.393617021276596</v>
      </c>
      <c r="V361" s="14">
        <v>-0.192982456140351</v>
      </c>
      <c r="W361" s="5" t="s">
        <v>466</v>
      </c>
      <c r="X361" s="6">
        <v>2.08</v>
      </c>
      <c r="Y361" s="6"/>
      <c r="Z361" s="6"/>
      <c r="AA361" s="4"/>
      <c r="AB361" s="4"/>
      <c r="AC361" s="4"/>
      <c r="AD361" s="4">
        <v>0.269230769230769</v>
      </c>
      <c r="AE361" s="4">
        <v>0.446153846153846</v>
      </c>
      <c r="AF361" s="6">
        <v>0.8</v>
      </c>
      <c r="AG361" s="6">
        <v>0.4</v>
      </c>
      <c r="AH361" s="6">
        <v>0.06</v>
      </c>
    </row>
    <row r="362" ht="15" hidden="1" spans="1:34">
      <c r="A362" s="38">
        <v>536</v>
      </c>
      <c r="B362" s="4">
        <v>1.61</v>
      </c>
      <c r="C362" s="4">
        <v>1.4</v>
      </c>
      <c r="D362" s="4">
        <v>2.13</v>
      </c>
      <c r="E362" s="13">
        <v>1247000000</v>
      </c>
      <c r="F362" s="46" t="s">
        <v>804</v>
      </c>
      <c r="G362">
        <v>5.58912386706949</v>
      </c>
      <c r="H362" s="28">
        <v>27.3236567354214</v>
      </c>
      <c r="I362" s="17">
        <f>H362/G362</f>
        <v>4.88871912401324</v>
      </c>
      <c r="J362" s="4">
        <v>3.66</v>
      </c>
      <c r="K362" s="4">
        <v>5.46374367622259</v>
      </c>
      <c r="L362" s="4">
        <v>17.344</v>
      </c>
      <c r="M362" s="4">
        <v>16.809</v>
      </c>
      <c r="Q362" s="4">
        <v>1.58</v>
      </c>
      <c r="R362" s="4">
        <f>B362</f>
        <v>1.61</v>
      </c>
      <c r="S362" s="18">
        <f>B362/Q362-1</f>
        <v>0.018987341772152</v>
      </c>
      <c r="T362" s="14">
        <v>-0.703016241299304</v>
      </c>
      <c r="U362" s="14">
        <v>-0.799058084772371</v>
      </c>
      <c r="V362" s="14">
        <v>5.5859375</v>
      </c>
      <c r="W362" s="31" t="s">
        <v>804</v>
      </c>
      <c r="X362" s="4">
        <v>0</v>
      </c>
      <c r="Y362" s="6"/>
      <c r="Z362" s="6"/>
      <c r="AD362" s="4">
        <v>0.0933242506811989</v>
      </c>
      <c r="AE362" s="4">
        <v>0.146457765667575</v>
      </c>
      <c r="AF362" s="4">
        <v>3.7811</v>
      </c>
      <c r="AG362" s="4">
        <v>0.24794</v>
      </c>
      <c r="AH362" s="4">
        <v>0.095</v>
      </c>
    </row>
    <row r="363" s="6" customFormat="1" ht="15" hidden="1" spans="1:34">
      <c r="A363" s="37">
        <v>2014</v>
      </c>
      <c r="B363" s="6">
        <v>1.71</v>
      </c>
      <c r="C363" s="6">
        <v>1.26</v>
      </c>
      <c r="D363" s="6">
        <v>4.7</v>
      </c>
      <c r="E363" s="15">
        <v>2837000000</v>
      </c>
      <c r="F363" s="53" t="s">
        <v>180</v>
      </c>
      <c r="G363">
        <v>35.0860110353781</v>
      </c>
      <c r="H363" s="23">
        <v>39.7624039133473</v>
      </c>
      <c r="I363" s="16">
        <f>H363/G363</f>
        <v>1.13328368600391</v>
      </c>
      <c r="J363" s="6">
        <v>1.23</v>
      </c>
      <c r="K363" s="6">
        <v>3.3245546620507</v>
      </c>
      <c r="L363" s="6">
        <v>18.8186</v>
      </c>
      <c r="M363" s="6">
        <v>16.552</v>
      </c>
      <c r="N363" s="6"/>
      <c r="O363" s="6"/>
      <c r="P363" s="6"/>
      <c r="Q363" s="6">
        <v>1.68</v>
      </c>
      <c r="R363" s="6">
        <f>B363</f>
        <v>1.71</v>
      </c>
      <c r="S363" s="19">
        <f>B363/Q363-1</f>
        <v>0.0178571428571428</v>
      </c>
      <c r="T363" s="16">
        <v>0</v>
      </c>
      <c r="U363" s="16">
        <v>0</v>
      </c>
      <c r="V363" s="16">
        <v>0</v>
      </c>
      <c r="W363" s="31" t="s">
        <v>180</v>
      </c>
      <c r="X363" s="4">
        <v>2.4</v>
      </c>
      <c r="Y363" s="4"/>
      <c r="Z363" s="4"/>
      <c r="AA363" s="4">
        <v>24000</v>
      </c>
      <c r="AB363" s="4"/>
      <c r="AC363" s="4"/>
      <c r="AD363" s="4">
        <v>0.382716049382716</v>
      </c>
      <c r="AE363" s="6">
        <v>0.759259259259259</v>
      </c>
      <c r="AF363" s="6">
        <v>0.53</v>
      </c>
      <c r="AG363" s="6">
        <v>0.185</v>
      </c>
      <c r="AH363" s="6">
        <v>0.177</v>
      </c>
    </row>
    <row r="364" ht="15" spans="1:33">
      <c r="A364" s="38">
        <v>1132</v>
      </c>
      <c r="B364" s="4">
        <v>0.57</v>
      </c>
      <c r="C364" s="4">
        <v>0.35</v>
      </c>
      <c r="D364" s="4">
        <v>1.05</v>
      </c>
      <c r="E364" s="13">
        <v>1069600000</v>
      </c>
      <c r="F364" s="59" t="s">
        <v>1025</v>
      </c>
      <c r="G364">
        <v>37.7179870453413</v>
      </c>
      <c r="H364" s="49">
        <v>21.0507202517855</v>
      </c>
      <c r="I364" s="14">
        <f>H364/G364</f>
        <v>0.558108263478646</v>
      </c>
      <c r="J364" s="4">
        <v>0.85</v>
      </c>
      <c r="K364" s="4">
        <v>1.09126984126984</v>
      </c>
      <c r="L364" s="4">
        <v>118.4813</v>
      </c>
      <c r="M364" s="4">
        <v>117.021</v>
      </c>
      <c r="Q364" s="4">
        <v>0.56</v>
      </c>
      <c r="R364" s="61">
        <f>B364</f>
        <v>0.57</v>
      </c>
      <c r="S364" s="18">
        <f>B364/Q364-1</f>
        <v>0.0178571428571426</v>
      </c>
      <c r="T364" s="14">
        <v>-0.143424975157337</v>
      </c>
      <c r="U364" s="14">
        <v>-0.236492471213463</v>
      </c>
      <c r="V364" s="14">
        <v>-0.774941995359629</v>
      </c>
      <c r="W364" s="5" t="s">
        <v>1025</v>
      </c>
      <c r="X364" s="4">
        <v>0</v>
      </c>
      <c r="Y364" s="61" t="s">
        <v>1026</v>
      </c>
      <c r="AG364" s="4">
        <v>5</v>
      </c>
    </row>
    <row r="365" s="6" customFormat="1" ht="15" spans="1:34">
      <c r="A365" s="41">
        <v>2308</v>
      </c>
      <c r="B365" s="6">
        <v>1.3</v>
      </c>
      <c r="C365" s="6">
        <v>0.78</v>
      </c>
      <c r="D365" s="6">
        <v>3.72</v>
      </c>
      <c r="E365" s="15">
        <v>1665000000</v>
      </c>
      <c r="F365" s="47" t="s">
        <v>133</v>
      </c>
      <c r="G365">
        <v>15.3833135894398</v>
      </c>
      <c r="H365" s="27">
        <v>39.9972000559989</v>
      </c>
      <c r="I365" s="16">
        <f>H365/G365</f>
        <v>2.6000380102409</v>
      </c>
      <c r="J365" s="6">
        <v>0.84</v>
      </c>
      <c r="K365" s="6">
        <v>0.721722956584101</v>
      </c>
      <c r="L365" s="6">
        <v>10.555</v>
      </c>
      <c r="M365" s="6">
        <v>10.552</v>
      </c>
      <c r="N365" s="6"/>
      <c r="O365" s="6"/>
      <c r="P365" s="6"/>
      <c r="Q365" s="6">
        <v>1.28</v>
      </c>
      <c r="R365" s="6">
        <f>B365</f>
        <v>1.3</v>
      </c>
      <c r="S365" s="19">
        <f>B365/Q365-1</f>
        <v>0.015625</v>
      </c>
      <c r="T365" s="16">
        <v>-0.708894878706199</v>
      </c>
      <c r="U365" s="16">
        <v>-0.831775700934579</v>
      </c>
      <c r="V365" s="14">
        <v>0.166666666666667</v>
      </c>
      <c r="W365" s="31" t="s">
        <v>133</v>
      </c>
      <c r="X365" s="4">
        <v>-1.52</v>
      </c>
      <c r="Y365" s="6" t="s">
        <v>1027</v>
      </c>
      <c r="Z365" s="6"/>
      <c r="AA365" s="6"/>
      <c r="AB365" s="6"/>
      <c r="AC365" s="6"/>
      <c r="AD365" s="4">
        <v>0.424</v>
      </c>
      <c r="AE365" s="4">
        <v>0.688</v>
      </c>
      <c r="AF365" s="6">
        <v>4.09</v>
      </c>
      <c r="AG365" s="6">
        <v>1.55</v>
      </c>
      <c r="AH365" s="6">
        <v>1.32</v>
      </c>
    </row>
    <row r="366" ht="15" hidden="1" spans="1:34">
      <c r="A366" s="37">
        <v>1669</v>
      </c>
      <c r="B366" s="6">
        <v>1.34</v>
      </c>
      <c r="C366" s="6">
        <v>1.2</v>
      </c>
      <c r="D366" s="6">
        <v>6.19</v>
      </c>
      <c r="E366" s="15">
        <v>556000000</v>
      </c>
      <c r="F366" s="47" t="s">
        <v>123</v>
      </c>
      <c r="G366">
        <v>14.9225795473881</v>
      </c>
      <c r="H366" s="27">
        <v>35.080372821829</v>
      </c>
      <c r="I366" s="16">
        <f>H366/G366</f>
        <v>2.35082498373876</v>
      </c>
      <c r="J366" s="6">
        <v>0.87</v>
      </c>
      <c r="K366" s="6">
        <v>4.38656614119259</v>
      </c>
      <c r="L366" s="6">
        <v>14.4014</v>
      </c>
      <c r="M366" s="6">
        <v>11.34</v>
      </c>
      <c r="N366" s="6"/>
      <c r="O366" s="6"/>
      <c r="P366" s="6"/>
      <c r="Q366" s="6">
        <v>1.32</v>
      </c>
      <c r="R366" s="4">
        <f>B366</f>
        <v>1.34</v>
      </c>
      <c r="S366" s="19">
        <f>B366/Q366-1</f>
        <v>0.0151515151515151</v>
      </c>
      <c r="T366" s="14">
        <v>0.5</v>
      </c>
      <c r="U366" s="14">
        <v>0.222222222222222</v>
      </c>
      <c r="V366" s="14">
        <v>-0.909090909090909</v>
      </c>
      <c r="W366" s="31" t="s">
        <v>123</v>
      </c>
      <c r="X366" s="4">
        <v>0.75</v>
      </c>
      <c r="Y366" s="4"/>
      <c r="Z366" s="4"/>
      <c r="AA366" s="6"/>
      <c r="AB366" s="6"/>
      <c r="AC366" s="4"/>
      <c r="AD366" s="4">
        <v>0.393548387096774</v>
      </c>
      <c r="AE366" s="6">
        <v>0.741935483870968</v>
      </c>
      <c r="AF366" s="4">
        <v>0.305</v>
      </c>
      <c r="AG366" s="4">
        <v>0.345</v>
      </c>
      <c r="AH366" s="4">
        <v>0.35</v>
      </c>
    </row>
    <row r="367" ht="15" spans="1:34">
      <c r="A367" s="38">
        <v>322</v>
      </c>
      <c r="B367" s="4">
        <v>9.02</v>
      </c>
      <c r="C367" s="4">
        <v>8.86</v>
      </c>
      <c r="D367" s="4">
        <v>23.25</v>
      </c>
      <c r="E367" s="13">
        <v>48969000000</v>
      </c>
      <c r="F367" s="46" t="s">
        <v>84</v>
      </c>
      <c r="G367">
        <v>29.0478217681283</v>
      </c>
      <c r="H367" s="27">
        <v>33.9225927413955</v>
      </c>
      <c r="I367" s="17">
        <f>H367/G367</f>
        <v>1.16781881313441</v>
      </c>
      <c r="J367" s="4">
        <v>2.15</v>
      </c>
      <c r="K367" s="4">
        <v>0.640071397942428</v>
      </c>
      <c r="L367" s="4">
        <v>16.5592</v>
      </c>
      <c r="M367" s="4">
        <v>16.027</v>
      </c>
      <c r="N367" s="4"/>
      <c r="O367" s="4"/>
      <c r="P367" s="4"/>
      <c r="Q367" s="4">
        <v>8.89</v>
      </c>
      <c r="R367" s="4">
        <f>B367</f>
        <v>9.02</v>
      </c>
      <c r="S367" s="18">
        <f>B367/Q367-1</f>
        <v>0.0146231721034868</v>
      </c>
      <c r="T367" s="16">
        <v>-0.241804945410993</v>
      </c>
      <c r="U367" s="14">
        <v>-0.354657598338488</v>
      </c>
      <c r="V367" s="14">
        <v>-0.547567725279389</v>
      </c>
      <c r="W367" s="31" t="s">
        <v>84</v>
      </c>
      <c r="X367" s="4">
        <v>0.22</v>
      </c>
      <c r="Y367" s="4" t="s">
        <v>1028</v>
      </c>
      <c r="Z367" s="4"/>
      <c r="AA367" s="4"/>
      <c r="AB367" s="4"/>
      <c r="AC367" s="4"/>
      <c r="AD367" s="4">
        <v>0.0585774058577406</v>
      </c>
      <c r="AE367" s="4">
        <v>0.103207810320781</v>
      </c>
      <c r="AF367" s="4">
        <v>0.152</v>
      </c>
      <c r="AG367" s="4">
        <v>0.045</v>
      </c>
      <c r="AH367" s="4">
        <v>0.065</v>
      </c>
    </row>
    <row r="368" ht="15" hidden="1" spans="1:34">
      <c r="A368" s="4">
        <v>269</v>
      </c>
      <c r="B368" s="4">
        <v>0.128</v>
      </c>
      <c r="C368" s="4">
        <v>0.028</v>
      </c>
      <c r="D368" s="4">
        <v>0.345</v>
      </c>
      <c r="E368" s="13">
        <v>925100000</v>
      </c>
      <c r="F368" s="46" t="s">
        <v>1029</v>
      </c>
      <c r="G368">
        <v>46.8749169920578</v>
      </c>
      <c r="H368" s="29">
        <v>142.189392104626</v>
      </c>
      <c r="I368" s="14">
        <f>H368/G368</f>
        <v>3.03337906984918</v>
      </c>
      <c r="J368" s="4">
        <v>0.31</v>
      </c>
      <c r="K368" s="4">
        <v>1.11111111111111</v>
      </c>
      <c r="L368" s="4"/>
      <c r="M368" s="4"/>
      <c r="N368" s="4"/>
      <c r="O368" s="4"/>
      <c r="P368" s="4"/>
      <c r="Q368" s="32">
        <v>0.127</v>
      </c>
      <c r="R368" s="6">
        <f>B368</f>
        <v>0.128</v>
      </c>
      <c r="S368" s="19">
        <f>B368/Q368-1</f>
        <v>0.00787401574803148</v>
      </c>
      <c r="T368" s="14">
        <v>0.00384615384615389</v>
      </c>
      <c r="U368" s="14">
        <v>1.55882352941176</v>
      </c>
      <c r="V368" s="14">
        <v>-0.431034482758621</v>
      </c>
      <c r="W368" s="31" t="s">
        <v>1029</v>
      </c>
      <c r="X368" s="6">
        <v>-0.775</v>
      </c>
      <c r="Y368" s="4"/>
      <c r="Z368" s="4"/>
      <c r="AA368" s="4"/>
      <c r="AB368" s="4"/>
      <c r="AC368" s="4"/>
      <c r="AD368" s="6">
        <v>0.132743362831858</v>
      </c>
      <c r="AE368" s="4">
        <v>0.194690265486726</v>
      </c>
      <c r="AF368" s="4">
        <v>0.221</v>
      </c>
      <c r="AG368" s="4">
        <v>0.156</v>
      </c>
      <c r="AH368" s="4">
        <v>0.096</v>
      </c>
    </row>
    <row r="369" ht="15" hidden="1" spans="1:34">
      <c r="A369" s="43">
        <v>1533</v>
      </c>
      <c r="B369" s="4">
        <v>5.37</v>
      </c>
      <c r="C369" s="4">
        <v>5</v>
      </c>
      <c r="D369" s="4">
        <v>5.85</v>
      </c>
      <c r="E369" s="13">
        <v>750000000</v>
      </c>
      <c r="F369" s="45" t="s">
        <v>305</v>
      </c>
      <c r="G369">
        <v>6.89013035381751</v>
      </c>
      <c r="H369" s="25">
        <v>8.94432944765225</v>
      </c>
      <c r="I369" s="17">
        <f>H369/G369</f>
        <v>1.29813646307818</v>
      </c>
      <c r="J369" s="4">
        <v>1</v>
      </c>
      <c r="K369" s="4">
        <v>9.2078</v>
      </c>
      <c r="L369" s="4"/>
      <c r="M369" s="4"/>
      <c r="N369" s="4"/>
      <c r="O369" s="4"/>
      <c r="P369" s="4"/>
      <c r="Q369" s="4">
        <v>5.35</v>
      </c>
      <c r="R369" s="4">
        <f>B369</f>
        <v>5.37</v>
      </c>
      <c r="S369" s="18">
        <f>B369/Q369-1</f>
        <v>0.00373831775700939</v>
      </c>
      <c r="T369" s="16">
        <v>0</v>
      </c>
      <c r="U369" s="14">
        <v>0</v>
      </c>
      <c r="V369" s="16">
        <v>0</v>
      </c>
      <c r="W369" s="31" t="s">
        <v>305</v>
      </c>
      <c r="X369" s="4">
        <v>0</v>
      </c>
      <c r="Y369" s="6"/>
      <c r="Z369" s="6"/>
      <c r="AA369" s="4"/>
      <c r="AB369" s="4"/>
      <c r="AC369" s="4"/>
      <c r="AD369" s="4">
        <v>0</v>
      </c>
      <c r="AE369" s="4">
        <v>0</v>
      </c>
      <c r="AF369" s="4">
        <v>1.08</v>
      </c>
      <c r="AG369" s="4">
        <v>1.68</v>
      </c>
      <c r="AH369" s="4">
        <v>2.17</v>
      </c>
    </row>
    <row r="370" s="6" customFormat="1" ht="15" hidden="1" spans="1:34">
      <c r="A370" s="38">
        <v>172</v>
      </c>
      <c r="B370" s="4">
        <v>0.285</v>
      </c>
      <c r="C370" s="4">
        <v>0.233</v>
      </c>
      <c r="D370" s="4">
        <v>0.79</v>
      </c>
      <c r="E370" s="13">
        <v>842400000</v>
      </c>
      <c r="F370" s="46" t="s">
        <v>1030</v>
      </c>
      <c r="G370">
        <v>18.2458836802433</v>
      </c>
      <c r="H370" s="26">
        <v>31.5789473684211</v>
      </c>
      <c r="I370" s="14">
        <f>H370/G370</f>
        <v>1.73074365275138</v>
      </c>
      <c r="J370" s="4">
        <v>0.34</v>
      </c>
      <c r="K370" s="4">
        <v>10.7142857142857</v>
      </c>
      <c r="L370" s="4">
        <v>6.6589</v>
      </c>
      <c r="M370" s="4">
        <v>6.032</v>
      </c>
      <c r="N370" s="4"/>
      <c r="O370" s="4"/>
      <c r="P370" s="4"/>
      <c r="Q370" s="32">
        <v>0.285</v>
      </c>
      <c r="R370" s="6">
        <f>B370</f>
        <v>0.285</v>
      </c>
      <c r="S370" s="19">
        <f>B370/Q370-1</f>
        <v>0</v>
      </c>
      <c r="T370" s="14">
        <v>1.33858267716535</v>
      </c>
      <c r="U370" s="14">
        <v>4.82352941176471</v>
      </c>
      <c r="V370" s="16">
        <v>14.4949494949495</v>
      </c>
      <c r="W370" s="31" t="s">
        <v>1030</v>
      </c>
      <c r="X370" s="4">
        <v>-9.524</v>
      </c>
      <c r="Y370" s="6"/>
      <c r="Z370" s="6"/>
      <c r="AA370" s="4"/>
      <c r="AB370" s="4"/>
      <c r="AC370" s="4"/>
      <c r="AD370" s="4">
        <v>0.276527331189711</v>
      </c>
      <c r="AE370" s="4">
        <v>0.479099678456592</v>
      </c>
      <c r="AF370" s="6">
        <v>1.33</v>
      </c>
      <c r="AG370" s="6">
        <v>1</v>
      </c>
      <c r="AH370" s="6">
        <v>0.93</v>
      </c>
    </row>
    <row r="371" s="6" customFormat="1" ht="15" hidden="1" spans="1:34">
      <c r="A371" s="38">
        <v>3818</v>
      </c>
      <c r="B371" s="4">
        <v>1.47</v>
      </c>
      <c r="C371" s="4">
        <v>1.11</v>
      </c>
      <c r="D371" s="4">
        <v>2.41</v>
      </c>
      <c r="E371" s="13">
        <v>8581000000</v>
      </c>
      <c r="F371" s="46" t="s">
        <v>679</v>
      </c>
      <c r="G371">
        <v>15.6474061577394</v>
      </c>
      <c r="H371" s="28">
        <v>40.8252358822701</v>
      </c>
      <c r="I371" s="17">
        <f>H371/G371</f>
        <v>2.60907370018497</v>
      </c>
      <c r="J371" s="4">
        <v>0.76</v>
      </c>
      <c r="K371" s="14">
        <v>4.2398924632813</v>
      </c>
      <c r="L371" s="4">
        <v>7.546</v>
      </c>
      <c r="M371" s="4">
        <v>7.078</v>
      </c>
      <c r="N371" s="4"/>
      <c r="O371" s="4"/>
      <c r="P371" s="4"/>
      <c r="Q371" s="4">
        <v>1.47</v>
      </c>
      <c r="R371" s="4">
        <f>B371</f>
        <v>1.47</v>
      </c>
      <c r="S371" s="18">
        <f>B371/Q371-1</f>
        <v>0</v>
      </c>
      <c r="T371" s="16">
        <v>-0.426643652910717</v>
      </c>
      <c r="U371" s="14">
        <v>-0.51103974307507</v>
      </c>
      <c r="V371" s="14">
        <v>0.105928571428571</v>
      </c>
      <c r="W371" s="31" t="s">
        <v>679</v>
      </c>
      <c r="X371" s="4">
        <v>-2</v>
      </c>
      <c r="Y371" s="4"/>
      <c r="Z371" s="4"/>
      <c r="AA371" s="4"/>
      <c r="AB371" s="4"/>
      <c r="AC371" s="4"/>
      <c r="AD371" s="4">
        <v>0.0280898876404495</v>
      </c>
      <c r="AE371" s="4">
        <v>0.0617977528089887</v>
      </c>
      <c r="AF371" s="6">
        <v>0.53718</v>
      </c>
      <c r="AG371" s="6">
        <v>0.52</v>
      </c>
      <c r="AH371" s="6">
        <v>0.81</v>
      </c>
    </row>
    <row r="372" ht="15" hidden="1" spans="1:34">
      <c r="A372" s="38">
        <v>940</v>
      </c>
      <c r="B372" s="4">
        <v>5.2</v>
      </c>
      <c r="C372" s="4">
        <v>4.3</v>
      </c>
      <c r="D372" s="4">
        <v>8.09</v>
      </c>
      <c r="E372" s="13">
        <v>10223000000</v>
      </c>
      <c r="F372" s="45" t="s">
        <v>550</v>
      </c>
      <c r="G372">
        <v>0</v>
      </c>
      <c r="H372" s="28">
        <v>0</v>
      </c>
      <c r="I372" s="17" t="e">
        <f>H372/G372</f>
        <v>#DIV/0!</v>
      </c>
      <c r="J372" s="4">
        <v>4.91</v>
      </c>
      <c r="K372" s="4">
        <v>8.05899431809904</v>
      </c>
      <c r="L372" s="4">
        <v>42.8431</v>
      </c>
      <c r="M372" s="4">
        <v>37.599</v>
      </c>
      <c r="N372" s="4"/>
      <c r="O372" s="4"/>
      <c r="P372" s="4"/>
      <c r="Q372" s="4">
        <v>5.2</v>
      </c>
      <c r="R372" s="4">
        <f>B372</f>
        <v>5.2</v>
      </c>
      <c r="S372" s="18">
        <f>B372/Q372-1</f>
        <v>0</v>
      </c>
      <c r="T372" s="14">
        <v>0</v>
      </c>
      <c r="U372" s="14">
        <v>0</v>
      </c>
      <c r="V372" s="16">
        <v>0</v>
      </c>
      <c r="W372" s="31" t="s">
        <v>550</v>
      </c>
      <c r="X372" s="4">
        <v>0</v>
      </c>
      <c r="Y372" s="6"/>
      <c r="Z372" s="6"/>
      <c r="AA372" s="4"/>
      <c r="AB372" s="4"/>
      <c r="AC372" s="4"/>
      <c r="AD372" s="4">
        <v>0</v>
      </c>
      <c r="AE372" s="4">
        <v>0</v>
      </c>
      <c r="AG372" s="4">
        <v>4.595</v>
      </c>
      <c r="AH372" s="4">
        <v>3.46</v>
      </c>
    </row>
    <row r="373" ht="15" hidden="1" spans="1:34">
      <c r="A373" s="48">
        <v>1766</v>
      </c>
      <c r="B373" s="4">
        <v>6.89</v>
      </c>
      <c r="C373" s="4">
        <v>6.56</v>
      </c>
      <c r="D373" s="4">
        <v>20.65</v>
      </c>
      <c r="E373" s="13">
        <v>194023000000</v>
      </c>
      <c r="F373" s="47" t="s">
        <v>509</v>
      </c>
      <c r="G373">
        <v>6.38457217749485</v>
      </c>
      <c r="H373" s="28">
        <v>55.5935895441108</v>
      </c>
      <c r="I373" s="17">
        <f>H373/G373</f>
        <v>8.70748861451893</v>
      </c>
      <c r="J373" s="4">
        <v>1.72</v>
      </c>
      <c r="K373" s="4">
        <v>0.851966726237105</v>
      </c>
      <c r="L373" s="4">
        <v>28.3324</v>
      </c>
      <c r="M373" s="4">
        <v>14.33</v>
      </c>
      <c r="N373" s="4"/>
      <c r="O373" s="4"/>
      <c r="P373" s="4"/>
      <c r="Q373" s="4">
        <v>6.9</v>
      </c>
      <c r="R373" s="4">
        <f>B373</f>
        <v>6.89</v>
      </c>
      <c r="S373" s="18">
        <f>B373/Q373-1</f>
        <v>-0.00144927536231898</v>
      </c>
      <c r="T373" s="16">
        <v>0.0029622995985997</v>
      </c>
      <c r="U373" s="14">
        <v>0.205063698291806</v>
      </c>
      <c r="V373" s="14">
        <v>-0.284316123620141</v>
      </c>
      <c r="W373" s="62" t="s">
        <v>509</v>
      </c>
      <c r="X373" s="6">
        <v>-0.86</v>
      </c>
      <c r="Y373" s="6"/>
      <c r="Z373" s="6"/>
      <c r="AA373" s="6"/>
      <c r="AB373" s="6"/>
      <c r="AC373" s="6"/>
      <c r="AD373" s="4">
        <v>0.232828043581241</v>
      </c>
      <c r="AE373" s="4">
        <v>0.267882520132638</v>
      </c>
      <c r="AF373" s="4">
        <v>10.981</v>
      </c>
      <c r="AG373" s="4">
        <v>10.54</v>
      </c>
      <c r="AH373" s="4">
        <v>17.12</v>
      </c>
    </row>
    <row r="374" ht="15" hidden="1" spans="1:34">
      <c r="A374" s="38">
        <v>237</v>
      </c>
      <c r="B374" s="4">
        <v>18.94</v>
      </c>
      <c r="C374" s="4">
        <v>9.55</v>
      </c>
      <c r="D374" s="4">
        <v>19.48</v>
      </c>
      <c r="E374" s="13">
        <v>2611000000</v>
      </c>
      <c r="F374" s="46" t="s">
        <v>1031</v>
      </c>
      <c r="G374">
        <v>14.3615654705832</v>
      </c>
      <c r="H374" s="28">
        <v>38.6001386001386</v>
      </c>
      <c r="I374" s="14">
        <f>H374/G374</f>
        <v>2.68773892924161</v>
      </c>
      <c r="J374" s="4">
        <v>0.66</v>
      </c>
      <c r="K374" s="4">
        <v>15.6451346439781</v>
      </c>
      <c r="L374" s="4">
        <v>4.2667</v>
      </c>
      <c r="M374" s="4">
        <v>3.794</v>
      </c>
      <c r="N374" s="4"/>
      <c r="O374" s="4"/>
      <c r="P374" s="4"/>
      <c r="Q374" s="38">
        <v>18.98</v>
      </c>
      <c r="R374" s="4">
        <f>B374</f>
        <v>18.94</v>
      </c>
      <c r="S374" s="18">
        <f>B374/Q374-1</f>
        <v>-0.00210748155953633</v>
      </c>
      <c r="T374" s="14">
        <v>-0.0286085825747724</v>
      </c>
      <c r="U374" s="14">
        <v>-0.17</v>
      </c>
      <c r="V374" s="14">
        <v>-0.27710843373494</v>
      </c>
      <c r="W374" s="31" t="s">
        <v>1031</v>
      </c>
      <c r="X374" s="4">
        <v>-0.21</v>
      </c>
      <c r="Y374" s="4"/>
      <c r="Z374" s="4"/>
      <c r="AA374" s="4"/>
      <c r="AB374" s="4"/>
      <c r="AC374" s="4"/>
      <c r="AD374" s="4"/>
      <c r="AE374" s="4"/>
      <c r="AF374" s="4">
        <v>0.23</v>
      </c>
      <c r="AG374" s="4">
        <v>0.168</v>
      </c>
      <c r="AH374" s="4">
        <v>0.4</v>
      </c>
    </row>
    <row r="375" s="6" customFormat="1" ht="15" hidden="1" spans="1:34">
      <c r="A375" s="38">
        <v>1813</v>
      </c>
      <c r="B375" s="4">
        <v>4.38</v>
      </c>
      <c r="C375" s="4">
        <v>4.25</v>
      </c>
      <c r="D375" s="4">
        <v>8.7</v>
      </c>
      <c r="E375" s="13">
        <v>14322000000</v>
      </c>
      <c r="F375" s="45" t="s">
        <v>503</v>
      </c>
      <c r="G375">
        <v>3.88312187620146</v>
      </c>
      <c r="H375" s="27">
        <v>37.8929950358522</v>
      </c>
      <c r="I375" s="17">
        <f>H375/G375</f>
        <v>9.75838416715361</v>
      </c>
      <c r="J375" s="4">
        <v>0.55</v>
      </c>
      <c r="K375" s="4">
        <v>1.40014841573206</v>
      </c>
      <c r="L375" s="4">
        <v>3.4421</v>
      </c>
      <c r="M375" s="4">
        <v>3.136</v>
      </c>
      <c r="N375" s="4"/>
      <c r="O375" s="4"/>
      <c r="P375" s="4"/>
      <c r="Q375" s="4">
        <v>4.4</v>
      </c>
      <c r="R375" s="4">
        <f>B375</f>
        <v>4.38</v>
      </c>
      <c r="S375" s="18">
        <f>B375/Q375-1</f>
        <v>-0.00454545454545463</v>
      </c>
      <c r="T375" s="16">
        <v>-0.101974909949075</v>
      </c>
      <c r="U375" s="14">
        <v>-0.114118629908104</v>
      </c>
      <c r="V375" s="14">
        <v>-0.435635231987929</v>
      </c>
      <c r="W375" s="31" t="s">
        <v>503</v>
      </c>
      <c r="X375" s="6">
        <v>0.23</v>
      </c>
      <c r="Y375" s="4"/>
      <c r="Z375" s="4"/>
      <c r="AA375" s="4"/>
      <c r="AB375" s="4"/>
      <c r="AC375" s="4"/>
      <c r="AD375" s="4">
        <v>0.0722433460076045</v>
      </c>
      <c r="AE375" s="4">
        <v>0.138783269961977</v>
      </c>
      <c r="AF375" s="6">
        <v>15.274</v>
      </c>
      <c r="AG375" s="6">
        <v>22.4</v>
      </c>
      <c r="AH375" s="6">
        <v>14.84</v>
      </c>
    </row>
    <row r="376" ht="15" hidden="1" spans="1:34">
      <c r="A376" s="43">
        <v>1508</v>
      </c>
      <c r="B376" s="4">
        <v>1.79</v>
      </c>
      <c r="C376" s="4">
        <v>1.79</v>
      </c>
      <c r="D376" s="4">
        <v>2.81</v>
      </c>
      <c r="E376" s="13">
        <v>80287000000</v>
      </c>
      <c r="F376" s="47" t="s">
        <v>286</v>
      </c>
      <c r="G376">
        <v>6.14734866259972</v>
      </c>
      <c r="H376" s="28">
        <v>50.2855425308085</v>
      </c>
      <c r="I376" s="17">
        <f>H376/G376</f>
        <v>8.18003749108038</v>
      </c>
      <c r="J376" s="4">
        <v>0.93</v>
      </c>
      <c r="K376" s="4">
        <v>11.881</v>
      </c>
      <c r="Q376" s="4">
        <v>1.8</v>
      </c>
      <c r="R376" s="4">
        <f>B376</f>
        <v>1.79</v>
      </c>
      <c r="S376" s="18">
        <f>B376/Q376-1</f>
        <v>-0.00555555555555554</v>
      </c>
      <c r="T376" s="14">
        <v>-0.136462407648848</v>
      </c>
      <c r="U376" s="14">
        <v>-0.314827586206897</v>
      </c>
      <c r="V376" s="14">
        <v>-0.429038751887267</v>
      </c>
      <c r="W376" s="31" t="s">
        <v>286</v>
      </c>
      <c r="X376" s="4">
        <v>0.56</v>
      </c>
      <c r="AA376" s="6"/>
      <c r="AB376" s="6"/>
      <c r="AD376" s="4">
        <v>0</v>
      </c>
      <c r="AE376" s="4">
        <v>0</v>
      </c>
      <c r="AF376" s="4">
        <v>0.73</v>
      </c>
      <c r="AG376" s="4">
        <v>0.355</v>
      </c>
      <c r="AH376" s="4">
        <v>0.16</v>
      </c>
    </row>
    <row r="377" ht="14.25" spans="1:34">
      <c r="A377" s="37">
        <v>974</v>
      </c>
      <c r="B377" s="6">
        <v>2.92</v>
      </c>
      <c r="C377" s="6">
        <v>2.78</v>
      </c>
      <c r="D377" s="6">
        <v>7.5</v>
      </c>
      <c r="E377" s="15">
        <v>828000000</v>
      </c>
      <c r="F377" s="47" t="s">
        <v>352</v>
      </c>
      <c r="G377">
        <v>14.3835616438356</v>
      </c>
      <c r="H377" s="23">
        <v>36.986301369863</v>
      </c>
      <c r="I377" s="16">
        <f>H377/G377</f>
        <v>2.57142857142857</v>
      </c>
      <c r="J377" s="6">
        <v>3.04</v>
      </c>
      <c r="K377" s="6">
        <v>22.5154</v>
      </c>
      <c r="L377" s="6"/>
      <c r="M377" s="6"/>
      <c r="N377" s="6"/>
      <c r="O377" s="6"/>
      <c r="P377" s="6"/>
      <c r="Q377" s="6">
        <v>2.94</v>
      </c>
      <c r="R377" s="6">
        <f>B377</f>
        <v>2.92</v>
      </c>
      <c r="S377" s="68">
        <f>B377/Q377-1</f>
        <v>-0.00680272108843538</v>
      </c>
      <c r="T377" s="14">
        <v>0.0827067669172932</v>
      </c>
      <c r="U377" s="16">
        <v>-0.0769230769230769</v>
      </c>
      <c r="V377" s="14">
        <v>-0.791666666666667</v>
      </c>
      <c r="W377" s="5" t="s">
        <v>352</v>
      </c>
      <c r="X377" s="4">
        <v>-0.34</v>
      </c>
      <c r="Y377" s="4" t="s">
        <v>1032</v>
      </c>
      <c r="AC377" s="6"/>
      <c r="AD377" s="4">
        <v>0</v>
      </c>
      <c r="AE377" s="4">
        <v>0</v>
      </c>
      <c r="AF377" s="4">
        <v>22.532</v>
      </c>
      <c r="AG377" s="4">
        <v>17.462</v>
      </c>
      <c r="AH377" s="4">
        <v>18.091</v>
      </c>
    </row>
    <row r="378" ht="15" hidden="1" spans="1:34">
      <c r="A378" s="43">
        <v>968</v>
      </c>
      <c r="B378" s="4">
        <v>2.64</v>
      </c>
      <c r="C378" s="4">
        <v>1.97</v>
      </c>
      <c r="D378" s="4">
        <v>3.97</v>
      </c>
      <c r="E378" s="13">
        <v>18897000000</v>
      </c>
      <c r="F378" s="46" t="s">
        <v>101</v>
      </c>
      <c r="G378">
        <v>20.076726342711</v>
      </c>
      <c r="H378" s="28">
        <v>33.7077149351518</v>
      </c>
      <c r="I378" s="17">
        <f>H378/G378</f>
        <v>1.6789447821203</v>
      </c>
      <c r="J378" s="4">
        <v>3.38</v>
      </c>
      <c r="K378" s="4">
        <v>4.1820418204182</v>
      </c>
      <c r="L378" s="4">
        <v>37.2369</v>
      </c>
      <c r="M378" s="4">
        <v>31.591</v>
      </c>
      <c r="N378" s="4"/>
      <c r="O378" s="4"/>
      <c r="P378" s="4"/>
      <c r="Q378" s="4">
        <v>2.66</v>
      </c>
      <c r="R378" s="4">
        <f>B378</f>
        <v>2.64</v>
      </c>
      <c r="S378" s="18">
        <f>B378/Q378-1</f>
        <v>-0.00751879699248126</v>
      </c>
      <c r="T378" s="16">
        <v>-0.238297166511614</v>
      </c>
      <c r="U378" s="16">
        <v>-0.210730832461515</v>
      </c>
      <c r="V378" s="14">
        <v>-0.435926434387427</v>
      </c>
      <c r="W378" s="31" t="s">
        <v>101</v>
      </c>
      <c r="X378" s="6">
        <v>-0.75</v>
      </c>
      <c r="Y378" s="4"/>
      <c r="Z378" s="4"/>
      <c r="AA378" s="4"/>
      <c r="AB378" s="4"/>
      <c r="AC378" s="6"/>
      <c r="AD378" s="4">
        <v>0.184549356223176</v>
      </c>
      <c r="AE378" s="6">
        <v>0.274678111587983</v>
      </c>
      <c r="AF378" s="4">
        <v>2.66</v>
      </c>
      <c r="AG378" s="4">
        <v>2.59</v>
      </c>
      <c r="AH378" s="4">
        <v>1.72</v>
      </c>
    </row>
    <row r="379" ht="15" hidden="1" spans="1:34">
      <c r="A379" s="37">
        <v>1538</v>
      </c>
      <c r="B379" s="6">
        <v>1.22</v>
      </c>
      <c r="C379" s="6">
        <v>1.15</v>
      </c>
      <c r="D379" s="6">
        <v>2.1</v>
      </c>
      <c r="E379" s="15">
        <v>928000000</v>
      </c>
      <c r="F379" s="52" t="s">
        <v>175</v>
      </c>
      <c r="G379">
        <v>24.590905663223</v>
      </c>
      <c r="H379" s="23">
        <v>72.1170395869191</v>
      </c>
      <c r="I379" s="16">
        <f>H379/G379</f>
        <v>2.93267114983789</v>
      </c>
      <c r="J379" s="6">
        <v>2.42</v>
      </c>
      <c r="K379" s="6">
        <v>14.2732</v>
      </c>
      <c r="L379" s="6"/>
      <c r="M379" s="6"/>
      <c r="N379" s="6"/>
      <c r="O379" s="6"/>
      <c r="P379" s="6"/>
      <c r="Q379" s="6">
        <v>1.23</v>
      </c>
      <c r="R379" s="6">
        <f>B379</f>
        <v>1.22</v>
      </c>
      <c r="S379" s="19">
        <f>B379/Q379-1</f>
        <v>-0.00813008130081305</v>
      </c>
      <c r="T379" s="14">
        <v>-0.0621716287215412</v>
      </c>
      <c r="U379" s="14">
        <v>-0.514945652173913</v>
      </c>
      <c r="V379" s="14">
        <v>-0.0364145658263305</v>
      </c>
      <c r="W379" s="31" t="s">
        <v>175</v>
      </c>
      <c r="X379" s="4">
        <v>0.83</v>
      </c>
      <c r="Y379" s="6"/>
      <c r="Z379" s="6"/>
      <c r="AA379" s="6"/>
      <c r="AB379" s="6"/>
      <c r="AC379" s="4"/>
      <c r="AD379" s="4">
        <v>0</v>
      </c>
      <c r="AE379" s="4">
        <v>0</v>
      </c>
      <c r="AF379" s="4">
        <v>8.725</v>
      </c>
      <c r="AG379" s="4">
        <v>8.75</v>
      </c>
      <c r="AH379" s="4">
        <v>6.34</v>
      </c>
    </row>
    <row r="380" s="6" customFormat="1" ht="15" hidden="1" spans="1:34">
      <c r="A380" s="38">
        <v>1566</v>
      </c>
      <c r="B380" s="4">
        <v>3.2</v>
      </c>
      <c r="C380" s="4">
        <v>3.19</v>
      </c>
      <c r="D380" s="4">
        <v>12.5</v>
      </c>
      <c r="E380" s="13">
        <v>2890000000</v>
      </c>
      <c r="F380" s="45" t="s">
        <v>476</v>
      </c>
      <c r="G380">
        <v>20.3123754880867</v>
      </c>
      <c r="H380" s="25">
        <v>39.0627172854958</v>
      </c>
      <c r="I380" s="14">
        <f>H380/G380</f>
        <v>1.92309940845699</v>
      </c>
      <c r="J380" s="4">
        <v>4.82</v>
      </c>
      <c r="K380" s="4">
        <v>2.73372976544433</v>
      </c>
      <c r="L380" s="4">
        <v>36.6517</v>
      </c>
      <c r="M380" s="4">
        <v>27.257</v>
      </c>
      <c r="N380" s="4"/>
      <c r="O380" s="4"/>
      <c r="P380" s="4"/>
      <c r="Q380" s="4">
        <v>3.23</v>
      </c>
      <c r="R380" s="4">
        <f>B380</f>
        <v>3.2</v>
      </c>
      <c r="S380" s="18">
        <f>B380/Q380-1</f>
        <v>-0.00928792569659431</v>
      </c>
      <c r="T380" s="14">
        <v>0.0641338445451377</v>
      </c>
      <c r="U380" s="16">
        <v>0.0193656093489149</v>
      </c>
      <c r="V380" s="14">
        <v>-0.727153619390763</v>
      </c>
      <c r="W380" s="31" t="s">
        <v>476</v>
      </c>
      <c r="X380" s="4">
        <v>-0.93</v>
      </c>
      <c r="Y380" s="4"/>
      <c r="Z380" s="4"/>
      <c r="AA380" s="4"/>
      <c r="AB380" s="4"/>
      <c r="AC380" s="4"/>
      <c r="AD380" s="6">
        <v>0.116430903155604</v>
      </c>
      <c r="AE380" s="4">
        <v>0.136017410228509</v>
      </c>
      <c r="AF380" s="6">
        <v>2.14</v>
      </c>
      <c r="AG380" s="6">
        <v>1.79</v>
      </c>
      <c r="AH380" s="6">
        <v>1.48</v>
      </c>
    </row>
    <row r="381" s="6" customFormat="1" ht="15" hidden="1" spans="1:34">
      <c r="A381" s="22">
        <v>8361</v>
      </c>
      <c r="B381" s="6">
        <v>2.08</v>
      </c>
      <c r="C381" s="6">
        <v>1</v>
      </c>
      <c r="D381" s="6">
        <v>2.8</v>
      </c>
      <c r="E381" s="15">
        <v>2679000000</v>
      </c>
      <c r="F381" s="52" t="s">
        <v>144</v>
      </c>
      <c r="G381">
        <v>9.61677512653652</v>
      </c>
      <c r="H381" s="29">
        <v>38.4657989476599</v>
      </c>
      <c r="I381" s="16">
        <f>H381/G381</f>
        <v>3.99986465748975</v>
      </c>
      <c r="J381" s="6">
        <v>6.75</v>
      </c>
      <c r="K381" s="16">
        <v>21.171621794481</v>
      </c>
      <c r="L381" s="6">
        <v>129.3525</v>
      </c>
      <c r="M381" s="6"/>
      <c r="N381" s="6"/>
      <c r="O381" s="6"/>
      <c r="P381" s="6"/>
      <c r="Q381" s="6">
        <v>2.1</v>
      </c>
      <c r="R381" s="6">
        <f>B381</f>
        <v>2.08</v>
      </c>
      <c r="S381" s="19">
        <f>B381/Q381-1</f>
        <v>-0.00952380952380949</v>
      </c>
      <c r="T381" s="16">
        <v>-0.25</v>
      </c>
      <c r="U381" s="14">
        <v>-0.5</v>
      </c>
      <c r="V381" s="14">
        <v>0.4</v>
      </c>
      <c r="W381" s="31" t="s">
        <v>144</v>
      </c>
      <c r="X381" s="6">
        <v>-0.48</v>
      </c>
      <c r="Y381" s="6"/>
      <c r="Z381" s="6"/>
      <c r="AA381" s="4"/>
      <c r="AB381" s="4"/>
      <c r="AC381" s="4"/>
      <c r="AD381" s="6">
        <v>0.186440677966102</v>
      </c>
      <c r="AE381" s="6">
        <v>0.796610169491526</v>
      </c>
      <c r="AF381" s="6">
        <v>0.235</v>
      </c>
      <c r="AG381" s="6">
        <v>0.192</v>
      </c>
      <c r="AH381" s="6">
        <v>0.29</v>
      </c>
    </row>
    <row r="382" ht="15" hidden="1" spans="1:34">
      <c r="A382" s="38">
        <v>2788</v>
      </c>
      <c r="B382" s="4">
        <v>1</v>
      </c>
      <c r="C382" s="4">
        <v>0.79</v>
      </c>
      <c r="D382" s="4">
        <v>1.19</v>
      </c>
      <c r="E382" s="13">
        <v>805000000</v>
      </c>
      <c r="F382" s="46" t="s">
        <v>1033</v>
      </c>
      <c r="G382">
        <v>19.0021059452454</v>
      </c>
      <c r="H382" s="56">
        <v>14.9954001839926</v>
      </c>
      <c r="I382" s="14">
        <f>H382/G382</f>
        <v>0.789144120509689</v>
      </c>
      <c r="J382" s="4">
        <v>0.79</v>
      </c>
      <c r="K382" s="4">
        <v>1.31660472919152</v>
      </c>
      <c r="L382" s="4">
        <v>26.2694</v>
      </c>
      <c r="M382" s="4">
        <v>26.385</v>
      </c>
      <c r="N382" s="4"/>
      <c r="O382" s="4"/>
      <c r="P382" s="4"/>
      <c r="Q382" s="4">
        <v>1.01</v>
      </c>
      <c r="R382" s="61">
        <f>B382</f>
        <v>1</v>
      </c>
      <c r="S382" s="18">
        <f>B382/Q382-1</f>
        <v>-0.00990099009900991</v>
      </c>
      <c r="T382" s="14">
        <v>-0.887587822014052</v>
      </c>
      <c r="U382" s="14">
        <v>-0.947797716150082</v>
      </c>
      <c r="V382" s="14">
        <v>0.09375</v>
      </c>
      <c r="W382" s="31" t="s">
        <v>1033</v>
      </c>
      <c r="X382" s="4">
        <v>1.02</v>
      </c>
      <c r="Y382" s="4"/>
      <c r="Z382" s="4"/>
      <c r="AA382" s="4"/>
      <c r="AB382" s="4"/>
      <c r="AC382" s="4"/>
      <c r="AD382" s="4"/>
      <c r="AE382" s="4"/>
      <c r="AF382" s="4">
        <v>1.8546</v>
      </c>
      <c r="AG382" s="4">
        <v>0.95658</v>
      </c>
      <c r="AH382" s="4">
        <v>0.93</v>
      </c>
    </row>
    <row r="383" s="6" customFormat="1" ht="15" hidden="1" spans="1:34">
      <c r="A383" s="41">
        <v>8175</v>
      </c>
      <c r="B383" s="4">
        <v>0.425</v>
      </c>
      <c r="C383" s="4">
        <v>0.08</v>
      </c>
      <c r="D383" s="4">
        <v>0.48</v>
      </c>
      <c r="E383" s="13">
        <v>809200000</v>
      </c>
      <c r="F383" s="45" t="s">
        <v>1034</v>
      </c>
      <c r="G383">
        <v>43.9998655996774</v>
      </c>
      <c r="H383" s="29">
        <v>50.5888022166672</v>
      </c>
      <c r="I383" s="14">
        <f>H383/G383</f>
        <v>1.14974901689332</v>
      </c>
      <c r="J383" s="4">
        <v>1.25</v>
      </c>
      <c r="K383" s="4">
        <v>23.7837837837837</v>
      </c>
      <c r="L383" s="4">
        <v>23.4953</v>
      </c>
      <c r="M383" s="4">
        <v>13.87</v>
      </c>
      <c r="N383" s="4"/>
      <c r="O383" s="4"/>
      <c r="P383" s="4"/>
      <c r="Q383" s="32">
        <v>0.43</v>
      </c>
      <c r="R383" s="6">
        <f>B383</f>
        <v>0.425</v>
      </c>
      <c r="S383" s="19">
        <f>B383/Q383-1</f>
        <v>-0.0116279069767442</v>
      </c>
      <c r="T383" s="14">
        <v>0.26898247771288</v>
      </c>
      <c r="U383" s="14">
        <v>0.414182939362795</v>
      </c>
      <c r="V383" s="14">
        <v>-0.796511627906977</v>
      </c>
      <c r="W383" s="31" t="s">
        <v>1034</v>
      </c>
      <c r="X383" s="4">
        <v>-1.163</v>
      </c>
      <c r="Y383" s="4"/>
      <c r="Z383" s="4"/>
      <c r="AA383" s="4"/>
      <c r="AB383" s="4"/>
      <c r="AC383" s="4"/>
      <c r="AD383" s="4">
        <v>0</v>
      </c>
      <c r="AE383" s="4">
        <v>0</v>
      </c>
      <c r="AF383" s="6">
        <v>0.55434</v>
      </c>
      <c r="AG383" s="6">
        <v>1.08888</v>
      </c>
      <c r="AH383" s="6">
        <v>1.19</v>
      </c>
    </row>
    <row r="384" ht="15" hidden="1" spans="1:34">
      <c r="A384" s="65">
        <v>570</v>
      </c>
      <c r="B384" s="4">
        <v>3.95</v>
      </c>
      <c r="C384" s="4">
        <v>3.15</v>
      </c>
      <c r="D384" s="4">
        <v>7.03</v>
      </c>
      <c r="E384" s="13">
        <v>17770000000</v>
      </c>
      <c r="F384" s="47" t="s">
        <v>549</v>
      </c>
      <c r="G384">
        <v>26.8364062042728</v>
      </c>
      <c r="H384" s="27">
        <v>37.7220768489189</v>
      </c>
      <c r="I384" s="17">
        <f>H384/G384</f>
        <v>1.40563071529723</v>
      </c>
      <c r="J384" s="4">
        <v>1.4</v>
      </c>
      <c r="K384" s="4">
        <v>4.74975069060441</v>
      </c>
      <c r="L384" s="4">
        <v>35.3299</v>
      </c>
      <c r="M384" s="4">
        <v>19.627</v>
      </c>
      <c r="N384" s="4"/>
      <c r="O384" s="4"/>
      <c r="P384" s="4"/>
      <c r="Q384" s="4">
        <v>4</v>
      </c>
      <c r="R384" s="4">
        <f>B384</f>
        <v>3.95</v>
      </c>
      <c r="S384" s="18">
        <f>B384/Q384-1</f>
        <v>-0.0125</v>
      </c>
      <c r="T384" s="14">
        <v>0.140503295386459</v>
      </c>
      <c r="U384" s="16">
        <v>0.241075794621027</v>
      </c>
      <c r="V384" s="16">
        <v>-0.116233254531127</v>
      </c>
      <c r="W384" s="31" t="s">
        <v>549</v>
      </c>
      <c r="X384" s="4">
        <v>-1.25</v>
      </c>
      <c r="Y384" s="6"/>
      <c r="Z384" s="6"/>
      <c r="AA384" s="6"/>
      <c r="AB384" s="6"/>
      <c r="AC384" s="6"/>
      <c r="AD384" s="4">
        <v>0.169491525423729</v>
      </c>
      <c r="AE384" s="4">
        <v>0.197033898305085</v>
      </c>
      <c r="AF384" s="4">
        <v>0.305</v>
      </c>
      <c r="AG384" s="4">
        <v>0.248</v>
      </c>
      <c r="AH384" s="4">
        <v>0.4</v>
      </c>
    </row>
    <row r="385" s="6" customFormat="1" ht="15" hidden="1" spans="1:34">
      <c r="A385" s="38">
        <v>837</v>
      </c>
      <c r="B385" s="4">
        <v>3.9</v>
      </c>
      <c r="C385" s="4">
        <v>3.65</v>
      </c>
      <c r="D385" s="4">
        <v>6.12</v>
      </c>
      <c r="E385" s="13">
        <v>1015000000</v>
      </c>
      <c r="F385" s="46" t="s">
        <v>1035</v>
      </c>
      <c r="G385">
        <v>16.6666666666667</v>
      </c>
      <c r="H385" s="26">
        <v>13.3272892112421</v>
      </c>
      <c r="I385" s="14">
        <f>H385/G385</f>
        <v>0.799637352674524</v>
      </c>
      <c r="J385" s="4">
        <v>1.34</v>
      </c>
      <c r="K385" s="4">
        <v>2.5343753604168</v>
      </c>
      <c r="L385" s="4">
        <v>6.1179</v>
      </c>
      <c r="M385" s="4">
        <v>6.18</v>
      </c>
      <c r="N385" s="4"/>
      <c r="O385" s="4"/>
      <c r="P385" s="4"/>
      <c r="Q385" s="32">
        <v>3.95</v>
      </c>
      <c r="R385" s="6">
        <f>B385</f>
        <v>3.9</v>
      </c>
      <c r="S385" s="19">
        <f>B385/Q385-1</f>
        <v>-0.0126582278481013</v>
      </c>
      <c r="T385" s="14">
        <v>-1</v>
      </c>
      <c r="U385" s="14">
        <v>-1</v>
      </c>
      <c r="V385" s="14">
        <v>0</v>
      </c>
      <c r="W385" s="31" t="s">
        <v>1035</v>
      </c>
      <c r="X385" s="4">
        <v>-0.26</v>
      </c>
      <c r="Y385" s="4"/>
      <c r="Z385" s="4"/>
      <c r="AA385" s="4">
        <v>50000</v>
      </c>
      <c r="AB385" s="4"/>
      <c r="AC385" s="4"/>
      <c r="AD385" s="6">
        <v>0.15632183908046</v>
      </c>
      <c r="AE385" s="4">
        <v>0.140229885057471</v>
      </c>
      <c r="AF385" s="6">
        <v>3.71</v>
      </c>
      <c r="AG385" s="6">
        <v>2.94</v>
      </c>
      <c r="AH385" s="6">
        <v>1.63</v>
      </c>
    </row>
    <row r="386" ht="15" hidden="1" spans="1:31">
      <c r="A386" s="38">
        <v>862</v>
      </c>
      <c r="B386" s="4">
        <v>0.365</v>
      </c>
      <c r="C386" s="4">
        <v>0.26</v>
      </c>
      <c r="D386" s="4">
        <v>2.12</v>
      </c>
      <c r="E386" s="13">
        <v>1062700000</v>
      </c>
      <c r="F386" s="45" t="s">
        <v>1036</v>
      </c>
      <c r="G386">
        <v>28.7673184457029</v>
      </c>
      <c r="H386" s="28">
        <v>91.7802964923384</v>
      </c>
      <c r="I386" s="14">
        <f>H386/G386</f>
        <v>3.19043628155922</v>
      </c>
      <c r="J386" s="38">
        <v>3.46</v>
      </c>
      <c r="K386" s="4">
        <v>48.876404494382</v>
      </c>
      <c r="L386" s="4"/>
      <c r="M386" s="4"/>
      <c r="N386" s="4"/>
      <c r="O386" s="4"/>
      <c r="P386" s="4"/>
      <c r="Q386" s="33">
        <v>0.37</v>
      </c>
      <c r="R386" s="4">
        <f>B386</f>
        <v>0.365</v>
      </c>
      <c r="S386" s="18">
        <f>B386/Q386-1</f>
        <v>-0.0135135135135135</v>
      </c>
      <c r="T386" s="14">
        <v>-0.61198738170347</v>
      </c>
      <c r="U386" s="14">
        <v>-0.812785388127854</v>
      </c>
      <c r="V386" s="14">
        <v>0.804878048780488</v>
      </c>
      <c r="W386" s="34" t="s">
        <v>1036</v>
      </c>
      <c r="X386" s="4">
        <v>-1.351</v>
      </c>
      <c r="Y386" s="4"/>
      <c r="Z386" s="4"/>
      <c r="AA386" s="4"/>
      <c r="AB386" s="4"/>
      <c r="AC386" s="4"/>
      <c r="AD386" s="6">
        <v>0</v>
      </c>
      <c r="AE386" s="4">
        <v>0</v>
      </c>
    </row>
    <row r="387" ht="15" hidden="1" spans="1:34">
      <c r="A387" s="38">
        <v>1528</v>
      </c>
      <c r="B387" s="4">
        <v>7.88</v>
      </c>
      <c r="C387" s="4">
        <v>7.7</v>
      </c>
      <c r="D387" s="4">
        <v>12.98</v>
      </c>
      <c r="E387" s="13">
        <v>32325000000</v>
      </c>
      <c r="F387" s="47" t="s">
        <v>428</v>
      </c>
      <c r="G387">
        <v>24.236684597318</v>
      </c>
      <c r="H387" s="28">
        <v>30.2083333333333</v>
      </c>
      <c r="I387" s="17">
        <f>H387/G387</f>
        <v>1.24638884547254</v>
      </c>
      <c r="J387" s="4">
        <v>0.57</v>
      </c>
      <c r="K387" s="4">
        <v>2.61593365187356</v>
      </c>
      <c r="L387" s="4">
        <v>6.2226</v>
      </c>
      <c r="M387" s="4"/>
      <c r="N387" s="4"/>
      <c r="O387" s="4"/>
      <c r="P387" s="4"/>
      <c r="Q387" s="4">
        <v>7.99</v>
      </c>
      <c r="R387" s="4">
        <f>B387</f>
        <v>7.88</v>
      </c>
      <c r="S387" s="18">
        <f>B387/Q387-1</f>
        <v>-0.0137672090112642</v>
      </c>
      <c r="T387" s="16">
        <v>-0.0364155658693324</v>
      </c>
      <c r="U387" s="16">
        <v>-0.0587948109917701</v>
      </c>
      <c r="V387" s="14">
        <v>-0.60711374583179</v>
      </c>
      <c r="W387" s="62" t="s">
        <v>428</v>
      </c>
      <c r="X387" s="4">
        <v>0.64</v>
      </c>
      <c r="Y387" s="4"/>
      <c r="Z387" s="4"/>
      <c r="AA387" s="4"/>
      <c r="AB387" s="4"/>
      <c r="AC387" s="4"/>
      <c r="AD387" s="6">
        <v>0.0338983050847456</v>
      </c>
      <c r="AE387" s="6">
        <v>0.0322033898305084</v>
      </c>
      <c r="AF387" s="4">
        <v>0.56793</v>
      </c>
      <c r="AG387" s="4">
        <v>0.275</v>
      </c>
      <c r="AH387" s="4">
        <v>0.275</v>
      </c>
    </row>
    <row r="388" ht="15" hidden="1" spans="1:34">
      <c r="A388" s="38">
        <v>305</v>
      </c>
      <c r="B388" s="4">
        <v>0.59</v>
      </c>
      <c r="C388" s="4">
        <v>0.42</v>
      </c>
      <c r="D388" s="4">
        <v>1.04</v>
      </c>
      <c r="E388" s="13">
        <v>1046000000</v>
      </c>
      <c r="F388" s="46" t="s">
        <v>1037</v>
      </c>
      <c r="G388">
        <v>15.2542372881356</v>
      </c>
      <c r="H388" s="56">
        <v>32.2051824431518</v>
      </c>
      <c r="I388" s="14">
        <f>H388/G388</f>
        <v>2.11122862682884</v>
      </c>
      <c r="J388" s="4">
        <v>1.04</v>
      </c>
      <c r="K388" s="4">
        <v>0.0602821401018441</v>
      </c>
      <c r="L388" s="4">
        <v>19.752</v>
      </c>
      <c r="M388" s="4">
        <v>15.438</v>
      </c>
      <c r="N388" s="4"/>
      <c r="O388" s="4"/>
      <c r="P388" s="4"/>
      <c r="Q388" s="4">
        <v>0.6</v>
      </c>
      <c r="R388" s="61">
        <f>B388</f>
        <v>0.59</v>
      </c>
      <c r="S388" s="18">
        <f>B388/Q388-1</f>
        <v>-0.0166666666666667</v>
      </c>
      <c r="T388" s="14">
        <v>0.41025641025641</v>
      </c>
      <c r="U388" s="14">
        <v>0.666666666666667</v>
      </c>
      <c r="V388" s="14">
        <v>-0.340909090909091</v>
      </c>
      <c r="W388" s="31" t="s">
        <v>1037</v>
      </c>
      <c r="X388" s="4">
        <v>0</v>
      </c>
      <c r="Y388" s="4"/>
      <c r="Z388" s="4"/>
      <c r="AA388" s="4"/>
      <c r="AB388" s="4"/>
      <c r="AC388" s="4"/>
      <c r="AD388" s="4"/>
      <c r="AE388" s="4"/>
      <c r="AF388" s="4">
        <v>6.12</v>
      </c>
      <c r="AG388" s="4">
        <v>2.96</v>
      </c>
      <c r="AH388" s="4">
        <v>2.74</v>
      </c>
    </row>
    <row r="389" ht="15" hidden="1" spans="1:34">
      <c r="A389" s="43">
        <v>1281</v>
      </c>
      <c r="B389" s="4">
        <v>1.97</v>
      </c>
      <c r="C389" s="4">
        <v>1.2</v>
      </c>
      <c r="D389" s="4">
        <v>5.8</v>
      </c>
      <c r="E389" s="13">
        <v>1209000000</v>
      </c>
      <c r="F389" s="46" t="s">
        <v>1038</v>
      </c>
      <c r="G389">
        <v>1.01949915866574</v>
      </c>
      <c r="H389" s="28">
        <v>53.7988311288834</v>
      </c>
      <c r="I389" s="14">
        <f>H389/G389</f>
        <v>52.7698631936999</v>
      </c>
      <c r="J389" s="4">
        <v>19.26</v>
      </c>
      <c r="K389" s="4">
        <v>24.3254571964368</v>
      </c>
      <c r="Q389" s="33">
        <v>2.01</v>
      </c>
      <c r="R389" s="4">
        <f>B389</f>
        <v>1.97</v>
      </c>
      <c r="S389" s="18">
        <f>B389/Q389-1</f>
        <v>-0.0199004975124377</v>
      </c>
      <c r="T389" s="14">
        <v>-1</v>
      </c>
      <c r="U389" s="14">
        <v>-1</v>
      </c>
      <c r="V389" s="14">
        <v>0</v>
      </c>
      <c r="W389" s="34" t="s">
        <v>1038</v>
      </c>
      <c r="X389" s="4">
        <v>-1.5</v>
      </c>
      <c r="AD389" s="4">
        <v>0.213740458015267</v>
      </c>
      <c r="AE389" s="4">
        <v>0.519083969465649</v>
      </c>
      <c r="AF389" s="4">
        <v>0.79</v>
      </c>
      <c r="AG389" s="4">
        <v>0.85</v>
      </c>
      <c r="AH389" s="4">
        <v>0.77</v>
      </c>
    </row>
    <row r="390" ht="14.25" hidden="1" spans="1:34">
      <c r="A390" s="38">
        <v>1362</v>
      </c>
      <c r="B390" s="4">
        <v>1.73</v>
      </c>
      <c r="C390" s="4">
        <v>0.85</v>
      </c>
      <c r="D390" s="4">
        <v>2.65</v>
      </c>
      <c r="E390" s="13">
        <v>524000000</v>
      </c>
      <c r="F390" s="46" t="s">
        <v>20</v>
      </c>
      <c r="G390">
        <v>19.0742089503925</v>
      </c>
      <c r="H390" s="25">
        <v>26.008064516129</v>
      </c>
      <c r="I390" s="17">
        <f>H390/G390</f>
        <v>1.36351995428853</v>
      </c>
      <c r="J390" s="4">
        <v>5.02</v>
      </c>
      <c r="K390" s="4">
        <v>0.598169139760071</v>
      </c>
      <c r="Q390" s="4">
        <v>1.77</v>
      </c>
      <c r="R390" s="4">
        <f>B390</f>
        <v>1.73</v>
      </c>
      <c r="S390" s="18">
        <f>B390/Q390-1</f>
        <v>-0.0225988700564972</v>
      </c>
      <c r="T390" s="16">
        <v>2</v>
      </c>
      <c r="U390" s="14">
        <v>0</v>
      </c>
      <c r="V390" s="14">
        <v>-0.875</v>
      </c>
      <c r="W390" s="31" t="s">
        <v>20</v>
      </c>
      <c r="X390" s="4">
        <v>0</v>
      </c>
      <c r="Y390" s="6"/>
      <c r="Z390" s="6"/>
      <c r="AD390" s="4">
        <v>0.190909090909091</v>
      </c>
      <c r="AE390" s="4">
        <v>0.472727272727273</v>
      </c>
      <c r="AF390" s="4">
        <v>0.83</v>
      </c>
      <c r="AG390" s="4">
        <v>1.01</v>
      </c>
      <c r="AH390" s="4">
        <v>1.19</v>
      </c>
    </row>
    <row r="391" s="6" customFormat="1" ht="14.25" spans="1:34">
      <c r="A391" s="38">
        <v>6030</v>
      </c>
      <c r="B391" s="4">
        <v>17.66</v>
      </c>
      <c r="C391" s="4">
        <v>12.82</v>
      </c>
      <c r="D391" s="4">
        <v>40.5</v>
      </c>
      <c r="E391" s="13">
        <v>206957000000</v>
      </c>
      <c r="F391" s="50" t="s">
        <v>1039</v>
      </c>
      <c r="G391">
        <v>24.913650698303</v>
      </c>
      <c r="H391" s="56">
        <v>11.5573404730031</v>
      </c>
      <c r="I391" s="14">
        <f>H391/G391</f>
        <v>0.46389590240945</v>
      </c>
      <c r="J391" s="4">
        <v>1.3</v>
      </c>
      <c r="K391" s="4">
        <v>2.46931999359346</v>
      </c>
      <c r="L391" s="4">
        <v>9.0947</v>
      </c>
      <c r="M391" s="4">
        <v>13.786</v>
      </c>
      <c r="N391" s="4"/>
      <c r="O391" s="4"/>
      <c r="P391" s="4"/>
      <c r="Q391" s="4">
        <v>18.08</v>
      </c>
      <c r="R391" s="61">
        <f>B391</f>
        <v>17.66</v>
      </c>
      <c r="S391" s="60">
        <f>B391/Q391-1</f>
        <v>-0.0232300884955752</v>
      </c>
      <c r="T391" s="14">
        <v>-0.358737238231297</v>
      </c>
      <c r="U391" s="14">
        <v>-0.48553633527524</v>
      </c>
      <c r="V391" s="14">
        <v>-0.500108783064183</v>
      </c>
      <c r="W391" s="31" t="s">
        <v>1039</v>
      </c>
      <c r="X391" s="4">
        <v>0</v>
      </c>
      <c r="Y391" s="14">
        <v>1</v>
      </c>
      <c r="Z391" s="4"/>
      <c r="AA391" s="4"/>
      <c r="AB391" s="4"/>
      <c r="AC391" s="4"/>
      <c r="AD391" s="4"/>
      <c r="AE391" s="4"/>
      <c r="AH391" s="6">
        <v>0.77</v>
      </c>
    </row>
    <row r="392" ht="15" spans="1:34">
      <c r="A392" s="37">
        <v>1363</v>
      </c>
      <c r="B392" s="6">
        <v>2.02</v>
      </c>
      <c r="C392" s="6">
        <v>1.99</v>
      </c>
      <c r="D392" s="6">
        <v>11.98</v>
      </c>
      <c r="E392" s="15">
        <v>15034000000</v>
      </c>
      <c r="F392" s="57" t="s">
        <v>520</v>
      </c>
      <c r="G392">
        <v>7.91896869244936</v>
      </c>
      <c r="H392" s="27">
        <v>32.6787846623325</v>
      </c>
      <c r="I392" s="16">
        <f>H392/G392</f>
        <v>4.12664652828989</v>
      </c>
      <c r="J392" s="6">
        <v>4.98</v>
      </c>
      <c r="K392" s="6">
        <v>2.0963735717834</v>
      </c>
      <c r="L392" s="6">
        <v>30.7903</v>
      </c>
      <c r="M392" s="6">
        <v>27.417</v>
      </c>
      <c r="N392" s="6"/>
      <c r="O392" s="6"/>
      <c r="P392" s="6"/>
      <c r="Q392" s="6">
        <v>2.07</v>
      </c>
      <c r="R392" s="4">
        <f>B392</f>
        <v>2.02</v>
      </c>
      <c r="S392" s="68">
        <f>B392/Q392-1</f>
        <v>-0.0241545893719806</v>
      </c>
      <c r="T392" s="16">
        <v>-0.224333393129692</v>
      </c>
      <c r="U392" s="14">
        <v>-0.499382199370242</v>
      </c>
      <c r="V392" s="14">
        <v>-0.288216560509554</v>
      </c>
      <c r="W392" s="31" t="s">
        <v>520</v>
      </c>
      <c r="X392" s="4">
        <v>-0.98</v>
      </c>
      <c r="Y392" s="61" t="s">
        <v>1040</v>
      </c>
      <c r="Z392" s="4"/>
      <c r="AA392" s="6"/>
      <c r="AB392" s="6"/>
      <c r="AC392" s="4"/>
      <c r="AD392" s="4">
        <v>0.0350140056022407</v>
      </c>
      <c r="AE392" s="4">
        <v>0.124649859943977</v>
      </c>
      <c r="AF392" s="4">
        <v>0.325</v>
      </c>
      <c r="AG392" s="4">
        <v>0.42</v>
      </c>
      <c r="AH392" s="4">
        <v>0.182</v>
      </c>
    </row>
    <row r="393" ht="15" hidden="1" spans="1:34">
      <c r="A393" s="43">
        <v>663</v>
      </c>
      <c r="B393" s="4">
        <v>0.2</v>
      </c>
      <c r="C393" s="4">
        <v>0.136</v>
      </c>
      <c r="D393" s="4">
        <v>0.5</v>
      </c>
      <c r="E393" s="13">
        <v>1416000000</v>
      </c>
      <c r="F393" s="50" t="s">
        <v>1041</v>
      </c>
      <c r="G393">
        <v>32.000543995648</v>
      </c>
      <c r="H393" s="49">
        <v>37.4948439433521</v>
      </c>
      <c r="I393" s="14">
        <f>H393/G393</f>
        <v>1.17169395459187</v>
      </c>
      <c r="J393" s="4">
        <v>1.05</v>
      </c>
      <c r="K393" s="4">
        <v>9.94949494949495</v>
      </c>
      <c r="Q393" s="4">
        <v>0.205</v>
      </c>
      <c r="R393" s="61">
        <f>B393</f>
        <v>0.2</v>
      </c>
      <c r="S393" s="18">
        <f>B393/Q393-1</f>
        <v>-0.0243902439024389</v>
      </c>
      <c r="T393" s="14">
        <v>-0.661214953271028</v>
      </c>
      <c r="U393" s="14">
        <v>-0.662790697674419</v>
      </c>
      <c r="V393" s="14">
        <v>-0.958620689655172</v>
      </c>
      <c r="W393" s="31" t="s">
        <v>1041</v>
      </c>
      <c r="X393" s="4">
        <v>0.5</v>
      </c>
      <c r="AF393" s="4">
        <v>0.78261</v>
      </c>
      <c r="AG393" s="4">
        <v>0.55</v>
      </c>
      <c r="AH393" s="4">
        <v>4.22</v>
      </c>
    </row>
    <row r="394" s="6" customFormat="1" ht="15" spans="1:34">
      <c r="A394" s="41">
        <v>1349</v>
      </c>
      <c r="B394" s="4">
        <v>5.96</v>
      </c>
      <c r="C394" s="4">
        <v>5.37</v>
      </c>
      <c r="D394" s="4">
        <v>12.64</v>
      </c>
      <c r="E394" s="13">
        <v>6784000000</v>
      </c>
      <c r="F394" s="45" t="s">
        <v>522</v>
      </c>
      <c r="G394">
        <v>4.69837034213285</v>
      </c>
      <c r="H394" s="27">
        <v>41.4427157001414</v>
      </c>
      <c r="I394" s="17">
        <f>H394/G394</f>
        <v>8.82065752214167</v>
      </c>
      <c r="J394" s="4">
        <v>6.95</v>
      </c>
      <c r="K394" s="4">
        <v>9.30787687025894</v>
      </c>
      <c r="L394" s="4">
        <v>38.1385</v>
      </c>
      <c r="M394" s="4">
        <v>38.14</v>
      </c>
      <c r="N394" s="4"/>
      <c r="O394" s="4"/>
      <c r="P394" s="4"/>
      <c r="Q394" s="4">
        <v>6.11</v>
      </c>
      <c r="R394" s="4">
        <f>B394</f>
        <v>5.96</v>
      </c>
      <c r="S394" s="18">
        <f>B394/Q394-1</f>
        <v>-0.0245499181669395</v>
      </c>
      <c r="T394" s="14">
        <v>0</v>
      </c>
      <c r="U394" s="14">
        <v>0</v>
      </c>
      <c r="V394" s="14">
        <v>0</v>
      </c>
      <c r="W394" s="31" t="s">
        <v>522</v>
      </c>
      <c r="X394" s="4">
        <v>-2.13</v>
      </c>
      <c r="Y394" s="4" t="s">
        <v>1042</v>
      </c>
      <c r="Z394" s="4"/>
      <c r="AA394" s="6"/>
      <c r="AB394" s="6"/>
      <c r="AC394" s="4"/>
      <c r="AD394" s="4">
        <v>0.198288159771755</v>
      </c>
      <c r="AE394" s="4">
        <v>0.37660485021398</v>
      </c>
      <c r="AF394" s="6">
        <v>0.956</v>
      </c>
      <c r="AG394" s="6">
        <v>2.336</v>
      </c>
      <c r="AH394" s="6">
        <v>0.233</v>
      </c>
    </row>
    <row r="395" s="6" customFormat="1" ht="15" hidden="1" spans="1:34">
      <c r="A395" s="75">
        <v>1816</v>
      </c>
      <c r="B395" s="6">
        <v>2.26</v>
      </c>
      <c r="C395" s="6">
        <v>2.3</v>
      </c>
      <c r="D395" s="6">
        <v>5.53</v>
      </c>
      <c r="E395" s="15">
        <v>104987000000</v>
      </c>
      <c r="F395" s="53" t="s">
        <v>694</v>
      </c>
      <c r="G395">
        <v>11.5044247787611</v>
      </c>
      <c r="H395" s="27">
        <v>43.8021282714984</v>
      </c>
      <c r="I395" s="16">
        <f>H395/G395</f>
        <v>3.80741576513794</v>
      </c>
      <c r="J395" s="6">
        <v>1.65</v>
      </c>
      <c r="K395" s="6">
        <v>3.71504540316203</v>
      </c>
      <c r="L395" s="6">
        <v>15.5886</v>
      </c>
      <c r="M395" s="6">
        <v>10.816</v>
      </c>
      <c r="N395" s="6"/>
      <c r="O395" s="6"/>
      <c r="P395" s="6"/>
      <c r="Q395" s="6">
        <v>2.32</v>
      </c>
      <c r="R395" s="6">
        <f>B395</f>
        <v>2.26</v>
      </c>
      <c r="S395" s="19">
        <f>B395/Q395-1</f>
        <v>-0.0258620689655172</v>
      </c>
      <c r="T395" s="14">
        <v>-0.413010031641764</v>
      </c>
      <c r="U395" s="14">
        <v>-0.531664626278</v>
      </c>
      <c r="V395" s="14">
        <v>-0.54742717863577</v>
      </c>
      <c r="W395" s="31" t="s">
        <v>694</v>
      </c>
      <c r="X395" s="4">
        <v>0</v>
      </c>
      <c r="Y395" s="6"/>
      <c r="Z395" s="6"/>
      <c r="AA395" s="6"/>
      <c r="AB395" s="6"/>
      <c r="AC395" s="4"/>
      <c r="AD395" s="4">
        <v>0.119354838709677</v>
      </c>
      <c r="AE395" s="4">
        <v>0.206451612903226</v>
      </c>
      <c r="AG395" s="6">
        <v>11.8</v>
      </c>
      <c r="AH395" s="6">
        <v>8.73</v>
      </c>
    </row>
    <row r="396" s="6" customFormat="1" ht="15" hidden="1" spans="1:34">
      <c r="A396" s="38">
        <v>1543</v>
      </c>
      <c r="B396" s="4">
        <v>1.38</v>
      </c>
      <c r="C396" s="4">
        <v>1.2</v>
      </c>
      <c r="D396" s="4">
        <v>1.64</v>
      </c>
      <c r="E396" s="13">
        <v>1419000000</v>
      </c>
      <c r="F396" s="45" t="s">
        <v>28</v>
      </c>
      <c r="G396">
        <v>13.0434782608696</v>
      </c>
      <c r="H396" s="28">
        <v>18.83541295306</v>
      </c>
      <c r="I396" s="17">
        <f>H396/G396</f>
        <v>1.44404832640127</v>
      </c>
      <c r="J396" s="4">
        <v>1.01</v>
      </c>
      <c r="K396" s="4">
        <v>8.3393</v>
      </c>
      <c r="L396" s="4"/>
      <c r="M396" s="4"/>
      <c r="N396" s="4"/>
      <c r="O396" s="4"/>
      <c r="P396" s="4"/>
      <c r="Q396" s="4">
        <v>1.42</v>
      </c>
      <c r="R396" s="4">
        <f>B396</f>
        <v>1.38</v>
      </c>
      <c r="S396" s="18">
        <f>B396/Q396-1</f>
        <v>-0.0281690140845071</v>
      </c>
      <c r="T396" s="14">
        <v>-0.25</v>
      </c>
      <c r="U396" s="16">
        <v>-0.539951573849879</v>
      </c>
      <c r="V396" s="16">
        <v>0</v>
      </c>
      <c r="W396" s="31" t="s">
        <v>28</v>
      </c>
      <c r="X396" s="6">
        <v>-4.83</v>
      </c>
      <c r="Y396" s="4"/>
      <c r="Z396" s="4"/>
      <c r="AA396" s="4"/>
      <c r="AB396" s="4"/>
      <c r="AC396" s="4"/>
      <c r="AD396" s="4">
        <v>0</v>
      </c>
      <c r="AE396" s="4">
        <v>0</v>
      </c>
      <c r="AF396" s="6">
        <v>0.133</v>
      </c>
      <c r="AG396" s="6">
        <v>0.099</v>
      </c>
      <c r="AH396" s="6">
        <v>0.26</v>
      </c>
    </row>
    <row r="397" ht="15" hidden="1" spans="1:34">
      <c r="A397" s="43">
        <v>1055</v>
      </c>
      <c r="B397" s="4">
        <v>4.37</v>
      </c>
      <c r="C397" s="4">
        <v>2.38</v>
      </c>
      <c r="D397" s="4">
        <v>10.36</v>
      </c>
      <c r="E397" s="13">
        <v>45063000000</v>
      </c>
      <c r="F397" s="46" t="s">
        <v>529</v>
      </c>
      <c r="G397">
        <v>8.46681922196796</v>
      </c>
      <c r="H397" s="23">
        <v>47.819660014782</v>
      </c>
      <c r="I397" s="17">
        <f>H397/G397</f>
        <v>5.64788957471884</v>
      </c>
      <c r="J397" s="4">
        <v>0.9</v>
      </c>
      <c r="K397" s="4">
        <v>0.323290917857069</v>
      </c>
      <c r="L397" s="4">
        <v>19.8829</v>
      </c>
      <c r="M397" s="4">
        <v>19.885</v>
      </c>
      <c r="Q397" s="4">
        <v>4.5</v>
      </c>
      <c r="R397" s="4">
        <f>B397</f>
        <v>4.37</v>
      </c>
      <c r="S397" s="18">
        <f>B397/Q397-1</f>
        <v>-0.0288888888888889</v>
      </c>
      <c r="T397" s="16">
        <v>-0.226274350193679</v>
      </c>
      <c r="U397" s="16">
        <v>-0.205128574827161</v>
      </c>
      <c r="V397" s="16">
        <v>-0.19843278099747</v>
      </c>
      <c r="W397" s="31" t="s">
        <v>529</v>
      </c>
      <c r="X397" s="4">
        <v>0.69</v>
      </c>
      <c r="AC397" s="6"/>
      <c r="AD397" s="6">
        <v>0.125873997979781</v>
      </c>
      <c r="AE397" s="4">
        <v>0.211188862346549</v>
      </c>
      <c r="AH397" s="4">
        <v>4.1</v>
      </c>
    </row>
    <row r="398" s="6" customFormat="1" ht="14.25" spans="1:34">
      <c r="A398" s="58">
        <v>966</v>
      </c>
      <c r="B398" s="6">
        <v>16.32</v>
      </c>
      <c r="C398" s="6">
        <v>13.66</v>
      </c>
      <c r="D398" s="6">
        <v>33.3</v>
      </c>
      <c r="E398" s="15">
        <v>56498000000</v>
      </c>
      <c r="F398" s="47" t="s">
        <v>534</v>
      </c>
      <c r="G398">
        <v>17.6480276702627</v>
      </c>
      <c r="H398" s="23">
        <v>51.952590791673</v>
      </c>
      <c r="I398" s="16">
        <f>H398/G398</f>
        <v>2.94381852535364</v>
      </c>
      <c r="J398" s="6">
        <v>1</v>
      </c>
      <c r="K398" s="6">
        <v>0.44</v>
      </c>
      <c r="L398" s="6">
        <v>16.0138</v>
      </c>
      <c r="M398" s="6">
        <v>11.68</v>
      </c>
      <c r="N398" s="6"/>
      <c r="O398" s="6"/>
      <c r="P398" s="6"/>
      <c r="Q398" s="6">
        <v>16.84</v>
      </c>
      <c r="R398" s="37">
        <f>B398</f>
        <v>16.32</v>
      </c>
      <c r="S398" s="19">
        <f>B398/Q398-1</f>
        <v>-0.0308788598574822</v>
      </c>
      <c r="T398" s="14">
        <v>-0.195715658203887</v>
      </c>
      <c r="U398" s="14">
        <v>-0.302324430031933</v>
      </c>
      <c r="V398" s="16">
        <v>-0.292614367489829</v>
      </c>
      <c r="W398" s="31" t="s">
        <v>534</v>
      </c>
      <c r="X398" s="6">
        <v>1.12</v>
      </c>
      <c r="Y398" s="61" t="s">
        <v>1043</v>
      </c>
      <c r="Z398" s="4"/>
      <c r="AA398" s="6"/>
      <c r="AB398" s="6"/>
      <c r="AC398" s="4"/>
      <c r="AD398" s="4">
        <v>0.169839679358717</v>
      </c>
      <c r="AE398" s="4">
        <v>0.292585170340681</v>
      </c>
      <c r="AF398" s="6">
        <v>0.212</v>
      </c>
      <c r="AG398" s="6">
        <v>0.57</v>
      </c>
      <c r="AH398" s="6">
        <v>0.485</v>
      </c>
    </row>
    <row r="399" s="6" customFormat="1" ht="14.25" spans="1:34">
      <c r="A399" s="38">
        <v>1317</v>
      </c>
      <c r="B399" s="4">
        <v>4.55</v>
      </c>
      <c r="C399" s="4">
        <v>1.7</v>
      </c>
      <c r="D399" s="4">
        <v>5.02</v>
      </c>
      <c r="E399" s="13">
        <v>7879000000</v>
      </c>
      <c r="F399" s="50" t="s">
        <v>1044</v>
      </c>
      <c r="G399">
        <v>41.75888177053</v>
      </c>
      <c r="H399" s="56">
        <v>89.897455374098</v>
      </c>
      <c r="I399" s="14">
        <f>H399/G399</f>
        <v>2.15277448922352</v>
      </c>
      <c r="J399" s="4">
        <v>2.92</v>
      </c>
      <c r="K399" s="4">
        <v>7.67323042752406</v>
      </c>
      <c r="L399" s="4">
        <v>25.2014</v>
      </c>
      <c r="M399" s="4">
        <v>22.281</v>
      </c>
      <c r="N399" s="4"/>
      <c r="O399" s="4"/>
      <c r="P399" s="4"/>
      <c r="Q399" s="4">
        <v>4.7</v>
      </c>
      <c r="R399" s="61">
        <f>B399</f>
        <v>4.55</v>
      </c>
      <c r="S399" s="18">
        <f>B399/Q399-1</f>
        <v>-0.0319148936170214</v>
      </c>
      <c r="T399" s="14">
        <v>-0.0590740042041718</v>
      </c>
      <c r="U399" s="14">
        <v>0.189064795804182</v>
      </c>
      <c r="V399" s="14">
        <v>-0.790178315698164</v>
      </c>
      <c r="W399" s="31" t="s">
        <v>1044</v>
      </c>
      <c r="X399" s="4">
        <v>-2.36</v>
      </c>
      <c r="Y399" s="61" t="s">
        <v>879</v>
      </c>
      <c r="Z399" s="4"/>
      <c r="AA399" s="4"/>
      <c r="AB399" s="4"/>
      <c r="AC399" s="4"/>
      <c r="AD399" s="4"/>
      <c r="AE399" s="4"/>
      <c r="AF399" s="6">
        <v>115.376</v>
      </c>
      <c r="AG399" s="6">
        <v>113</v>
      </c>
      <c r="AH399" s="6">
        <v>84.45</v>
      </c>
    </row>
    <row r="400" ht="15" hidden="1" spans="1:34">
      <c r="A400" s="38">
        <v>2039</v>
      </c>
      <c r="B400" s="4">
        <v>11.62</v>
      </c>
      <c r="C400" s="4">
        <v>11.58</v>
      </c>
      <c r="D400" s="4">
        <v>24.4</v>
      </c>
      <c r="E400" s="13">
        <v>29069000000</v>
      </c>
      <c r="F400" s="46" t="s">
        <v>131</v>
      </c>
      <c r="G400">
        <v>25.99171107164</v>
      </c>
      <c r="H400" s="28">
        <v>29.2657704239917</v>
      </c>
      <c r="I400" s="17">
        <f>H400/G400</f>
        <v>1.1259655181349</v>
      </c>
      <c r="J400" s="4">
        <v>1.06</v>
      </c>
      <c r="K400" s="4">
        <v>0.44265195259331</v>
      </c>
      <c r="L400" s="4">
        <v>11.8217</v>
      </c>
      <c r="M400" s="4">
        <v>10.363</v>
      </c>
      <c r="N400" s="4"/>
      <c r="O400" s="4"/>
      <c r="P400" s="4"/>
      <c r="Q400" s="4">
        <v>12.04</v>
      </c>
      <c r="R400" s="4">
        <f>B400</f>
        <v>11.62</v>
      </c>
      <c r="S400" s="18">
        <f>B400/Q400-1</f>
        <v>-0.0348837209302325</v>
      </c>
      <c r="T400" s="14">
        <v>-0.52119130218671</v>
      </c>
      <c r="U400" s="14">
        <v>-0.757930012444298</v>
      </c>
      <c r="V400" s="14">
        <v>-0.132248293515358</v>
      </c>
      <c r="W400" s="31" t="s">
        <v>131</v>
      </c>
      <c r="X400" s="4">
        <v>3.38</v>
      </c>
      <c r="Y400" s="4"/>
      <c r="Z400" s="4"/>
      <c r="AA400" s="4"/>
      <c r="AB400" s="4"/>
      <c r="AC400" s="4"/>
      <c r="AD400" s="4">
        <v>0.190625</v>
      </c>
      <c r="AE400" s="6">
        <v>0.390625</v>
      </c>
      <c r="AF400" s="4">
        <v>20.468</v>
      </c>
      <c r="AG400" s="4">
        <v>19.558</v>
      </c>
      <c r="AH400" s="4">
        <v>14.913</v>
      </c>
    </row>
    <row r="401" s="6" customFormat="1" ht="15" spans="1:34">
      <c r="A401" s="41">
        <v>798</v>
      </c>
      <c r="B401" s="6">
        <v>0.83</v>
      </c>
      <c r="C401" s="6">
        <v>0.4</v>
      </c>
      <c r="D401" s="6">
        <v>1.4</v>
      </c>
      <c r="E401" s="15">
        <v>6320000000</v>
      </c>
      <c r="F401" s="47" t="s">
        <v>310</v>
      </c>
      <c r="G401">
        <v>20.4834605597964</v>
      </c>
      <c r="H401" s="27">
        <v>33.7434800053497</v>
      </c>
      <c r="I401" s="16">
        <f>H401/G401</f>
        <v>1.64735250212453</v>
      </c>
      <c r="J401" s="6">
        <v>1.15</v>
      </c>
      <c r="K401" s="6">
        <v>3.07093722147313</v>
      </c>
      <c r="L401" s="6">
        <v>6.6262</v>
      </c>
      <c r="M401" s="6">
        <v>6.236</v>
      </c>
      <c r="N401" s="6"/>
      <c r="O401" s="6"/>
      <c r="P401" s="6"/>
      <c r="Q401" s="6">
        <v>0.86</v>
      </c>
      <c r="R401" s="4">
        <f>B401</f>
        <v>0.83</v>
      </c>
      <c r="S401" s="19">
        <f>B401/Q401-1</f>
        <v>-0.0348837209302326</v>
      </c>
      <c r="T401" s="14">
        <v>0</v>
      </c>
      <c r="U401" s="14">
        <v>0</v>
      </c>
      <c r="V401" s="14">
        <v>0</v>
      </c>
      <c r="W401" s="31" t="s">
        <v>310</v>
      </c>
      <c r="X401" s="4">
        <v>2.47</v>
      </c>
      <c r="Y401" s="6" t="s">
        <v>1045</v>
      </c>
      <c r="Z401" s="6"/>
      <c r="AA401" s="4"/>
      <c r="AB401" s="4"/>
      <c r="AC401" s="6"/>
      <c r="AD401" s="6">
        <v>0.282608695652174</v>
      </c>
      <c r="AE401" s="4">
        <v>0.739130434782609</v>
      </c>
      <c r="AF401" s="6">
        <v>0.316</v>
      </c>
      <c r="AG401" s="6">
        <v>0.49</v>
      </c>
      <c r="AH401" s="6">
        <v>0.61</v>
      </c>
    </row>
    <row r="402" s="6" customFormat="1" ht="15" spans="1:34">
      <c r="A402" s="22">
        <v>1415</v>
      </c>
      <c r="B402" s="6">
        <v>2.18</v>
      </c>
      <c r="C402" s="6">
        <v>2.11</v>
      </c>
      <c r="D402" s="6">
        <v>8.85</v>
      </c>
      <c r="E402" s="15">
        <v>2353000000</v>
      </c>
      <c r="F402" s="53" t="s">
        <v>119</v>
      </c>
      <c r="G402">
        <v>5.9620086514952</v>
      </c>
      <c r="H402" s="27">
        <v>121.58209616663</v>
      </c>
      <c r="I402" s="16">
        <f>H402/G402</f>
        <v>20.3928077387372</v>
      </c>
      <c r="J402" s="6">
        <v>1</v>
      </c>
      <c r="K402" s="6">
        <v>0.287921147574005</v>
      </c>
      <c r="L402" s="6">
        <v>4.9936</v>
      </c>
      <c r="M402" s="6">
        <v>4.095</v>
      </c>
      <c r="N402" s="6"/>
      <c r="O402" s="6"/>
      <c r="P402" s="6"/>
      <c r="Q402" s="6">
        <v>2.26</v>
      </c>
      <c r="R402" s="6">
        <f>B402</f>
        <v>2.18</v>
      </c>
      <c r="S402" s="19">
        <f>B402/Q402-1</f>
        <v>-0.0353982300884954</v>
      </c>
      <c r="T402" s="16">
        <v>-0.453178155774396</v>
      </c>
      <c r="U402" s="16">
        <v>-0.249262536873156</v>
      </c>
      <c r="V402" s="16">
        <v>-0.119842829076621</v>
      </c>
      <c r="W402" s="31" t="s">
        <v>119</v>
      </c>
      <c r="X402" s="6">
        <v>-0.91</v>
      </c>
      <c r="Y402" s="6" t="s">
        <v>1046</v>
      </c>
      <c r="Z402" s="6"/>
      <c r="AA402" s="6"/>
      <c r="AB402" s="6"/>
      <c r="AC402" s="6"/>
      <c r="AD402" s="6">
        <v>0.252427184466019</v>
      </c>
      <c r="AE402" s="6">
        <v>0.287378640776699</v>
      </c>
      <c r="AF402" s="6">
        <v>0.376</v>
      </c>
      <c r="AG402" s="6">
        <v>0.388</v>
      </c>
      <c r="AH402" s="6">
        <v>1.85</v>
      </c>
    </row>
    <row r="403" ht="15" hidden="1" spans="1:34">
      <c r="A403" s="43">
        <v>801</v>
      </c>
      <c r="B403" s="4">
        <v>1.02</v>
      </c>
      <c r="C403" s="4">
        <v>0.8</v>
      </c>
      <c r="D403" s="4">
        <v>2</v>
      </c>
      <c r="E403" s="13">
        <v>3114000000</v>
      </c>
      <c r="F403" s="53" t="s">
        <v>436</v>
      </c>
      <c r="G403">
        <v>6.86411474341064</v>
      </c>
      <c r="H403" s="27">
        <v>26.4702162640698</v>
      </c>
      <c r="I403" s="17">
        <f>H403/G403</f>
        <v>3.85631902343714</v>
      </c>
      <c r="J403" s="4">
        <v>0.71</v>
      </c>
      <c r="K403" s="4">
        <v>2.70201376497578</v>
      </c>
      <c r="Q403" s="4">
        <v>1.06</v>
      </c>
      <c r="R403" s="4">
        <f>B403</f>
        <v>1.02</v>
      </c>
      <c r="S403" s="18">
        <f>B403/Q403-1</f>
        <v>-0.0377358490566038</v>
      </c>
      <c r="T403" s="16">
        <v>0.134099616858238</v>
      </c>
      <c r="U403" s="16">
        <v>-0.149588201493967</v>
      </c>
      <c r="V403" s="16">
        <v>-0.731325675675676</v>
      </c>
      <c r="W403" s="31" t="s">
        <v>436</v>
      </c>
      <c r="X403" s="4">
        <v>-1.92</v>
      </c>
      <c r="Y403" s="6"/>
      <c r="Z403" s="6"/>
      <c r="AC403" s="6"/>
      <c r="AD403" s="4">
        <v>0.204547030675698</v>
      </c>
      <c r="AE403" s="6">
        <v>0.306814766869322</v>
      </c>
      <c r="AF403" s="4">
        <v>3.007</v>
      </c>
      <c r="AG403" s="4">
        <v>3.88</v>
      </c>
      <c r="AH403" s="4">
        <v>5.55</v>
      </c>
    </row>
    <row r="404" s="6" customFormat="1" ht="15" hidden="1" spans="1:34">
      <c r="A404" s="38">
        <v>217</v>
      </c>
      <c r="B404" s="4">
        <v>0.7</v>
      </c>
      <c r="C404" s="4">
        <v>0.24</v>
      </c>
      <c r="D404" s="4">
        <v>1.51</v>
      </c>
      <c r="E404" s="13">
        <v>4182000000</v>
      </c>
      <c r="F404" s="46" t="s">
        <v>1047</v>
      </c>
      <c r="G404">
        <v>31.4270040458068</v>
      </c>
      <c r="H404" s="56">
        <v>37.1365880416895</v>
      </c>
      <c r="I404" s="14">
        <f>H404/G404</f>
        <v>1.18167764218189</v>
      </c>
      <c r="J404" s="4">
        <v>1.49</v>
      </c>
      <c r="K404" s="4">
        <v>5.66640063846767</v>
      </c>
      <c r="L404" s="4">
        <v>50.3996</v>
      </c>
      <c r="M404" s="4">
        <v>46.405</v>
      </c>
      <c r="N404" s="4"/>
      <c r="O404" s="4"/>
      <c r="P404" s="4"/>
      <c r="Q404" s="4">
        <v>0.73</v>
      </c>
      <c r="R404" s="61">
        <f>B404</f>
        <v>0.7</v>
      </c>
      <c r="S404" s="18">
        <f>B404/Q404-1</f>
        <v>-0.041095890410959</v>
      </c>
      <c r="T404" s="14">
        <v>-0.0218818380743983</v>
      </c>
      <c r="U404" s="14">
        <v>-0.297583971714791</v>
      </c>
      <c r="V404" s="14">
        <v>-0.578859060402685</v>
      </c>
      <c r="W404" s="31" t="s">
        <v>1047</v>
      </c>
      <c r="X404" s="4">
        <v>0</v>
      </c>
      <c r="Y404" s="4"/>
      <c r="Z404" s="4"/>
      <c r="AA404" s="4"/>
      <c r="AB404" s="4"/>
      <c r="AC404" s="4"/>
      <c r="AD404" s="4"/>
      <c r="AE404" s="4"/>
      <c r="AF404" s="6">
        <v>86.066</v>
      </c>
      <c r="AG404" s="6">
        <v>80.695</v>
      </c>
      <c r="AH404" s="6">
        <v>67.1</v>
      </c>
    </row>
    <row r="405" ht="15" hidden="1" spans="1:34">
      <c r="A405" s="43">
        <v>272</v>
      </c>
      <c r="B405" s="4">
        <v>1.81</v>
      </c>
      <c r="C405" s="4">
        <v>1.43</v>
      </c>
      <c r="D405" s="4">
        <v>2.75</v>
      </c>
      <c r="E405" s="13">
        <v>15331000000</v>
      </c>
      <c r="F405" s="45" t="s">
        <v>1048</v>
      </c>
      <c r="G405">
        <v>7.73205388448053</v>
      </c>
      <c r="H405" s="25">
        <v>29.2824822236587</v>
      </c>
      <c r="I405" s="14">
        <f>H405/G405</f>
        <v>3.78715444319824</v>
      </c>
      <c r="J405" s="4">
        <v>0.28</v>
      </c>
      <c r="K405" s="4">
        <v>2.81594229992708</v>
      </c>
      <c r="L405" s="4">
        <v>7.0402</v>
      </c>
      <c r="M405" s="4">
        <v>6.335</v>
      </c>
      <c r="N405" s="4"/>
      <c r="O405" s="4"/>
      <c r="P405" s="4"/>
      <c r="Q405" s="33">
        <v>1.89</v>
      </c>
      <c r="R405" s="4">
        <f>B405</f>
        <v>1.81</v>
      </c>
      <c r="S405" s="18">
        <f>B405/Q405-1</f>
        <v>-0.0423280423280422</v>
      </c>
      <c r="T405" s="14">
        <v>0.178398811895109</v>
      </c>
      <c r="U405" s="14">
        <v>-0.226623834453882</v>
      </c>
      <c r="V405" s="14">
        <v>-0.679782319317203</v>
      </c>
      <c r="W405" s="34" t="s">
        <v>1048</v>
      </c>
      <c r="X405" s="4">
        <v>0</v>
      </c>
      <c r="Y405" s="4"/>
      <c r="Z405" s="4"/>
      <c r="AA405" s="4"/>
      <c r="AB405" s="4"/>
      <c r="AC405" s="4"/>
      <c r="AD405" s="4">
        <v>0.14285197511214</v>
      </c>
      <c r="AE405" s="4">
        <v>0.190475329185357</v>
      </c>
      <c r="AF405" s="4">
        <v>1.39295</v>
      </c>
      <c r="AG405" s="4">
        <v>1.18</v>
      </c>
      <c r="AH405" s="4">
        <v>0.99</v>
      </c>
    </row>
    <row r="406" ht="15" hidden="1" spans="1:34">
      <c r="A406" s="65">
        <v>1886</v>
      </c>
      <c r="B406" s="4">
        <v>2.84</v>
      </c>
      <c r="C406" s="4">
        <v>2.03</v>
      </c>
      <c r="D406" s="4">
        <v>5.1</v>
      </c>
      <c r="E406" s="13">
        <v>7828000000</v>
      </c>
      <c r="F406" s="45" t="s">
        <v>519</v>
      </c>
      <c r="G406">
        <v>11.9718309859155</v>
      </c>
      <c r="H406" s="23">
        <v>51.4004542013626</v>
      </c>
      <c r="I406" s="17">
        <f>H406/G406</f>
        <v>4.29344970387852</v>
      </c>
      <c r="J406" s="4">
        <v>0.62</v>
      </c>
      <c r="K406" s="4">
        <v>1.13904643872163</v>
      </c>
      <c r="L406" s="4"/>
      <c r="M406" s="4"/>
      <c r="N406" s="4"/>
      <c r="O406" s="4"/>
      <c r="P406" s="4"/>
      <c r="Q406" s="4">
        <v>2.97</v>
      </c>
      <c r="R406" s="4">
        <f>B406</f>
        <v>2.84</v>
      </c>
      <c r="S406" s="18">
        <f>B406/Q406-1</f>
        <v>-0.0437710437710439</v>
      </c>
      <c r="T406" s="14">
        <v>-0.549422336328626</v>
      </c>
      <c r="U406" s="16">
        <v>-0.798275862068966</v>
      </c>
      <c r="V406" s="14">
        <v>14.0897435897436</v>
      </c>
      <c r="W406" s="31" t="s">
        <v>519</v>
      </c>
      <c r="X406" s="4">
        <v>-1.73</v>
      </c>
      <c r="Y406" s="4"/>
      <c r="Z406" s="4"/>
      <c r="AA406" s="6"/>
      <c r="AB406" s="6"/>
      <c r="AC406" s="4"/>
      <c r="AD406" s="6">
        <v>0.220973782771536</v>
      </c>
      <c r="AE406" s="4">
        <v>0.239700374531835</v>
      </c>
      <c r="AF406" s="4">
        <v>5.78</v>
      </c>
      <c r="AG406" s="4">
        <v>5.01</v>
      </c>
      <c r="AH406" s="4">
        <v>4.32</v>
      </c>
    </row>
    <row r="407" ht="15" hidden="1" spans="1:34">
      <c r="A407" s="38">
        <v>8192</v>
      </c>
      <c r="B407" s="4">
        <v>0.056</v>
      </c>
      <c r="C407" s="4">
        <v>0.03</v>
      </c>
      <c r="D407" s="4">
        <v>0.311</v>
      </c>
      <c r="E407" s="13">
        <v>253300000</v>
      </c>
      <c r="F407" s="47" t="s">
        <v>142</v>
      </c>
      <c r="G407">
        <v>41.0714390943859</v>
      </c>
      <c r="H407" s="40">
        <v>48.214021046391</v>
      </c>
      <c r="I407" s="14">
        <f>H407/G407</f>
        <v>1.17390629862252</v>
      </c>
      <c r="J407" s="4">
        <v>0.63</v>
      </c>
      <c r="K407" s="14">
        <v>0.631229235880398</v>
      </c>
      <c r="Q407" s="4">
        <v>0.059</v>
      </c>
      <c r="R407" s="4">
        <f>B407</f>
        <v>0.056</v>
      </c>
      <c r="S407" s="18">
        <f>B407/Q407-1</f>
        <v>-0.0508474576271186</v>
      </c>
      <c r="T407" s="16">
        <v>0.10036496350365</v>
      </c>
      <c r="U407" s="16">
        <v>-0.244360902255639</v>
      </c>
      <c r="V407" s="16">
        <v>-0.583053482587065</v>
      </c>
      <c r="W407" s="31" t="s">
        <v>142</v>
      </c>
      <c r="X407" s="6">
        <v>-1.754</v>
      </c>
      <c r="AA407" s="6"/>
      <c r="AB407" s="6"/>
      <c r="AD407" s="6">
        <v>0.555555555555556</v>
      </c>
      <c r="AE407" s="6">
        <v>0.688888888888889</v>
      </c>
      <c r="AF407" s="4">
        <v>0.088</v>
      </c>
      <c r="AG407" s="4">
        <v>0.078</v>
      </c>
      <c r="AH407" s="4">
        <v>0.245</v>
      </c>
    </row>
    <row r="408" ht="15" hidden="1" spans="1:34">
      <c r="A408" s="38">
        <v>3389</v>
      </c>
      <c r="B408" s="4">
        <v>0.88</v>
      </c>
      <c r="C408" s="4">
        <v>0.88</v>
      </c>
      <c r="D408" s="4">
        <v>2.09</v>
      </c>
      <c r="E408" s="13">
        <v>4302000000</v>
      </c>
      <c r="F408" s="45" t="s">
        <v>483</v>
      </c>
      <c r="G408">
        <v>34.0891115212233</v>
      </c>
      <c r="H408" s="28">
        <v>29.5504599041327</v>
      </c>
      <c r="I408" s="17">
        <f>H408/G408</f>
        <v>0.866859198889212</v>
      </c>
      <c r="J408" s="4">
        <v>0.55</v>
      </c>
      <c r="K408" s="14">
        <v>0.249469476529395</v>
      </c>
      <c r="L408" s="4">
        <v>6.7473</v>
      </c>
      <c r="M408" s="4">
        <v>7.078</v>
      </c>
      <c r="Q408" s="4">
        <v>0.93</v>
      </c>
      <c r="R408" s="4">
        <f>B408</f>
        <v>0.88</v>
      </c>
      <c r="S408" s="18">
        <f>B408/Q408-1</f>
        <v>-0.0537634408602151</v>
      </c>
      <c r="T408" s="14">
        <v>1.66590965058692</v>
      </c>
      <c r="U408" s="14">
        <v>19.0475308641975</v>
      </c>
      <c r="V408" s="14">
        <v>-0.950118545432152</v>
      </c>
      <c r="W408" s="31" t="s">
        <v>483</v>
      </c>
      <c r="X408" s="4">
        <v>-1.12</v>
      </c>
      <c r="AD408" s="4">
        <v>0.127118644067797</v>
      </c>
      <c r="AE408" s="4">
        <v>0.0593220338983051</v>
      </c>
      <c r="AF408" s="4">
        <v>24</v>
      </c>
      <c r="AG408" s="4">
        <v>19.94</v>
      </c>
      <c r="AH408" s="4">
        <v>17.3</v>
      </c>
    </row>
    <row r="409" ht="15" hidden="1" spans="1:34">
      <c r="A409" s="38">
        <v>2328</v>
      </c>
      <c r="B409" s="4">
        <v>11.92</v>
      </c>
      <c r="C409" s="4">
        <v>11.22</v>
      </c>
      <c r="D409" s="4">
        <v>20.15</v>
      </c>
      <c r="E409" s="13">
        <v>190991000000</v>
      </c>
      <c r="F409" s="46" t="s">
        <v>313</v>
      </c>
      <c r="G409">
        <v>6.0415296438974</v>
      </c>
      <c r="H409" s="28">
        <v>48.1481481481482</v>
      </c>
      <c r="I409" s="17">
        <f>H409/G409</f>
        <v>7.96952940498819</v>
      </c>
      <c r="J409" s="4">
        <v>1.55</v>
      </c>
      <c r="K409" s="4">
        <v>5.73</v>
      </c>
      <c r="L409" s="4">
        <v>10.3722</v>
      </c>
      <c r="M409" s="4">
        <v>9.499</v>
      </c>
      <c r="N409" s="4"/>
      <c r="O409" s="4"/>
      <c r="P409" s="4"/>
      <c r="Q409" s="4">
        <v>12.6</v>
      </c>
      <c r="R409" s="4">
        <f>B409</f>
        <v>11.92</v>
      </c>
      <c r="S409" s="18">
        <f>B409/Q409-1</f>
        <v>-0.053968253968254</v>
      </c>
      <c r="T409" s="14">
        <v>-0.126618937178582</v>
      </c>
      <c r="U409" s="14">
        <v>-0.214649184846671</v>
      </c>
      <c r="V409" s="16">
        <v>0.139192086194714</v>
      </c>
      <c r="W409" s="31" t="s">
        <v>313</v>
      </c>
      <c r="X409" s="4">
        <v>-2.13</v>
      </c>
      <c r="Y409" s="6"/>
      <c r="Z409" s="6"/>
      <c r="AA409" s="6"/>
      <c r="AB409" s="6"/>
      <c r="AC409" s="4"/>
      <c r="AD409" s="4">
        <v>0.0421195652173912</v>
      </c>
      <c r="AE409" s="4">
        <v>0.135869565217391</v>
      </c>
      <c r="AF409" s="4">
        <v>4.6</v>
      </c>
      <c r="AG409" s="4">
        <v>5.26</v>
      </c>
      <c r="AH409" s="4">
        <v>4.78</v>
      </c>
    </row>
    <row r="410" ht="15" hidden="1" spans="1:34">
      <c r="A410" s="37">
        <v>1866</v>
      </c>
      <c r="B410" s="6">
        <v>2.45</v>
      </c>
      <c r="C410" s="6">
        <v>1.91</v>
      </c>
      <c r="D410" s="6">
        <v>5.3</v>
      </c>
      <c r="E410" s="15">
        <v>2050000000</v>
      </c>
      <c r="F410" s="53" t="s">
        <v>460</v>
      </c>
      <c r="G410">
        <v>19.1853887182803</v>
      </c>
      <c r="H410" s="26">
        <v>33.8688085676038</v>
      </c>
      <c r="I410" s="16">
        <f>H410/G410</f>
        <v>1.76534388043609</v>
      </c>
      <c r="J410" s="6">
        <v>0.72</v>
      </c>
      <c r="K410" s="6">
        <v>0.365150278947668</v>
      </c>
      <c r="L410" s="6">
        <v>8.8013</v>
      </c>
      <c r="M410" s="6">
        <v>10.156</v>
      </c>
      <c r="N410" s="6"/>
      <c r="O410" s="6"/>
      <c r="P410" s="6"/>
      <c r="Q410" s="6">
        <v>2.6</v>
      </c>
      <c r="R410" s="6">
        <f>B410</f>
        <v>2.45</v>
      </c>
      <c r="S410" s="19">
        <f>B410/Q410-1</f>
        <v>-0.0576923076923077</v>
      </c>
      <c r="T410" s="14">
        <v>-0.0353550746723561</v>
      </c>
      <c r="U410" s="14">
        <v>-0.268884268884269</v>
      </c>
      <c r="V410" s="14">
        <v>-0.719431279620853</v>
      </c>
      <c r="W410" s="31" t="s">
        <v>460</v>
      </c>
      <c r="X410" s="4">
        <v>-0.41</v>
      </c>
      <c r="AC410" s="6"/>
      <c r="AD410" s="4">
        <v>0.293729372937294</v>
      </c>
      <c r="AE410" s="4">
        <v>0.34983498349835</v>
      </c>
      <c r="AF410" s="4">
        <v>27.3423</v>
      </c>
      <c r="AG410" s="4">
        <v>24.28836</v>
      </c>
      <c r="AH410" s="4">
        <v>24.99014</v>
      </c>
    </row>
    <row r="411" ht="15" hidden="1" spans="1:34">
      <c r="A411" s="38">
        <v>403</v>
      </c>
      <c r="B411" s="4">
        <v>0.58</v>
      </c>
      <c r="C411" s="4">
        <v>0.35</v>
      </c>
      <c r="D411" s="4">
        <v>0.84</v>
      </c>
      <c r="E411" s="13">
        <v>415000000</v>
      </c>
      <c r="F411" s="46" t="s">
        <v>1049</v>
      </c>
      <c r="G411">
        <v>24.9981249531238</v>
      </c>
      <c r="H411" s="28">
        <v>43.1024613623354</v>
      </c>
      <c r="I411" s="14">
        <f>H411/G411</f>
        <v>1.72422777480954</v>
      </c>
      <c r="J411" s="4">
        <v>0.56</v>
      </c>
      <c r="K411" s="4">
        <v>0.160082483177772</v>
      </c>
      <c r="L411" s="4">
        <v>116.8728</v>
      </c>
      <c r="M411" s="4">
        <v>92</v>
      </c>
      <c r="N411" s="4"/>
      <c r="O411" s="4"/>
      <c r="P411" s="4"/>
      <c r="Q411" s="4">
        <v>0.62</v>
      </c>
      <c r="R411" s="4">
        <f>B411</f>
        <v>0.58</v>
      </c>
      <c r="S411" s="18">
        <f>B411/Q411-1</f>
        <v>-0.0645161290322581</v>
      </c>
      <c r="T411" s="14">
        <v>0.183833560709413</v>
      </c>
      <c r="U411" s="14">
        <v>2.12702702702703</v>
      </c>
      <c r="V411" s="14">
        <v>-0.767502160760588</v>
      </c>
      <c r="W411" s="31" t="s">
        <v>1049</v>
      </c>
      <c r="X411" s="4">
        <v>0</v>
      </c>
      <c r="Y411" s="4"/>
      <c r="Z411" s="4"/>
      <c r="AA411" s="4"/>
      <c r="AB411" s="4"/>
      <c r="AC411" s="4"/>
      <c r="AD411" s="4"/>
      <c r="AE411" s="4"/>
      <c r="AF411" s="4">
        <v>3.569</v>
      </c>
      <c r="AG411" s="4">
        <v>3.455</v>
      </c>
      <c r="AH411" s="4">
        <v>3.498</v>
      </c>
    </row>
    <row r="412" ht="15" spans="1:34">
      <c r="A412" s="43">
        <v>1065</v>
      </c>
      <c r="B412" s="4">
        <v>4.34</v>
      </c>
      <c r="C412" s="4">
        <v>3.38</v>
      </c>
      <c r="D412" s="4">
        <v>10.68</v>
      </c>
      <c r="E412" s="13">
        <v>6665000000</v>
      </c>
      <c r="F412" s="45" t="s">
        <v>145</v>
      </c>
      <c r="G412">
        <v>24.8854503117254</v>
      </c>
      <c r="H412" s="28">
        <v>60.1281024819856</v>
      </c>
      <c r="I412" s="17">
        <f>H412/G412</f>
        <v>2.41619507498543</v>
      </c>
      <c r="J412" s="4">
        <v>1.29</v>
      </c>
      <c r="K412" s="4">
        <v>3.05599982821406</v>
      </c>
      <c r="L412" s="4">
        <v>17.186</v>
      </c>
      <c r="M412" s="4">
        <v>17.185</v>
      </c>
      <c r="Q412" s="4">
        <v>4.64</v>
      </c>
      <c r="R412" s="4">
        <f>B412</f>
        <v>4.34</v>
      </c>
      <c r="S412" s="18">
        <f>B412/Q412-1</f>
        <v>-0.064655172413793</v>
      </c>
      <c r="T412" s="14">
        <v>-0.17155678287884</v>
      </c>
      <c r="U412" s="14">
        <v>-0.0521327014218009</v>
      </c>
      <c r="V412" s="14">
        <v>-0.4175</v>
      </c>
      <c r="W412" s="31" t="s">
        <v>145</v>
      </c>
      <c r="X412" s="4">
        <v>0</v>
      </c>
      <c r="Y412" s="6" t="s">
        <v>879</v>
      </c>
      <c r="Z412" s="6"/>
      <c r="AA412" s="6"/>
      <c r="AB412" s="6"/>
      <c r="AC412" s="6"/>
      <c r="AD412" s="6">
        <v>0.210810810810811</v>
      </c>
      <c r="AE412" s="6">
        <v>0.405405405405405</v>
      </c>
      <c r="AF412" s="4">
        <v>1.53</v>
      </c>
      <c r="AG412" s="4">
        <v>1.62</v>
      </c>
      <c r="AH412" s="4">
        <v>1.9</v>
      </c>
    </row>
    <row r="413" ht="15" spans="1:34">
      <c r="A413" s="74">
        <v>198</v>
      </c>
      <c r="B413" s="6">
        <v>0.71</v>
      </c>
      <c r="C413" s="6">
        <v>0.26</v>
      </c>
      <c r="D413" s="6">
        <v>1.39</v>
      </c>
      <c r="E413" s="15">
        <v>10208000000</v>
      </c>
      <c r="F413" s="52" t="s">
        <v>79</v>
      </c>
      <c r="G413">
        <v>11.2688553682343</v>
      </c>
      <c r="H413" s="26">
        <v>36.6120218579235</v>
      </c>
      <c r="I413" s="16">
        <f>H413/G413</f>
        <v>3.24895658534486</v>
      </c>
      <c r="J413" s="6">
        <v>2.06</v>
      </c>
      <c r="K413" s="6">
        <v>3.3432077867118</v>
      </c>
      <c r="L413" s="6">
        <v>81.462</v>
      </c>
      <c r="M413" s="6">
        <v>54.676</v>
      </c>
      <c r="N413" s="6"/>
      <c r="O413" s="6"/>
      <c r="P413" s="6"/>
      <c r="Q413" s="6">
        <v>0.76</v>
      </c>
      <c r="R413" s="6">
        <f>B413</f>
        <v>0.71</v>
      </c>
      <c r="S413" s="19">
        <f>B413/Q413-1</f>
        <v>-0.0657894736842106</v>
      </c>
      <c r="T413" s="14">
        <v>-0.642822572839028</v>
      </c>
      <c r="U413" s="14">
        <v>-0.826062363006434</v>
      </c>
      <c r="V413" s="14">
        <v>8.13262195121951</v>
      </c>
      <c r="W413" s="31" t="s">
        <v>79</v>
      </c>
      <c r="X413" s="4">
        <v>-4.05</v>
      </c>
      <c r="Y413" s="4" t="s">
        <v>1050</v>
      </c>
      <c r="Z413" s="4"/>
      <c r="AA413" s="4"/>
      <c r="AB413" s="4"/>
      <c r="AC413" s="4"/>
      <c r="AD413" s="4">
        <v>0.175</v>
      </c>
      <c r="AE413" s="4">
        <v>0.15</v>
      </c>
      <c r="AF413" s="4">
        <v>2.63</v>
      </c>
      <c r="AG413" s="4">
        <v>1.62</v>
      </c>
      <c r="AH413" s="4">
        <v>1.77</v>
      </c>
    </row>
    <row r="414" ht="15" hidden="1" spans="1:34">
      <c r="A414" s="22">
        <v>283</v>
      </c>
      <c r="B414" s="6">
        <v>5.77</v>
      </c>
      <c r="C414" s="6">
        <v>3.93</v>
      </c>
      <c r="D414" s="6">
        <v>29.5</v>
      </c>
      <c r="E414" s="15">
        <v>19543000000</v>
      </c>
      <c r="F414" s="47" t="s">
        <v>381</v>
      </c>
      <c r="G414">
        <v>51.3002824583617</v>
      </c>
      <c r="H414" s="27">
        <v>123.214285714286</v>
      </c>
      <c r="I414" s="16">
        <f>H414/G414</f>
        <v>2.4018247036806</v>
      </c>
      <c r="J414" s="6">
        <v>1.3</v>
      </c>
      <c r="K414" s="6">
        <v>148.402948402948</v>
      </c>
      <c r="L414" s="6">
        <v>32.9525</v>
      </c>
      <c r="M414" s="6">
        <v>33.66</v>
      </c>
      <c r="N414" s="6"/>
      <c r="O414" s="6"/>
      <c r="P414" s="6"/>
      <c r="Q414" s="6">
        <v>6.18</v>
      </c>
      <c r="R414" s="4">
        <f>B414</f>
        <v>5.77</v>
      </c>
      <c r="S414" s="19">
        <f>B414/Q414-1</f>
        <v>-0.0663430420711975</v>
      </c>
      <c r="T414" s="16">
        <v>-0.105830191024738</v>
      </c>
      <c r="U414" s="16">
        <v>0.219152542372881</v>
      </c>
      <c r="V414" s="14">
        <v>-0.856763520088975</v>
      </c>
      <c r="W414" s="31" t="s">
        <v>381</v>
      </c>
      <c r="X414" s="4">
        <v>-1.37</v>
      </c>
      <c r="AA414" s="6"/>
      <c r="AB414" s="6"/>
      <c r="AD414" s="4">
        <v>0.157986111111111</v>
      </c>
      <c r="AE414" s="4">
        <v>0.263888888888889</v>
      </c>
      <c r="AF414" s="4">
        <v>0.985</v>
      </c>
      <c r="AG414" s="4">
        <v>0.97</v>
      </c>
      <c r="AH414" s="4">
        <v>0.91</v>
      </c>
    </row>
    <row r="415" ht="15" hidden="1" spans="1:34">
      <c r="A415" s="38">
        <v>1033</v>
      </c>
      <c r="B415" s="4">
        <v>1.54</v>
      </c>
      <c r="C415" s="4">
        <v>1.49</v>
      </c>
      <c r="D415" s="4">
        <v>4.96</v>
      </c>
      <c r="E415" s="13">
        <v>23760000000</v>
      </c>
      <c r="F415" s="45" t="s">
        <v>1051</v>
      </c>
      <c r="G415">
        <v>9.73914613232241</v>
      </c>
      <c r="H415" s="26">
        <v>57.8033769922676</v>
      </c>
      <c r="I415" s="14">
        <f>H415/G415</f>
        <v>5.93515860701884</v>
      </c>
      <c r="J415" s="4">
        <v>0.79</v>
      </c>
      <c r="K415" s="4">
        <v>0.400944446269889</v>
      </c>
      <c r="L415" s="4">
        <v>14.8431</v>
      </c>
      <c r="M415" s="4">
        <v>15.682</v>
      </c>
      <c r="N415" s="4"/>
      <c r="O415" s="4"/>
      <c r="P415" s="4"/>
      <c r="Q415" s="32">
        <v>1.65</v>
      </c>
      <c r="R415" s="6">
        <f>B415</f>
        <v>1.54</v>
      </c>
      <c r="S415" s="19">
        <f>B415/Q415-1</f>
        <v>-0.0666666666666665</v>
      </c>
      <c r="T415" s="14">
        <v>0.500545432507777</v>
      </c>
      <c r="U415" s="14">
        <v>0.555960535411299</v>
      </c>
      <c r="V415" s="14">
        <v>-0.614983844911147</v>
      </c>
      <c r="W415" s="31" t="s">
        <v>1051</v>
      </c>
      <c r="X415" s="4">
        <v>0.65</v>
      </c>
      <c r="Y415" s="4"/>
      <c r="Z415" s="4"/>
      <c r="AA415" s="4"/>
      <c r="AB415" s="4"/>
      <c r="AC415" s="4"/>
      <c r="AD415" s="6">
        <v>0.299019607843137</v>
      </c>
      <c r="AE415" s="4">
        <v>0.495098039215686</v>
      </c>
      <c r="AF415" s="4">
        <v>6.73</v>
      </c>
      <c r="AG415" s="4">
        <v>5.69</v>
      </c>
      <c r="AH415" s="4">
        <v>3.18</v>
      </c>
    </row>
    <row r="416" ht="15" hidden="1" spans="1:34">
      <c r="A416" s="43">
        <v>1314</v>
      </c>
      <c r="B416" s="4">
        <v>1.33</v>
      </c>
      <c r="C416" s="4">
        <v>1.35</v>
      </c>
      <c r="D416" s="4">
        <v>3.41</v>
      </c>
      <c r="E416" s="13">
        <v>1947000000</v>
      </c>
      <c r="F416" s="46" t="s">
        <v>525</v>
      </c>
      <c r="G416">
        <v>12.0337790288529</v>
      </c>
      <c r="H416" s="28">
        <v>45.1168190393267</v>
      </c>
      <c r="I416" s="17">
        <f>H416/G416</f>
        <v>3.74918127806334</v>
      </c>
      <c r="J416" s="4">
        <v>1.63</v>
      </c>
      <c r="K416" s="4">
        <v>1.03898017832142</v>
      </c>
      <c r="L416" s="4">
        <v>12.6649</v>
      </c>
      <c r="M416" s="4">
        <v>12.779</v>
      </c>
      <c r="Q416" s="4">
        <v>1.43</v>
      </c>
      <c r="R416" s="4">
        <f>B416</f>
        <v>1.33</v>
      </c>
      <c r="S416" s="18">
        <f>B416/Q416-1</f>
        <v>-0.0699300699300699</v>
      </c>
      <c r="T416" s="14">
        <v>0.736080038209195</v>
      </c>
      <c r="U416" s="14">
        <v>1.23939688715953</v>
      </c>
      <c r="V416" s="14">
        <v>-0.859258937491855</v>
      </c>
      <c r="W416" s="31" t="s">
        <v>525</v>
      </c>
      <c r="X416" s="6">
        <v>-2.92</v>
      </c>
      <c r="Y416" s="6"/>
      <c r="Z416" s="6"/>
      <c r="AA416" s="6"/>
      <c r="AB416" s="6"/>
      <c r="AD416" s="4">
        <v>0.0603015075376884</v>
      </c>
      <c r="AE416" s="4">
        <v>0.170854271356784</v>
      </c>
      <c r="AF416" s="4">
        <v>17.06</v>
      </c>
      <c r="AG416" s="4">
        <v>13.9</v>
      </c>
      <c r="AH416" s="4">
        <v>11.32</v>
      </c>
    </row>
    <row r="417" ht="15" hidden="1" spans="1:34">
      <c r="A417" s="38">
        <v>2777</v>
      </c>
      <c r="B417" s="4">
        <v>10.22</v>
      </c>
      <c r="C417" s="4">
        <v>6.35</v>
      </c>
      <c r="D417" s="4">
        <v>11.52</v>
      </c>
      <c r="E417" s="13">
        <v>35704000000</v>
      </c>
      <c r="F417" s="45" t="s">
        <v>1052</v>
      </c>
      <c r="G417">
        <v>25.8325298524067</v>
      </c>
      <c r="H417" s="49">
        <v>36.7989056087551</v>
      </c>
      <c r="I417" s="14">
        <f>H417/G417</f>
        <v>1.42451807155569</v>
      </c>
      <c r="J417" s="4">
        <v>0.6</v>
      </c>
      <c r="K417" s="4">
        <v>0.654472948884636</v>
      </c>
      <c r="L417" s="4">
        <v>5.2011</v>
      </c>
      <c r="M417" s="4">
        <v>5.172</v>
      </c>
      <c r="Q417" s="4">
        <v>11</v>
      </c>
      <c r="R417" s="61">
        <f>B417</f>
        <v>10.22</v>
      </c>
      <c r="S417" s="18">
        <f>B417/Q417-1</f>
        <v>-0.0709090909090908</v>
      </c>
      <c r="T417" s="14">
        <v>-0.311387409126696</v>
      </c>
      <c r="U417" s="14">
        <v>-0.205963497453311</v>
      </c>
      <c r="V417" s="14">
        <v>-0.614918259165219</v>
      </c>
      <c r="W417" s="31" t="s">
        <v>1052</v>
      </c>
      <c r="X417" s="4">
        <v>0.59</v>
      </c>
      <c r="AF417" s="4">
        <v>2.86933</v>
      </c>
      <c r="AG417" s="4">
        <v>3.43266</v>
      </c>
      <c r="AH417" s="4">
        <v>4.12269</v>
      </c>
    </row>
    <row r="418" ht="15" hidden="1" spans="1:34">
      <c r="A418" s="37">
        <v>2379</v>
      </c>
      <c r="B418" s="6">
        <v>0.9</v>
      </c>
      <c r="C418" s="6">
        <v>0.7</v>
      </c>
      <c r="D418" s="6">
        <v>5.4</v>
      </c>
      <c r="E418" s="15">
        <v>349000000</v>
      </c>
      <c r="F418" s="47" t="s">
        <v>287</v>
      </c>
      <c r="G418">
        <v>36.664766609665</v>
      </c>
      <c r="H418" s="23">
        <v>62.2323166774822</v>
      </c>
      <c r="I418" s="16">
        <f>H418/G418</f>
        <v>1.69733295564133</v>
      </c>
      <c r="J418" s="6">
        <v>2.16</v>
      </c>
      <c r="K418" s="6">
        <v>30.9831849828928</v>
      </c>
      <c r="L418" s="6"/>
      <c r="M418" s="6"/>
      <c r="N418" s="6"/>
      <c r="O418" s="6"/>
      <c r="P418" s="6"/>
      <c r="Q418" s="6">
        <v>0.97</v>
      </c>
      <c r="R418" s="6">
        <f>B418</f>
        <v>0.9</v>
      </c>
      <c r="S418" s="19">
        <f>B418/Q418-1</f>
        <v>-0.0721649484536082</v>
      </c>
      <c r="T418" s="14">
        <v>-0.111111111111111</v>
      </c>
      <c r="U418" s="14">
        <v>-0.111111111111111</v>
      </c>
      <c r="V418" s="16">
        <v>0.5</v>
      </c>
      <c r="W418" s="62" t="s">
        <v>287</v>
      </c>
      <c r="X418" s="6">
        <v>2.27</v>
      </c>
      <c r="AD418" s="6">
        <v>0.475</v>
      </c>
      <c r="AE418" s="4">
        <v>0.8625</v>
      </c>
      <c r="AF418" s="4">
        <v>1.16</v>
      </c>
      <c r="AG418" s="4">
        <v>1.3</v>
      </c>
      <c r="AH418" s="4">
        <v>1.6</v>
      </c>
    </row>
    <row r="419" ht="15" hidden="1" spans="1:34">
      <c r="A419" s="37">
        <v>1476</v>
      </c>
      <c r="B419" s="6">
        <v>3.6</v>
      </c>
      <c r="C419" s="6">
        <v>3.6</v>
      </c>
      <c r="D419" s="6">
        <v>7.09</v>
      </c>
      <c r="E419" s="15">
        <v>9376000000</v>
      </c>
      <c r="F419" s="53" t="s">
        <v>289</v>
      </c>
      <c r="G419">
        <v>26.9433080070134</v>
      </c>
      <c r="H419" s="23">
        <v>96.927924379677</v>
      </c>
      <c r="I419" s="16">
        <f>H419/G419</f>
        <v>3.59747675951469</v>
      </c>
      <c r="J419" s="6">
        <v>1.37</v>
      </c>
      <c r="K419" s="6">
        <v>12.3558</v>
      </c>
      <c r="L419" s="6"/>
      <c r="M419" s="6"/>
      <c r="N419" s="6"/>
      <c r="O419" s="6"/>
      <c r="P419" s="6"/>
      <c r="Q419" s="6">
        <v>3.88</v>
      </c>
      <c r="R419" s="4">
        <f>B419</f>
        <v>3.6</v>
      </c>
      <c r="S419" s="19">
        <f>B419/Q419-1</f>
        <v>-0.0721649484536082</v>
      </c>
      <c r="T419" s="16">
        <v>-0.929742388758782</v>
      </c>
      <c r="U419" s="16">
        <v>9</v>
      </c>
      <c r="V419" s="14">
        <v>0</v>
      </c>
      <c r="W419" s="72" t="s">
        <v>289</v>
      </c>
      <c r="X419" s="6">
        <v>0</v>
      </c>
      <c r="Y419" s="4"/>
      <c r="Z419" s="4"/>
      <c r="AA419" s="4"/>
      <c r="AB419" s="4"/>
      <c r="AC419" s="4"/>
      <c r="AD419" s="4">
        <v>0</v>
      </c>
      <c r="AE419" s="4">
        <v>0</v>
      </c>
      <c r="AF419" s="4">
        <v>1.92312</v>
      </c>
      <c r="AG419" s="4">
        <v>2.71465</v>
      </c>
      <c r="AH419" s="4">
        <v>2.1</v>
      </c>
    </row>
    <row r="420" ht="15" hidden="1" spans="1:34">
      <c r="A420" s="48">
        <v>715</v>
      </c>
      <c r="B420" s="4">
        <v>0.77</v>
      </c>
      <c r="C420" s="4">
        <v>0.59</v>
      </c>
      <c r="D420" s="4">
        <v>1.76</v>
      </c>
      <c r="E420" s="13">
        <v>12591000000</v>
      </c>
      <c r="F420" s="53" t="s">
        <v>96</v>
      </c>
      <c r="G420">
        <v>6.48962034785861</v>
      </c>
      <c r="H420" s="25">
        <v>49.3428912783751</v>
      </c>
      <c r="I420" s="17">
        <f>H420/G420</f>
        <v>7.60335560995596</v>
      </c>
      <c r="J420" s="4">
        <v>1.43</v>
      </c>
      <c r="K420" s="4">
        <v>28.9115646258503</v>
      </c>
      <c r="L420" s="4">
        <v>101.1662</v>
      </c>
      <c r="M420" s="4">
        <v>84.694</v>
      </c>
      <c r="N420" s="4"/>
      <c r="O420" s="4"/>
      <c r="P420" s="4"/>
      <c r="Q420" s="4">
        <v>0.83</v>
      </c>
      <c r="R420" s="4">
        <f>B420</f>
        <v>0.77</v>
      </c>
      <c r="S420" s="18">
        <f>B420/Q420-1</f>
        <v>-0.0722891566265059</v>
      </c>
      <c r="T420" s="14">
        <v>0.0885426937487675</v>
      </c>
      <c r="U420" s="16">
        <v>0.0827775598273833</v>
      </c>
      <c r="V420" s="14">
        <v>-0.943840579710145</v>
      </c>
      <c r="W420" s="5" t="s">
        <v>96</v>
      </c>
      <c r="X420" s="4">
        <v>0</v>
      </c>
      <c r="Y420" s="4"/>
      <c r="Z420" s="4"/>
      <c r="AA420" s="6"/>
      <c r="AB420" s="6"/>
      <c r="AC420" s="4"/>
      <c r="AD420" s="4">
        <v>0.0166666666666667</v>
      </c>
      <c r="AE420" s="4">
        <v>0.0333333333333334</v>
      </c>
      <c r="AF420" s="4">
        <v>2.5</v>
      </c>
      <c r="AG420" s="4">
        <v>2.15</v>
      </c>
      <c r="AH420" s="4">
        <v>2.85</v>
      </c>
    </row>
    <row r="421" ht="15" hidden="1" spans="1:34">
      <c r="A421" s="38">
        <v>1036</v>
      </c>
      <c r="B421" s="4">
        <v>5</v>
      </c>
      <c r="C421" s="4">
        <v>4.99</v>
      </c>
      <c r="D421" s="4">
        <v>10.14</v>
      </c>
      <c r="E421" s="13">
        <v>1905000000</v>
      </c>
      <c r="F421" s="46" t="s">
        <v>173</v>
      </c>
      <c r="G421">
        <v>7.00269692178927</v>
      </c>
      <c r="H421" s="28">
        <v>49.9925003749812</v>
      </c>
      <c r="I421" s="17">
        <f>H421/G421</f>
        <v>7.13903527931173</v>
      </c>
      <c r="J421" s="4">
        <v>0.76</v>
      </c>
      <c r="K421" s="4">
        <v>15.2591729761211</v>
      </c>
      <c r="L421" s="4">
        <v>14.8386</v>
      </c>
      <c r="M421" s="4">
        <v>10.472</v>
      </c>
      <c r="N421" s="4"/>
      <c r="O421" s="4"/>
      <c r="P421" s="4"/>
      <c r="Q421" s="4">
        <v>5.39</v>
      </c>
      <c r="R421" s="4">
        <f>B421</f>
        <v>5</v>
      </c>
      <c r="S421" s="18">
        <f>B421/Q421-1</f>
        <v>-0.072356215213358</v>
      </c>
      <c r="T421" s="14">
        <v>-1</v>
      </c>
      <c r="U421" s="14">
        <v>-1</v>
      </c>
      <c r="V421" s="16">
        <v>0</v>
      </c>
      <c r="W421" s="31" t="s">
        <v>173</v>
      </c>
      <c r="X421" s="6">
        <v>1.01</v>
      </c>
      <c r="Y421" s="6"/>
      <c r="Z421" s="6"/>
      <c r="AA421" s="6"/>
      <c r="AB421" s="6"/>
      <c r="AC421" s="6"/>
      <c r="AD421" s="6">
        <v>0.151428571428571</v>
      </c>
      <c r="AE421" s="4">
        <v>0.164285714285714</v>
      </c>
      <c r="AF421" s="4">
        <v>1.03137</v>
      </c>
      <c r="AG421" s="4">
        <v>1.14952</v>
      </c>
      <c r="AH421" s="4">
        <v>1.12</v>
      </c>
    </row>
    <row r="422" ht="15" spans="1:34">
      <c r="A422" s="37">
        <v>169</v>
      </c>
      <c r="B422" s="6">
        <v>0.74</v>
      </c>
      <c r="C422" s="6">
        <v>0.69</v>
      </c>
      <c r="D422" s="6">
        <v>2.7</v>
      </c>
      <c r="E422" s="15">
        <v>3852000000</v>
      </c>
      <c r="F422" s="47" t="s">
        <v>181</v>
      </c>
      <c r="G422">
        <v>8.10512773387245</v>
      </c>
      <c r="H422" s="27">
        <v>62.1533971136695</v>
      </c>
      <c r="I422" s="16">
        <f>H422/G422</f>
        <v>7.66840439218766</v>
      </c>
      <c r="J422" s="6">
        <v>1.51</v>
      </c>
      <c r="K422" s="6">
        <v>10.2372034956304</v>
      </c>
      <c r="L422" s="6"/>
      <c r="M422" s="6"/>
      <c r="N422" s="6"/>
      <c r="O422" s="6"/>
      <c r="P422" s="4"/>
      <c r="Q422" s="6">
        <v>0.8</v>
      </c>
      <c r="R422" s="4">
        <f>B422</f>
        <v>0.74</v>
      </c>
      <c r="S422" s="60">
        <f>B422/Q422-1</f>
        <v>-0.0750000000000001</v>
      </c>
      <c r="T422" s="14">
        <v>-0.538461538461539</v>
      </c>
      <c r="U422" s="16">
        <v>-0.605797101449275</v>
      </c>
      <c r="V422" s="14">
        <v>-0.852941176470588</v>
      </c>
      <c r="W422" s="31" t="s">
        <v>181</v>
      </c>
      <c r="X422" s="4">
        <v>-1.33</v>
      </c>
      <c r="Y422" s="61" t="s">
        <v>1053</v>
      </c>
      <c r="Z422" s="4"/>
      <c r="AA422" s="4"/>
      <c r="AB422" s="4"/>
      <c r="AC422" s="4"/>
      <c r="AD422" s="4">
        <v>0.305263157894737</v>
      </c>
      <c r="AE422" s="4">
        <v>0.484210526315789</v>
      </c>
      <c r="AF422" s="4">
        <v>3.801</v>
      </c>
      <c r="AG422" s="4">
        <v>3.1</v>
      </c>
      <c r="AH422" s="4">
        <v>3.66</v>
      </c>
    </row>
    <row r="423" ht="15" hidden="1" spans="1:34">
      <c r="A423" s="38">
        <v>82</v>
      </c>
      <c r="B423" s="4">
        <v>0.36</v>
      </c>
      <c r="C423" s="4">
        <v>0.39</v>
      </c>
      <c r="D423" s="4">
        <v>1.11</v>
      </c>
      <c r="E423" s="13">
        <v>1319200000</v>
      </c>
      <c r="F423" s="47" t="s">
        <v>781</v>
      </c>
      <c r="G423">
        <v>4.16866315285098</v>
      </c>
      <c r="H423" s="28">
        <v>66.6666666666667</v>
      </c>
      <c r="I423" s="17">
        <f>H423/G423</f>
        <v>15.992337164751</v>
      </c>
      <c r="J423" s="4">
        <v>0.41</v>
      </c>
      <c r="K423" s="4">
        <v>0.638126009693053</v>
      </c>
      <c r="Q423" s="4">
        <v>0.39</v>
      </c>
      <c r="R423" s="4">
        <f>B423</f>
        <v>0.36</v>
      </c>
      <c r="S423" s="18">
        <f>B423/Q423-1</f>
        <v>-0.076923076923077</v>
      </c>
      <c r="T423" s="14">
        <v>-0.00627121647966633</v>
      </c>
      <c r="U423" s="14">
        <v>0.222552078091979</v>
      </c>
      <c r="V423" s="16">
        <v>-0.435403547763098</v>
      </c>
      <c r="W423" s="31" t="s">
        <v>781</v>
      </c>
      <c r="X423" s="4">
        <v>-2.7</v>
      </c>
      <c r="AC423" s="6"/>
      <c r="AD423" s="4">
        <v>0.196078431372549</v>
      </c>
      <c r="AE423" s="6">
        <v>0.715686274509804</v>
      </c>
      <c r="AF423" s="4">
        <v>6.882</v>
      </c>
      <c r="AG423" s="4">
        <v>5.808</v>
      </c>
      <c r="AH423" s="4">
        <v>6.6</v>
      </c>
    </row>
    <row r="424" ht="15" hidden="1" spans="1:34">
      <c r="A424" s="37">
        <v>3315</v>
      </c>
      <c r="B424" s="6">
        <v>2.24</v>
      </c>
      <c r="C424" s="6">
        <v>2.42</v>
      </c>
      <c r="D424" s="6">
        <v>8.78</v>
      </c>
      <c r="E424" s="15">
        <v>2052000000</v>
      </c>
      <c r="F424" s="57" t="s">
        <v>490</v>
      </c>
      <c r="G424">
        <v>10.2656137832017</v>
      </c>
      <c r="H424" s="23">
        <v>69.6352841391009</v>
      </c>
      <c r="I424" s="16">
        <f>H424/G424</f>
        <v>6.78335320320053</v>
      </c>
      <c r="J424" s="6">
        <v>1.07</v>
      </c>
      <c r="K424" s="16">
        <v>0.950386760997488</v>
      </c>
      <c r="L424" s="6">
        <v>8.0566</v>
      </c>
      <c r="M424" s="6">
        <v>7.556</v>
      </c>
      <c r="N424" s="6"/>
      <c r="O424" s="6"/>
      <c r="P424" s="6"/>
      <c r="Q424" s="6">
        <v>2.43</v>
      </c>
      <c r="R424" s="4">
        <f>B424</f>
        <v>2.24</v>
      </c>
      <c r="S424" s="19">
        <f>B424/Q424-1</f>
        <v>-0.0781893004115226</v>
      </c>
      <c r="T424" s="14">
        <v>0.292772186642269</v>
      </c>
      <c r="U424" s="16">
        <v>1.453125</v>
      </c>
      <c r="V424" s="14">
        <v>-0.817409766454352</v>
      </c>
      <c r="W424" s="31" t="s">
        <v>490</v>
      </c>
      <c r="X424" s="4">
        <v>-0.88</v>
      </c>
      <c r="Y424" s="4"/>
      <c r="Z424" s="4"/>
      <c r="AA424" s="6"/>
      <c r="AB424" s="6"/>
      <c r="AC424" s="6"/>
      <c r="AD424" s="4">
        <v>0.179545454545455</v>
      </c>
      <c r="AE424" s="6">
        <v>0.215909090909091</v>
      </c>
      <c r="AF424" s="4">
        <v>1.056</v>
      </c>
      <c r="AG424" s="4">
        <v>0.991</v>
      </c>
      <c r="AH424" s="4">
        <v>0.9</v>
      </c>
    </row>
    <row r="425" ht="15" hidden="1" spans="1:34">
      <c r="A425" s="37">
        <v>812</v>
      </c>
      <c r="B425" s="6">
        <v>0.47</v>
      </c>
      <c r="C425" s="6">
        <v>0.45</v>
      </c>
      <c r="D425" s="6">
        <v>1.77</v>
      </c>
      <c r="E425" s="15">
        <v>1037500000</v>
      </c>
      <c r="F425" s="45" t="s">
        <v>691</v>
      </c>
      <c r="G425">
        <v>17.0193344950627</v>
      </c>
      <c r="H425" s="23">
        <v>87.2308556450103</v>
      </c>
      <c r="I425" s="16">
        <f>H425/G425</f>
        <v>5.12539756888356</v>
      </c>
      <c r="J425" s="6">
        <v>2.54</v>
      </c>
      <c r="K425" s="6">
        <v>20.9125475285171</v>
      </c>
      <c r="L425" s="6">
        <v>118.9152</v>
      </c>
      <c r="M425" s="6">
        <v>80.952</v>
      </c>
      <c r="N425" s="6"/>
      <c r="O425" s="6"/>
      <c r="P425" s="4"/>
      <c r="Q425" s="6">
        <v>0.51</v>
      </c>
      <c r="R425" s="4">
        <f>B425</f>
        <v>0.47</v>
      </c>
      <c r="S425" s="18">
        <f>B425/Q425-1</f>
        <v>-0.0784313725490197</v>
      </c>
      <c r="T425" s="14">
        <v>-0.740016992353441</v>
      </c>
      <c r="U425" s="16">
        <v>-0.310810810810811</v>
      </c>
      <c r="V425" s="14">
        <v>1.22549019607843</v>
      </c>
      <c r="W425" s="5" t="s">
        <v>691</v>
      </c>
      <c r="X425" s="4">
        <v>2.17</v>
      </c>
      <c r="Y425" s="6"/>
      <c r="Z425" s="6"/>
      <c r="AA425" s="6"/>
      <c r="AB425" s="6"/>
      <c r="AC425" s="4"/>
      <c r="AD425" s="6">
        <v>0.509433962264151</v>
      </c>
      <c r="AE425" s="4">
        <v>1.0377358490566</v>
      </c>
      <c r="AG425" s="4">
        <v>13.56</v>
      </c>
      <c r="AH425" s="4">
        <v>16.92</v>
      </c>
    </row>
    <row r="426" ht="15" hidden="1" spans="1:34">
      <c r="A426" s="43">
        <v>2120</v>
      </c>
      <c r="B426" s="4">
        <v>37.75</v>
      </c>
      <c r="C426" s="4">
        <v>41</v>
      </c>
      <c r="D426" s="4">
        <v>51.6</v>
      </c>
      <c r="E426" s="13">
        <v>2885000000</v>
      </c>
      <c r="F426" s="46" t="s">
        <v>176</v>
      </c>
      <c r="G426">
        <v>3.30690388706246</v>
      </c>
      <c r="H426" s="28">
        <v>36.6867140513942</v>
      </c>
      <c r="I426" s="17">
        <f>H426/G426</f>
        <v>11.0939765122666</v>
      </c>
      <c r="J426" s="4">
        <v>3.23</v>
      </c>
      <c r="K426" s="4">
        <v>46.8352</v>
      </c>
      <c r="L426" s="4"/>
      <c r="M426" s="4"/>
      <c r="N426" s="4"/>
      <c r="O426" s="4"/>
      <c r="P426" s="4"/>
      <c r="Q426" s="4">
        <v>41</v>
      </c>
      <c r="R426" s="4">
        <f>B426</f>
        <v>37.75</v>
      </c>
      <c r="S426" s="18">
        <f>B426/Q426-1</f>
        <v>-0.0792682926829268</v>
      </c>
      <c r="T426" s="16">
        <v>0.796561604584527</v>
      </c>
      <c r="U426" s="14">
        <v>12.0625</v>
      </c>
      <c r="V426" s="14">
        <v>0</v>
      </c>
      <c r="W426" s="87" t="s">
        <v>176</v>
      </c>
      <c r="X426" s="6">
        <v>2.17</v>
      </c>
      <c r="Y426" s="4"/>
      <c r="Z426" s="4"/>
      <c r="AA426" s="6"/>
      <c r="AB426" s="6"/>
      <c r="AC426" s="4"/>
      <c r="AD426" s="4">
        <v>0</v>
      </c>
      <c r="AE426" s="4">
        <v>0</v>
      </c>
      <c r="AF426" s="4">
        <v>5.24</v>
      </c>
      <c r="AG426" s="4">
        <v>1.49</v>
      </c>
      <c r="AH426" s="4">
        <v>2.72</v>
      </c>
    </row>
    <row r="427" ht="15" spans="1:34">
      <c r="A427" s="41">
        <v>2188</v>
      </c>
      <c r="B427" s="6">
        <v>1.2</v>
      </c>
      <c r="C427" s="6">
        <v>0.45</v>
      </c>
      <c r="D427" s="6">
        <v>2.16</v>
      </c>
      <c r="E427" s="15">
        <v>1295000000</v>
      </c>
      <c r="F427" s="52" t="s">
        <v>667</v>
      </c>
      <c r="G427">
        <v>24.1677409570031</v>
      </c>
      <c r="H427" s="29">
        <v>79.9856011519078</v>
      </c>
      <c r="I427" s="16">
        <f>H427/G427</f>
        <v>3.30960189014813</v>
      </c>
      <c r="J427" s="6">
        <v>2.07</v>
      </c>
      <c r="K427" s="6">
        <v>6.15993395079775</v>
      </c>
      <c r="L427" s="6"/>
      <c r="M427" s="6"/>
      <c r="N427" s="6"/>
      <c r="O427" s="6"/>
      <c r="P427" s="6"/>
      <c r="Q427" s="6">
        <v>1.31</v>
      </c>
      <c r="R427" s="4">
        <f>B427</f>
        <v>1.2</v>
      </c>
      <c r="S427" s="63">
        <f>B427/Q427-1</f>
        <v>-0.083969465648855</v>
      </c>
      <c r="T427" s="16">
        <v>-0.526679406144348</v>
      </c>
      <c r="U427" s="14">
        <v>-0.222222222222222</v>
      </c>
      <c r="V427" s="16">
        <v>0.285714285714286</v>
      </c>
      <c r="W427" s="31" t="s">
        <v>667</v>
      </c>
      <c r="X427" s="4">
        <v>0.84</v>
      </c>
      <c r="Y427" s="6" t="s">
        <v>1054</v>
      </c>
      <c r="Z427" s="6"/>
      <c r="AA427" s="6"/>
      <c r="AB427" s="6"/>
      <c r="AC427" s="6"/>
      <c r="AD427" s="6">
        <v>0.589285714285714</v>
      </c>
      <c r="AE427" s="4">
        <v>0.678571428571428</v>
      </c>
      <c r="AF427" s="4">
        <v>0.72</v>
      </c>
      <c r="AG427" s="4">
        <v>0.46</v>
      </c>
      <c r="AH427" s="4">
        <v>0.94</v>
      </c>
    </row>
    <row r="428" ht="15" hidden="1" spans="1:34">
      <c r="A428" s="38">
        <v>787</v>
      </c>
      <c r="B428" s="4">
        <v>0.86</v>
      </c>
      <c r="C428" s="4">
        <v>0.84</v>
      </c>
      <c r="D428" s="4">
        <v>2.1</v>
      </c>
      <c r="E428" s="13">
        <v>7494000000</v>
      </c>
      <c r="F428" s="50" t="s">
        <v>1055</v>
      </c>
      <c r="G428">
        <v>25.5841643101652</v>
      </c>
      <c r="H428" s="49">
        <v>93.0129318664351</v>
      </c>
      <c r="I428" s="14">
        <f>H428/G428</f>
        <v>3.63556654572762</v>
      </c>
      <c r="J428" s="4">
        <v>0.4</v>
      </c>
      <c r="K428" s="4">
        <v>0.299916565421411</v>
      </c>
      <c r="L428" s="4">
        <v>9.8503</v>
      </c>
      <c r="M428" s="4">
        <v>9.824</v>
      </c>
      <c r="Q428" s="4">
        <v>0.94</v>
      </c>
      <c r="R428" s="61">
        <f>B428</f>
        <v>0.86</v>
      </c>
      <c r="S428" s="18">
        <f>B428/Q428-1</f>
        <v>-0.0851063829787234</v>
      </c>
      <c r="T428" s="14">
        <v>-0.259610540842602</v>
      </c>
      <c r="U428" s="14">
        <v>-0.181722134178553</v>
      </c>
      <c r="V428" s="14">
        <v>0.220844567652755</v>
      </c>
      <c r="W428" s="31" t="s">
        <v>1055</v>
      </c>
      <c r="X428" s="4">
        <v>1.18</v>
      </c>
      <c r="AF428" s="4">
        <v>5.1634</v>
      </c>
      <c r="AG428" s="4">
        <v>5.5</v>
      </c>
      <c r="AH428" s="4">
        <v>4.04</v>
      </c>
    </row>
    <row r="429" ht="15" hidden="1" spans="1:34">
      <c r="A429" s="41">
        <v>3399</v>
      </c>
      <c r="B429" s="4">
        <v>4.27</v>
      </c>
      <c r="C429" s="4">
        <v>2.06</v>
      </c>
      <c r="D429" s="4">
        <v>8.1</v>
      </c>
      <c r="E429" s="13">
        <v>3735000000</v>
      </c>
      <c r="F429" s="53" t="s">
        <v>136</v>
      </c>
      <c r="G429">
        <v>6.3231850117096</v>
      </c>
      <c r="H429" s="28">
        <v>46.1347362268011</v>
      </c>
      <c r="I429" s="17">
        <f>H429/G429</f>
        <v>7.29612309957188</v>
      </c>
      <c r="J429" s="4">
        <v>1.36</v>
      </c>
      <c r="K429" s="14">
        <v>0.307522342853228</v>
      </c>
      <c r="L429" s="4">
        <v>11.8585</v>
      </c>
      <c r="M429" s="4">
        <v>11.537</v>
      </c>
      <c r="N429" s="4"/>
      <c r="O429" s="4"/>
      <c r="P429" s="4"/>
      <c r="Q429" s="4">
        <v>4.67</v>
      </c>
      <c r="R429" s="4">
        <f>B429</f>
        <v>4.27</v>
      </c>
      <c r="S429" s="18">
        <f>B429/Q429-1</f>
        <v>-0.0856531049250536</v>
      </c>
      <c r="T429" s="14">
        <v>0.746061167747915</v>
      </c>
      <c r="U429" s="14">
        <v>3.36111111111111</v>
      </c>
      <c r="V429" s="16">
        <v>-0.789808917197452</v>
      </c>
      <c r="W429" s="31" t="s">
        <v>136</v>
      </c>
      <c r="X429" s="4">
        <v>0.23</v>
      </c>
      <c r="Y429" s="6"/>
      <c r="Z429" s="6"/>
      <c r="AA429" s="4"/>
      <c r="AB429" s="4"/>
      <c r="AC429" s="6"/>
      <c r="AD429" s="6">
        <v>0.207126948775056</v>
      </c>
      <c r="AE429" s="6">
        <v>0.389755011135857</v>
      </c>
      <c r="AF429" s="4">
        <v>16.38</v>
      </c>
      <c r="AG429" s="4">
        <v>6.4</v>
      </c>
      <c r="AH429" s="4">
        <v>11.08</v>
      </c>
    </row>
    <row r="430" ht="14.25" hidden="1" spans="1:34">
      <c r="A430" s="38">
        <v>660</v>
      </c>
      <c r="B430" s="4">
        <v>0.092</v>
      </c>
      <c r="C430" s="4">
        <v>0.036</v>
      </c>
      <c r="D430" s="4">
        <v>0.27</v>
      </c>
      <c r="E430" s="13">
        <v>1675900000</v>
      </c>
      <c r="F430" s="46" t="s">
        <v>1056</v>
      </c>
      <c r="G430">
        <v>60.869633270203</v>
      </c>
      <c r="H430" s="29">
        <v>100</v>
      </c>
      <c r="I430" s="14">
        <f>H430/G430</f>
        <v>1.6428553061277</v>
      </c>
      <c r="J430" s="4">
        <v>990</v>
      </c>
      <c r="K430" s="4">
        <v>4.95145631067961</v>
      </c>
      <c r="L430" s="4"/>
      <c r="M430" s="4"/>
      <c r="N430" s="4"/>
      <c r="O430" s="4"/>
      <c r="P430" s="4"/>
      <c r="Q430" s="32">
        <v>0.101</v>
      </c>
      <c r="R430" s="6">
        <f>B430</f>
        <v>0.092</v>
      </c>
      <c r="S430" s="19">
        <f>B430/Q430-1</f>
        <v>-0.0891089108910892</v>
      </c>
      <c r="T430" s="14">
        <v>1.56153846153846</v>
      </c>
      <c r="U430" s="14">
        <v>8.65217391304348</v>
      </c>
      <c r="V430" s="14">
        <v>-0.314189189189189</v>
      </c>
      <c r="W430" s="31" t="s">
        <v>1056</v>
      </c>
      <c r="X430" s="4">
        <v>-3.158</v>
      </c>
      <c r="Y430" s="4"/>
      <c r="Z430" s="4"/>
      <c r="AA430" s="4"/>
      <c r="AB430" s="4"/>
      <c r="AC430" s="6"/>
      <c r="AD430" s="4">
        <v>0.247191011235955</v>
      </c>
      <c r="AE430" s="4">
        <v>0.471910112359551</v>
      </c>
      <c r="AF430" s="4">
        <v>4.52</v>
      </c>
      <c r="AG430" s="4">
        <v>5.76</v>
      </c>
      <c r="AH430" s="4">
        <v>6.66</v>
      </c>
    </row>
    <row r="431" ht="14.25" hidden="1" spans="1:34">
      <c r="A431" s="38">
        <v>2086</v>
      </c>
      <c r="B431" s="4">
        <v>1.6</v>
      </c>
      <c r="C431" s="4">
        <v>0.95</v>
      </c>
      <c r="D431" s="4">
        <v>2.2</v>
      </c>
      <c r="E431" s="13">
        <v>505000000</v>
      </c>
      <c r="F431" s="41" t="s">
        <v>1057</v>
      </c>
      <c r="G431">
        <v>39.0726862852617</v>
      </c>
      <c r="H431" s="25">
        <v>32.71400132714</v>
      </c>
      <c r="I431" s="14">
        <f>H431/G431</f>
        <v>0.837260102576562</v>
      </c>
      <c r="J431" s="4">
        <v>4.24</v>
      </c>
      <c r="K431" s="4">
        <v>2.17970452894163</v>
      </c>
      <c r="L431" s="4">
        <v>21.5522</v>
      </c>
      <c r="M431" s="4">
        <v>19.042</v>
      </c>
      <c r="Q431" s="4">
        <v>1.76</v>
      </c>
      <c r="R431" s="4">
        <f>B431</f>
        <v>1.6</v>
      </c>
      <c r="S431" s="18">
        <f>B431/Q431-1</f>
        <v>-0.0909090909090908</v>
      </c>
      <c r="T431" s="14">
        <v>0.135509554140127</v>
      </c>
      <c r="U431" s="14">
        <v>-0.313600924054288</v>
      </c>
      <c r="V431" s="14">
        <v>0.405490113588557</v>
      </c>
      <c r="W431" s="72" t="s">
        <v>1057</v>
      </c>
      <c r="X431" s="4">
        <v>3.23</v>
      </c>
      <c r="AF431" s="4">
        <v>2.13</v>
      </c>
      <c r="AG431" s="4">
        <v>1.23</v>
      </c>
      <c r="AH431" s="4">
        <v>1.13</v>
      </c>
    </row>
    <row r="432" ht="15" hidden="1" spans="1:34">
      <c r="A432" s="37">
        <v>1280</v>
      </c>
      <c r="B432" s="6">
        <v>0.7</v>
      </c>
      <c r="C432" s="6">
        <v>0.36</v>
      </c>
      <c r="D432" s="6">
        <v>2.7</v>
      </c>
      <c r="E432" s="15">
        <v>1461000000</v>
      </c>
      <c r="F432" s="47" t="s">
        <v>652</v>
      </c>
      <c r="G432">
        <v>27.1402550091075</v>
      </c>
      <c r="H432" s="23">
        <v>79.9856011519078</v>
      </c>
      <c r="I432" s="26">
        <f>H432/G432</f>
        <v>2.94712047197298</v>
      </c>
      <c r="J432" s="6">
        <v>0.8</v>
      </c>
      <c r="K432" s="6">
        <v>0.305632345682408</v>
      </c>
      <c r="L432" s="6">
        <v>17.9413</v>
      </c>
      <c r="M432" s="6">
        <v>13.14</v>
      </c>
      <c r="N432" s="6"/>
      <c r="O432" s="6"/>
      <c r="P432" s="4"/>
      <c r="Q432" s="6">
        <v>0.77</v>
      </c>
      <c r="R432" s="4">
        <f>B432</f>
        <v>0.7</v>
      </c>
      <c r="S432" s="18">
        <f>B432/Q432-1</f>
        <v>-0.0909090909090909</v>
      </c>
      <c r="T432" s="16">
        <v>1.68679036278039</v>
      </c>
      <c r="U432" s="16">
        <v>15.9024390243902</v>
      </c>
      <c r="V432" s="14">
        <v>-0.914553700267986</v>
      </c>
      <c r="W432" s="5" t="s">
        <v>652</v>
      </c>
      <c r="X432" s="6">
        <v>4.48</v>
      </c>
      <c r="Y432" s="4"/>
      <c r="Z432" s="4">
        <v>0</v>
      </c>
      <c r="AA432" s="6">
        <v>8000</v>
      </c>
      <c r="AB432" s="6"/>
      <c r="AC432" s="6"/>
      <c r="AD432" s="4">
        <v>0.634146341463415</v>
      </c>
      <c r="AE432" s="6">
        <v>0.829268292682927</v>
      </c>
      <c r="AG432" s="4">
        <v>5.15</v>
      </c>
      <c r="AH432" s="4">
        <v>2.45</v>
      </c>
    </row>
    <row r="433" ht="15" hidden="1" spans="1:34">
      <c r="A433" s="38">
        <v>3996</v>
      </c>
      <c r="B433" s="4">
        <v>1.09</v>
      </c>
      <c r="C433" s="4">
        <v>1.2</v>
      </c>
      <c r="D433" s="4">
        <v>1.71</v>
      </c>
      <c r="E433" s="13">
        <v>31822000000</v>
      </c>
      <c r="F433" s="46" t="s">
        <v>26</v>
      </c>
      <c r="G433">
        <v>9.17347865576748</v>
      </c>
      <c r="H433" s="25">
        <v>56.8873548791967</v>
      </c>
      <c r="I433" s="17">
        <f>H433/G433</f>
        <v>6.20128492296986</v>
      </c>
      <c r="J433" s="4">
        <v>0.85</v>
      </c>
      <c r="K433" s="14">
        <v>14.3861</v>
      </c>
      <c r="Q433" s="4">
        <v>1.2</v>
      </c>
      <c r="R433" s="4">
        <f>B433</f>
        <v>1.09</v>
      </c>
      <c r="S433" s="18">
        <f>B433/Q433-1</f>
        <v>-0.0916666666666666</v>
      </c>
      <c r="T433" s="14">
        <v>-0.150643725183492</v>
      </c>
      <c r="U433" s="14">
        <v>-0.195555555555556</v>
      </c>
      <c r="V433" s="14">
        <v>-0.771355716107097</v>
      </c>
      <c r="W433" s="31" t="s">
        <v>26</v>
      </c>
      <c r="X433" s="4">
        <v>-0.91</v>
      </c>
      <c r="Y433" s="6"/>
      <c r="Z433" s="6"/>
      <c r="AD433" s="4">
        <v>0</v>
      </c>
      <c r="AE433" s="4">
        <v>0</v>
      </c>
      <c r="AF433" s="4">
        <v>1.37</v>
      </c>
      <c r="AG433" s="4">
        <v>0.58</v>
      </c>
      <c r="AH433" s="4">
        <v>0.146</v>
      </c>
    </row>
    <row r="434" ht="15" hidden="1" spans="1:34">
      <c r="A434" s="41">
        <v>1639</v>
      </c>
      <c r="B434" s="6">
        <v>0.59</v>
      </c>
      <c r="C434" s="6">
        <v>0.56</v>
      </c>
      <c r="D434" s="6">
        <v>3.8</v>
      </c>
      <c r="E434" s="15">
        <v>602000000</v>
      </c>
      <c r="F434" s="52" t="s">
        <v>516</v>
      </c>
      <c r="G434">
        <v>5.08731966590737</v>
      </c>
      <c r="H434" s="27">
        <v>79.6622349982034</v>
      </c>
      <c r="I434" s="16">
        <f>H434/G434</f>
        <v>15.6589796257662</v>
      </c>
      <c r="J434" s="6">
        <v>1.15</v>
      </c>
      <c r="K434" s="6">
        <v>0.941648656992899</v>
      </c>
      <c r="L434" s="6">
        <v>20.3781</v>
      </c>
      <c r="M434" s="6">
        <v>20.9</v>
      </c>
      <c r="N434" s="6"/>
      <c r="O434" s="6"/>
      <c r="P434" s="6"/>
      <c r="Q434" s="6">
        <v>0.65</v>
      </c>
      <c r="R434" s="6">
        <f>B434</f>
        <v>0.59</v>
      </c>
      <c r="S434" s="19">
        <f>B434/Q434-1</f>
        <v>-0.0923076923076924</v>
      </c>
      <c r="T434" s="14">
        <v>1.20754716981132</v>
      </c>
      <c r="U434" s="16">
        <v>4.57142857142857</v>
      </c>
      <c r="V434" s="16">
        <v>-0.871794871794872</v>
      </c>
      <c r="W434" s="31" t="s">
        <v>516</v>
      </c>
      <c r="X434" s="4">
        <v>0</v>
      </c>
      <c r="Y434" s="4"/>
      <c r="Z434" s="4"/>
      <c r="AA434" s="4"/>
      <c r="AB434" s="4"/>
      <c r="AC434" s="6"/>
      <c r="AD434" s="4">
        <v>0.316326530612245</v>
      </c>
      <c r="AE434" s="4">
        <v>0.5</v>
      </c>
      <c r="AF434" s="4">
        <v>3.574</v>
      </c>
      <c r="AG434" s="4">
        <v>4.129</v>
      </c>
      <c r="AH434" s="4">
        <v>2.842</v>
      </c>
    </row>
    <row r="435" ht="15" spans="1:34">
      <c r="A435" s="38">
        <v>1070</v>
      </c>
      <c r="B435" s="4">
        <v>3.9</v>
      </c>
      <c r="C435" s="4">
        <v>2.55</v>
      </c>
      <c r="D435" s="4">
        <v>8.88</v>
      </c>
      <c r="E435" s="13">
        <v>6911000000</v>
      </c>
      <c r="F435" s="47" t="s">
        <v>231</v>
      </c>
      <c r="G435">
        <v>4.36113236419281</v>
      </c>
      <c r="H435" s="27">
        <v>35.9064963305246</v>
      </c>
      <c r="I435" s="17">
        <f>H435/G435</f>
        <v>8.23329661473608</v>
      </c>
      <c r="J435" s="4">
        <v>1.47</v>
      </c>
      <c r="K435" s="4">
        <v>0.174685647273438</v>
      </c>
      <c r="L435" s="4">
        <v>25.3679</v>
      </c>
      <c r="M435" s="4">
        <v>24.212</v>
      </c>
      <c r="N435" s="4"/>
      <c r="O435" s="4"/>
      <c r="P435" s="4"/>
      <c r="Q435" s="4">
        <v>4.3</v>
      </c>
      <c r="R435" s="4">
        <f>B435</f>
        <v>3.9</v>
      </c>
      <c r="S435" s="18">
        <f>B435/Q435-1</f>
        <v>-0.0930232558139534</v>
      </c>
      <c r="T435" s="14">
        <v>-0.209976798143851</v>
      </c>
      <c r="U435" s="14">
        <v>-0.378932968536252</v>
      </c>
      <c r="V435" s="16">
        <v>-0.651982378854626</v>
      </c>
      <c r="W435" s="31" t="s">
        <v>231</v>
      </c>
      <c r="X435" s="4">
        <v>-1.02</v>
      </c>
      <c r="Y435" s="6" t="s">
        <v>879</v>
      </c>
      <c r="Z435" s="6"/>
      <c r="AA435" s="4"/>
      <c r="AB435" s="4"/>
      <c r="AC435" s="6"/>
      <c r="AD435" s="4">
        <v>0.228813559322034</v>
      </c>
      <c r="AE435" s="4">
        <v>0.254237288135593</v>
      </c>
      <c r="AF435" s="4">
        <v>0.18811</v>
      </c>
      <c r="AG435" s="4">
        <v>0.10972</v>
      </c>
      <c r="AH435" s="4">
        <v>0.053</v>
      </c>
    </row>
    <row r="436" ht="15" hidden="1" spans="1:34">
      <c r="A436" s="43">
        <v>987</v>
      </c>
      <c r="B436" s="4">
        <v>0.231</v>
      </c>
      <c r="C436" s="4">
        <v>0.163</v>
      </c>
      <c r="D436" s="4">
        <v>0.45</v>
      </c>
      <c r="E436" s="13">
        <v>530200000</v>
      </c>
      <c r="F436" s="50" t="s">
        <v>1058</v>
      </c>
      <c r="G436">
        <v>29.4373332956999</v>
      </c>
      <c r="H436" s="56">
        <v>16.8825097012483</v>
      </c>
      <c r="I436" s="14">
        <f>H436/G436</f>
        <v>0.573506762031139</v>
      </c>
      <c r="J436" s="4">
        <v>0.36</v>
      </c>
      <c r="K436" s="4">
        <v>4.17229729729729</v>
      </c>
      <c r="L436" s="4">
        <v>14.3873</v>
      </c>
      <c r="M436" s="4">
        <v>14.36</v>
      </c>
      <c r="N436" s="4"/>
      <c r="O436" s="4"/>
      <c r="P436" s="4"/>
      <c r="Q436" s="4">
        <v>0.255</v>
      </c>
      <c r="R436" s="61">
        <f>B436</f>
        <v>0.231</v>
      </c>
      <c r="S436" s="18">
        <f>B436/Q436-1</f>
        <v>-0.0941176470588235</v>
      </c>
      <c r="T436" s="14">
        <v>0.256814130015255</v>
      </c>
      <c r="U436" s="14">
        <v>0.357593805836808</v>
      </c>
      <c r="V436" s="14">
        <v>-0.735846714047556</v>
      </c>
      <c r="W436" s="31" t="s">
        <v>1058</v>
      </c>
      <c r="X436" s="4">
        <v>0</v>
      </c>
      <c r="Y436" s="4"/>
      <c r="Z436" s="4"/>
      <c r="AA436" s="4"/>
      <c r="AB436" s="4"/>
      <c r="AC436" s="4"/>
      <c r="AD436" s="4"/>
      <c r="AE436" s="4"/>
      <c r="AF436" s="4">
        <v>1.1</v>
      </c>
      <c r="AG436" s="4">
        <v>0.87</v>
      </c>
      <c r="AH436" s="4">
        <v>0.99</v>
      </c>
    </row>
    <row r="437" ht="15" hidden="1" spans="1:34">
      <c r="A437" s="41">
        <v>3899</v>
      </c>
      <c r="B437" s="4">
        <v>3.33</v>
      </c>
      <c r="C437" s="4">
        <v>3.63</v>
      </c>
      <c r="D437" s="4">
        <v>10.48</v>
      </c>
      <c r="E437" s="13">
        <v>6198000000</v>
      </c>
      <c r="F437" s="47" t="s">
        <v>209</v>
      </c>
      <c r="G437">
        <v>7.5101738808731</v>
      </c>
      <c r="H437" s="23">
        <v>65.7550140891762</v>
      </c>
      <c r="I437" s="17">
        <f>H437/G437</f>
        <v>8.75545827995287</v>
      </c>
      <c r="J437" s="4">
        <v>0.99</v>
      </c>
      <c r="K437" s="14">
        <v>0.672008323025229</v>
      </c>
      <c r="L437" s="4">
        <v>5.5819</v>
      </c>
      <c r="M437" s="4">
        <v>5.561</v>
      </c>
      <c r="N437" s="4"/>
      <c r="O437" s="4"/>
      <c r="P437" s="4"/>
      <c r="Q437" s="4">
        <v>3.68</v>
      </c>
      <c r="R437" s="4">
        <f>B437</f>
        <v>3.33</v>
      </c>
      <c r="S437" s="18">
        <f>B437/Q437-1</f>
        <v>-0.0951086956521739</v>
      </c>
      <c r="T437" s="16">
        <v>0.0398254804571325</v>
      </c>
      <c r="U437" s="14">
        <v>-0.122809475292919</v>
      </c>
      <c r="V437" s="16">
        <v>-0.240053138202883</v>
      </c>
      <c r="W437" s="31" t="s">
        <v>209</v>
      </c>
      <c r="X437" s="4">
        <v>1.52</v>
      </c>
      <c r="Y437" s="4"/>
      <c r="Z437" s="4"/>
      <c r="AA437" s="4"/>
      <c r="AB437" s="4"/>
      <c r="AC437" s="6"/>
      <c r="AD437" s="4">
        <v>0.124015748031496</v>
      </c>
      <c r="AE437" s="4">
        <v>0.169291338582677</v>
      </c>
      <c r="AF437" s="4">
        <v>25.94</v>
      </c>
      <c r="AG437" s="4">
        <v>20.68</v>
      </c>
      <c r="AH437" s="4">
        <v>17.54</v>
      </c>
    </row>
    <row r="438" ht="15" spans="1:34">
      <c r="A438" s="22">
        <v>8326</v>
      </c>
      <c r="B438" s="6">
        <v>5.05</v>
      </c>
      <c r="C438" s="6">
        <v>1.28</v>
      </c>
      <c r="D438" s="6">
        <v>6.46</v>
      </c>
      <c r="E438" s="15">
        <v>2229000000</v>
      </c>
      <c r="F438" s="52" t="s">
        <v>1059</v>
      </c>
      <c r="G438">
        <v>15.8390843292375</v>
      </c>
      <c r="H438" s="27">
        <v>63.371998039536</v>
      </c>
      <c r="I438" s="16">
        <f>H438/G438</f>
        <v>4.00098873913798</v>
      </c>
      <c r="J438" s="6">
        <v>29.56</v>
      </c>
      <c r="K438" s="6">
        <v>8.31474044325449</v>
      </c>
      <c r="L438" s="6">
        <v>4148.423</v>
      </c>
      <c r="M438" s="6">
        <v>4300</v>
      </c>
      <c r="N438" s="6"/>
      <c r="O438" s="6"/>
      <c r="P438" s="6"/>
      <c r="Q438" s="6">
        <v>5.59</v>
      </c>
      <c r="R438" s="6">
        <f>B438</f>
        <v>5.05</v>
      </c>
      <c r="S438" s="19">
        <f>B438/Q438-1</f>
        <v>-0.0966010733452594</v>
      </c>
      <c r="T438" s="16">
        <v>-0.648275862068965</v>
      </c>
      <c r="U438" s="16">
        <v>-0.7875</v>
      </c>
      <c r="V438" s="16">
        <v>1.35294117647059</v>
      </c>
      <c r="W438" s="88" t="s">
        <v>1059</v>
      </c>
      <c r="X438" s="6">
        <v>-0.79</v>
      </c>
      <c r="Y438" s="6" t="s">
        <v>1060</v>
      </c>
      <c r="Z438" s="6"/>
      <c r="AA438" s="6"/>
      <c r="AB438" s="6"/>
      <c r="AC438" s="6"/>
      <c r="AD438" s="6">
        <v>0.22</v>
      </c>
      <c r="AE438" s="6">
        <v>0.0999999999999999</v>
      </c>
      <c r="AF438" s="4">
        <v>12.49279</v>
      </c>
      <c r="AG438" s="4">
        <v>13.04</v>
      </c>
      <c r="AH438" s="4">
        <v>10.5</v>
      </c>
    </row>
    <row r="439" ht="15" hidden="1" spans="1:34">
      <c r="A439" s="58">
        <v>688</v>
      </c>
      <c r="B439" s="4">
        <v>22.1</v>
      </c>
      <c r="C439" s="4">
        <v>19.8</v>
      </c>
      <c r="D439" s="4">
        <v>34.05</v>
      </c>
      <c r="E439" s="13">
        <v>266784000000</v>
      </c>
      <c r="F439" s="45" t="s">
        <v>1061</v>
      </c>
      <c r="G439">
        <v>7.46738225224392</v>
      </c>
      <c r="H439" s="49">
        <v>27.8281989006775</v>
      </c>
      <c r="I439" s="14">
        <f>H439/G439</f>
        <v>3.72663377347734</v>
      </c>
      <c r="J439" s="4">
        <v>1.25</v>
      </c>
      <c r="K439" s="4">
        <v>1.61422108850315</v>
      </c>
      <c r="L439" s="4">
        <v>7.1929</v>
      </c>
      <c r="M439" s="4">
        <v>6.731</v>
      </c>
      <c r="N439" s="4"/>
      <c r="O439" s="4"/>
      <c r="P439" s="4"/>
      <c r="Q439" s="4">
        <v>24.5</v>
      </c>
      <c r="R439" s="61">
        <f>B439</f>
        <v>22.1</v>
      </c>
      <c r="S439" s="18">
        <f>B439/Q439-1</f>
        <v>-0.0979591836734693</v>
      </c>
      <c r="T439" s="14">
        <v>1.13034551610052</v>
      </c>
      <c r="U439" s="14">
        <v>4.83234256863838</v>
      </c>
      <c r="V439" s="14">
        <v>-0.762976121304161</v>
      </c>
      <c r="W439" s="31" t="s">
        <v>1061</v>
      </c>
      <c r="X439" s="4">
        <v>0.45</v>
      </c>
      <c r="Y439" s="4"/>
      <c r="Z439" s="4"/>
      <c r="AA439" s="4"/>
      <c r="AB439" s="4"/>
      <c r="AC439" s="4"/>
      <c r="AD439" s="4"/>
      <c r="AE439" s="4"/>
      <c r="AF439" s="4">
        <v>6.475</v>
      </c>
      <c r="AG439" s="4">
        <v>7.01</v>
      </c>
      <c r="AH439" s="4">
        <v>6.82</v>
      </c>
    </row>
    <row r="440" ht="15" hidden="1" spans="1:34">
      <c r="A440" s="38">
        <v>8237</v>
      </c>
      <c r="B440" s="4">
        <v>0.82</v>
      </c>
      <c r="C440" s="4">
        <v>0.43</v>
      </c>
      <c r="D440" s="4">
        <v>3.06</v>
      </c>
      <c r="E440" s="13">
        <v>2932000000</v>
      </c>
      <c r="F440" s="46" t="s">
        <v>351</v>
      </c>
      <c r="G440">
        <v>10.9765868423395</v>
      </c>
      <c r="H440" s="28">
        <v>68.2935038707506</v>
      </c>
      <c r="I440" s="14">
        <f>H440/G440</f>
        <v>6.22174313852507</v>
      </c>
      <c r="J440" s="4">
        <v>7.58</v>
      </c>
      <c r="K440" s="14">
        <v>57.4712643678161</v>
      </c>
      <c r="L440" s="4"/>
      <c r="M440" s="4"/>
      <c r="N440" s="4"/>
      <c r="O440" s="4"/>
      <c r="P440" s="6"/>
      <c r="Q440" s="4">
        <v>0.91</v>
      </c>
      <c r="R440" s="4">
        <f>B440</f>
        <v>0.82</v>
      </c>
      <c r="S440" s="18">
        <f>B440/Q440-1</f>
        <v>-0.098901098901099</v>
      </c>
      <c r="T440" s="14">
        <v>-0.819246145059966</v>
      </c>
      <c r="U440" s="16">
        <v>-0.85172171468728</v>
      </c>
      <c r="V440" s="16">
        <v>3.50236966824645</v>
      </c>
      <c r="W440" s="31" t="s">
        <v>351</v>
      </c>
      <c r="X440" s="4">
        <v>0</v>
      </c>
      <c r="Y440" s="4"/>
      <c r="Z440" s="4"/>
      <c r="AA440" s="4"/>
      <c r="AB440" s="4"/>
      <c r="AC440" s="4"/>
      <c r="AD440" s="4">
        <v>0.04</v>
      </c>
      <c r="AE440" s="6">
        <v>0.15</v>
      </c>
      <c r="AF440" s="4">
        <v>4.62674</v>
      </c>
      <c r="AG440" s="4">
        <v>4.0905</v>
      </c>
      <c r="AH440" s="4">
        <v>2.78672</v>
      </c>
    </row>
    <row r="441" ht="15" hidden="1" spans="1:34">
      <c r="A441" s="38">
        <v>996</v>
      </c>
      <c r="B441" s="4">
        <v>0.9</v>
      </c>
      <c r="C441" s="4">
        <v>0.8</v>
      </c>
      <c r="D441" s="4">
        <v>1.79</v>
      </c>
      <c r="E441" s="13">
        <v>14443000000</v>
      </c>
      <c r="F441" s="46" t="s">
        <v>99</v>
      </c>
      <c r="G441">
        <v>8.89212827988338</v>
      </c>
      <c r="H441" s="28">
        <v>41.1034288133202</v>
      </c>
      <c r="I441" s="17">
        <f>H441/G441</f>
        <v>4.62245117474387</v>
      </c>
      <c r="J441" s="4">
        <v>2.93</v>
      </c>
      <c r="K441" s="4">
        <v>14.4846796657381</v>
      </c>
      <c r="L441" s="4">
        <v>359.7953</v>
      </c>
      <c r="M441" s="4">
        <v>303.03</v>
      </c>
      <c r="N441" s="4"/>
      <c r="O441" s="4"/>
      <c r="P441" s="4"/>
      <c r="Q441" s="4">
        <v>1</v>
      </c>
      <c r="R441" s="4">
        <f>B441</f>
        <v>0.9</v>
      </c>
      <c r="S441" s="18">
        <f>B441/Q441-1</f>
        <v>-0.1</v>
      </c>
      <c r="T441" s="14">
        <v>-0.0647198105761642</v>
      </c>
      <c r="U441" s="16">
        <v>-0.0666351606805293</v>
      </c>
      <c r="V441" s="16">
        <v>-0.496</v>
      </c>
      <c r="W441" s="31" t="s">
        <v>99</v>
      </c>
      <c r="X441" s="4">
        <v>0</v>
      </c>
      <c r="Y441" s="4"/>
      <c r="Z441" s="4"/>
      <c r="AA441" s="4"/>
      <c r="AB441" s="4"/>
      <c r="AC441" s="4"/>
      <c r="AD441" s="6">
        <v>0.177777777777778</v>
      </c>
      <c r="AE441" s="4">
        <v>0.266666666666667</v>
      </c>
      <c r="AG441" s="4">
        <v>15.84</v>
      </c>
      <c r="AH441" s="4">
        <v>16.88</v>
      </c>
    </row>
    <row r="442" ht="15" hidden="1" spans="1:34">
      <c r="A442" s="38">
        <v>8247</v>
      </c>
      <c r="B442" s="4">
        <v>2.99</v>
      </c>
      <c r="C442" s="4">
        <v>2.11</v>
      </c>
      <c r="D442" s="4">
        <v>7.17</v>
      </c>
      <c r="E442" s="13">
        <v>414000000</v>
      </c>
      <c r="F442" s="45" t="s">
        <v>200</v>
      </c>
      <c r="G442">
        <v>11.0399430655636</v>
      </c>
      <c r="H442" s="27">
        <v>38.121546961326</v>
      </c>
      <c r="I442" s="17">
        <f>H442/G442</f>
        <v>3.45305648180713</v>
      </c>
      <c r="J442" s="4">
        <v>1.3</v>
      </c>
      <c r="K442" s="14">
        <v>1.15439238224162</v>
      </c>
      <c r="L442" s="4">
        <v>41.2117</v>
      </c>
      <c r="M442" s="4">
        <v>41.213</v>
      </c>
      <c r="N442" s="4"/>
      <c r="O442" s="4"/>
      <c r="P442" s="6"/>
      <c r="Q442" s="4">
        <v>3.33</v>
      </c>
      <c r="R442" s="4">
        <f>B442</f>
        <v>2.99</v>
      </c>
      <c r="S442" s="18">
        <f>B442/Q442-1</f>
        <v>-0.102102102102102</v>
      </c>
      <c r="T442" s="14">
        <v>-1</v>
      </c>
      <c r="U442" s="14">
        <v>-1</v>
      </c>
      <c r="V442" s="14">
        <v>0</v>
      </c>
      <c r="W442" s="31" t="s">
        <v>200</v>
      </c>
      <c r="X442" s="4">
        <v>0.34</v>
      </c>
      <c r="Y442" s="4"/>
      <c r="Z442" s="4"/>
      <c r="AA442" s="4"/>
      <c r="AB442" s="4"/>
      <c r="AC442" s="6"/>
      <c r="AD442" s="6">
        <v>0.226086956521739</v>
      </c>
      <c r="AE442" s="6">
        <v>0.621739130434783</v>
      </c>
      <c r="AH442" s="4">
        <v>1.53</v>
      </c>
    </row>
    <row r="443" ht="15" hidden="1" spans="1:34">
      <c r="A443" s="48">
        <v>1060</v>
      </c>
      <c r="B443" s="6">
        <v>1.44</v>
      </c>
      <c r="C443" s="6">
        <v>1.24</v>
      </c>
      <c r="D443" s="6">
        <v>4.9</v>
      </c>
      <c r="E443" s="15">
        <v>40123000000</v>
      </c>
      <c r="F443" s="47" t="s">
        <v>528</v>
      </c>
      <c r="G443">
        <v>1.39039542451435</v>
      </c>
      <c r="H443" s="23">
        <v>45.8363715910748</v>
      </c>
      <c r="I443" s="16">
        <f>H443/G443</f>
        <v>32.9664286741198</v>
      </c>
      <c r="J443" s="6">
        <v>2.09</v>
      </c>
      <c r="K443" s="6">
        <v>181.082137969036</v>
      </c>
      <c r="L443" s="6"/>
      <c r="M443" s="6"/>
      <c r="N443" s="6"/>
      <c r="O443" s="6"/>
      <c r="P443" s="4"/>
      <c r="Q443" s="6">
        <v>1.61</v>
      </c>
      <c r="R443" s="4">
        <f>B443</f>
        <v>1.44</v>
      </c>
      <c r="S443" s="60">
        <f>B443/Q443-1</f>
        <v>-0.105590062111801</v>
      </c>
      <c r="T443" s="16">
        <v>0.463939274855736</v>
      </c>
      <c r="U443" s="16">
        <v>2.53422879113197</v>
      </c>
      <c r="V443" s="14">
        <v>-0.740604690590562</v>
      </c>
      <c r="W443" s="31" t="s">
        <v>528</v>
      </c>
      <c r="X443" s="4">
        <v>-0.69</v>
      </c>
      <c r="Y443" s="4"/>
      <c r="Z443" s="4"/>
      <c r="AA443" s="4"/>
      <c r="AB443" s="4"/>
      <c r="AC443" s="4"/>
      <c r="AD443" s="4">
        <v>0.384615384615385</v>
      </c>
      <c r="AE443" s="4">
        <v>0.467455621301775</v>
      </c>
      <c r="AF443" s="4">
        <v>13.16</v>
      </c>
      <c r="AG443" s="4">
        <v>11</v>
      </c>
      <c r="AH443" s="4">
        <v>6.25</v>
      </c>
    </row>
    <row r="444" ht="15" spans="1:34">
      <c r="A444" s="37">
        <v>392</v>
      </c>
      <c r="B444" s="6">
        <v>34.3</v>
      </c>
      <c r="C444" s="6">
        <v>37.85</v>
      </c>
      <c r="D444" s="6">
        <v>76.45</v>
      </c>
      <c r="E444" s="15">
        <v>47899000000</v>
      </c>
      <c r="F444" s="47" t="s">
        <v>431</v>
      </c>
      <c r="G444">
        <v>5.53561307387115</v>
      </c>
      <c r="H444" s="26">
        <v>50.4438092372499</v>
      </c>
      <c r="I444" s="16">
        <f>H444/G444</f>
        <v>9.11259666528204</v>
      </c>
      <c r="J444" s="6">
        <v>0.82</v>
      </c>
      <c r="K444" s="6">
        <v>0.822929412146871</v>
      </c>
      <c r="L444" s="6">
        <v>10.1955</v>
      </c>
      <c r="M444" s="6">
        <v>10.168</v>
      </c>
      <c r="N444" s="6"/>
      <c r="O444" s="6"/>
      <c r="P444" s="6"/>
      <c r="Q444" s="6">
        <v>38.4</v>
      </c>
      <c r="R444" s="6">
        <f>B444</f>
        <v>34.3</v>
      </c>
      <c r="S444" s="19">
        <f>B444/Q444-1</f>
        <v>-0.106770833333333</v>
      </c>
      <c r="T444" s="14">
        <v>-0.129279940073036</v>
      </c>
      <c r="U444" s="16">
        <v>-0.134674886588345</v>
      </c>
      <c r="V444" s="14">
        <v>-0.386154425207011</v>
      </c>
      <c r="W444" s="31" t="s">
        <v>431</v>
      </c>
      <c r="X444" s="4">
        <v>0.15</v>
      </c>
      <c r="Y444" s="6" t="s">
        <v>1062</v>
      </c>
      <c r="Z444" s="6"/>
      <c r="AA444" s="4"/>
      <c r="AB444" s="4"/>
      <c r="AC444" s="6"/>
      <c r="AD444" s="4">
        <v>0.0441426473997372</v>
      </c>
      <c r="AE444" s="4">
        <v>0.0614133374546015</v>
      </c>
      <c r="AH444" s="4">
        <v>0.135</v>
      </c>
    </row>
    <row r="445" ht="15" hidden="1" spans="1:34">
      <c r="A445" s="4">
        <v>206</v>
      </c>
      <c r="B445" s="4">
        <v>1.05</v>
      </c>
      <c r="C445" s="4">
        <v>1.15</v>
      </c>
      <c r="D445" s="4">
        <v>4.28</v>
      </c>
      <c r="E445" s="13">
        <v>990000000</v>
      </c>
      <c r="F445" s="46" t="s">
        <v>746</v>
      </c>
      <c r="G445">
        <v>6.66417771140564</v>
      </c>
      <c r="H445" s="28">
        <v>54.2971763616726</v>
      </c>
      <c r="I445" s="14">
        <f>H445/G445</f>
        <v>8.14761831287059</v>
      </c>
      <c r="J445" s="4">
        <v>0.47</v>
      </c>
      <c r="K445" s="4">
        <v>0.448350088771417</v>
      </c>
      <c r="L445" s="4">
        <v>5.2474</v>
      </c>
      <c r="M445" s="4">
        <v>5.126</v>
      </c>
      <c r="Q445" s="4">
        <v>1.18</v>
      </c>
      <c r="R445" s="4">
        <f>B445</f>
        <v>1.05</v>
      </c>
      <c r="S445" s="18">
        <f>B445/Q445-1</f>
        <v>-0.110169491525424</v>
      </c>
      <c r="T445" s="16">
        <v>0.426806670784435</v>
      </c>
      <c r="U445" s="14">
        <v>0.287625418060201</v>
      </c>
      <c r="V445" s="14">
        <v>-0.554545454545455</v>
      </c>
      <c r="W445" s="62" t="s">
        <v>746</v>
      </c>
      <c r="X445" s="6">
        <v>-0.94</v>
      </c>
      <c r="AC445" s="6"/>
      <c r="AD445" s="4">
        <v>0.18235294117647</v>
      </c>
      <c r="AE445" s="6">
        <v>0.258823529411765</v>
      </c>
      <c r="AF445" s="4">
        <v>1.93</v>
      </c>
      <c r="AG445" s="4">
        <v>1.63</v>
      </c>
      <c r="AH445" s="4">
        <v>1.84</v>
      </c>
    </row>
    <row r="446" ht="15" hidden="1" spans="1:34">
      <c r="A446" s="37">
        <v>2038</v>
      </c>
      <c r="B446" s="6">
        <v>2.41</v>
      </c>
      <c r="C446" s="6">
        <v>2.72</v>
      </c>
      <c r="D446" s="6">
        <v>5</v>
      </c>
      <c r="E446" s="15">
        <v>21866000000</v>
      </c>
      <c r="F446" s="52" t="s">
        <v>373</v>
      </c>
      <c r="G446">
        <v>0.833002776675922</v>
      </c>
      <c r="H446" s="27">
        <v>53.1159087429184</v>
      </c>
      <c r="I446" s="16">
        <f>H446/G446</f>
        <v>63.7643837813796</v>
      </c>
      <c r="J446" s="6">
        <v>0.72</v>
      </c>
      <c r="K446" s="6">
        <v>0.347295953704457</v>
      </c>
      <c r="L446" s="6">
        <v>16.3985</v>
      </c>
      <c r="M446" s="6">
        <v>15.632</v>
      </c>
      <c r="N446" s="6"/>
      <c r="O446" s="6"/>
      <c r="P446" s="6"/>
      <c r="Q446" s="6">
        <v>2.72</v>
      </c>
      <c r="R446" s="6">
        <f>B446</f>
        <v>2.41</v>
      </c>
      <c r="S446" s="19">
        <f>B446/Q446-1</f>
        <v>-0.113970588235294</v>
      </c>
      <c r="T446" s="16">
        <v>-0.372830831470244</v>
      </c>
      <c r="U446" s="14">
        <v>-0.402565792809695</v>
      </c>
      <c r="V446" s="14">
        <v>-0.573444236971652</v>
      </c>
      <c r="W446" s="31" t="s">
        <v>373</v>
      </c>
      <c r="X446" s="4">
        <v>0</v>
      </c>
      <c r="Y446" s="4"/>
      <c r="Z446" s="4"/>
      <c r="AA446" s="4"/>
      <c r="AB446" s="4"/>
      <c r="AC446" s="6"/>
      <c r="AD446" s="4">
        <v>0.0241545893719808</v>
      </c>
      <c r="AE446" s="4">
        <v>0.0917874396135265</v>
      </c>
      <c r="AH446" s="4">
        <v>0.495</v>
      </c>
    </row>
    <row r="447" ht="15" hidden="1" spans="1:34">
      <c r="A447" s="38">
        <v>8295</v>
      </c>
      <c r="B447" s="4">
        <v>0.66</v>
      </c>
      <c r="C447" s="4">
        <v>0.17</v>
      </c>
      <c r="D447" s="4">
        <v>1.15</v>
      </c>
      <c r="E447" s="13">
        <v>2485000000</v>
      </c>
      <c r="F447" s="46" t="s">
        <v>1063</v>
      </c>
      <c r="G447">
        <v>40.1520138847328</v>
      </c>
      <c r="H447" s="25">
        <v>74.246384387524</v>
      </c>
      <c r="I447" s="14">
        <f>H447/G447</f>
        <v>1.84913226521261</v>
      </c>
      <c r="J447" s="4">
        <v>9</v>
      </c>
      <c r="K447" s="4">
        <v>30.2419354838709</v>
      </c>
      <c r="Q447" s="4">
        <v>0.75</v>
      </c>
      <c r="R447" s="4">
        <f>B447</f>
        <v>0.66</v>
      </c>
      <c r="S447" s="18">
        <f>B447/Q447-1</f>
        <v>-0.12</v>
      </c>
      <c r="T447" s="14">
        <v>0.604651162790698</v>
      </c>
      <c r="U447" s="14">
        <v>1.61363636363636</v>
      </c>
      <c r="V447" s="14">
        <v>-0.678260869565217</v>
      </c>
      <c r="W447" s="31" t="s">
        <v>1063</v>
      </c>
      <c r="X447" s="4">
        <v>1.54</v>
      </c>
      <c r="AF447" s="4">
        <v>1.66</v>
      </c>
      <c r="AG447" s="4">
        <v>1.4</v>
      </c>
      <c r="AH447" s="4">
        <v>0.73</v>
      </c>
    </row>
    <row r="448" ht="15" spans="1:34">
      <c r="A448" s="43">
        <v>8345</v>
      </c>
      <c r="B448" s="4">
        <v>3.29</v>
      </c>
      <c r="C448" s="4">
        <v>3</v>
      </c>
      <c r="D448" s="4">
        <v>5.5</v>
      </c>
      <c r="E448" s="13">
        <v>600000000</v>
      </c>
      <c r="F448" s="45" t="s">
        <v>1064</v>
      </c>
      <c r="G448">
        <v>57.7506443026744</v>
      </c>
      <c r="H448" s="51">
        <v>140.096038415366</v>
      </c>
      <c r="I448" s="14">
        <f>H448/G448</f>
        <v>2.42587836217229</v>
      </c>
      <c r="J448" s="4">
        <v>12.15</v>
      </c>
      <c r="K448" s="4">
        <v>53.2167</v>
      </c>
      <c r="Q448" s="32">
        <v>3.74</v>
      </c>
      <c r="R448" s="6">
        <f>B448</f>
        <v>3.29</v>
      </c>
      <c r="S448" s="19">
        <f>B448/Q448-1</f>
        <v>-0.120320855614973</v>
      </c>
      <c r="T448" s="14">
        <v>0.666666666666667</v>
      </c>
      <c r="U448" s="14">
        <v>1.5</v>
      </c>
      <c r="V448" s="14">
        <v>-0.8</v>
      </c>
      <c r="W448" s="31" t="s">
        <v>1064</v>
      </c>
      <c r="X448" s="4">
        <v>-0.3</v>
      </c>
      <c r="Y448" s="61" t="s">
        <v>1065</v>
      </c>
      <c r="AD448" s="6">
        <v>0</v>
      </c>
      <c r="AE448" s="4">
        <v>0</v>
      </c>
      <c r="AF448" s="4">
        <v>1.72</v>
      </c>
      <c r="AG448" s="4">
        <v>1.526</v>
      </c>
      <c r="AH448" s="4">
        <v>1.22</v>
      </c>
    </row>
    <row r="449" ht="15" hidden="1" spans="1:34">
      <c r="A449" s="38">
        <v>144</v>
      </c>
      <c r="B449" s="4">
        <v>19.58</v>
      </c>
      <c r="C449" s="4">
        <v>19.8</v>
      </c>
      <c r="D449" s="4">
        <v>37</v>
      </c>
      <c r="E449" s="13">
        <v>54407000000</v>
      </c>
      <c r="F449" s="46" t="s">
        <v>1066</v>
      </c>
      <c r="G449">
        <v>2.9597282872392</v>
      </c>
      <c r="H449" s="26">
        <v>36.1099768613039</v>
      </c>
      <c r="I449" s="14">
        <f>H449/G449</f>
        <v>12.2004364444504</v>
      </c>
      <c r="J449" s="4">
        <v>0.8</v>
      </c>
      <c r="K449" s="4">
        <v>6.51702740417446</v>
      </c>
      <c r="L449" s="4">
        <v>12.6031</v>
      </c>
      <c r="M449" s="4">
        <v>12.923</v>
      </c>
      <c r="N449" s="4"/>
      <c r="O449" s="4"/>
      <c r="P449" s="4"/>
      <c r="Q449" s="32">
        <v>22.35</v>
      </c>
      <c r="R449" s="6">
        <f>B449</f>
        <v>19.58</v>
      </c>
      <c r="S449" s="19">
        <f>B449/Q449-1</f>
        <v>-0.123937360178971</v>
      </c>
      <c r="T449" s="14">
        <v>-0.271701456957797</v>
      </c>
      <c r="U449" s="14">
        <v>-0.334687211226441</v>
      </c>
      <c r="V449" s="16">
        <v>-0.551894118027068</v>
      </c>
      <c r="W449" s="31" t="s">
        <v>1066</v>
      </c>
      <c r="X449" s="4">
        <v>1.24</v>
      </c>
      <c r="Y449" s="4"/>
      <c r="Z449" s="4"/>
      <c r="AA449" s="4">
        <v>4000</v>
      </c>
      <c r="AB449" s="4"/>
      <c r="AC449" s="4"/>
      <c r="AD449" s="6">
        <v>0.0493563023350178</v>
      </c>
      <c r="AE449" s="4">
        <v>0.0914087572392931</v>
      </c>
      <c r="AF449" s="4">
        <v>4.55</v>
      </c>
      <c r="AG449" s="4">
        <v>2.13</v>
      </c>
      <c r="AH449" s="4">
        <v>2.08</v>
      </c>
    </row>
    <row r="450" ht="15" hidden="1" spans="1:34">
      <c r="A450" s="37">
        <v>8041</v>
      </c>
      <c r="B450" s="6">
        <v>0.13</v>
      </c>
      <c r="C450" s="6">
        <v>0.03</v>
      </c>
      <c r="D450" s="6">
        <v>0.8</v>
      </c>
      <c r="E450" s="15">
        <v>787100000</v>
      </c>
      <c r="F450" s="54" t="s">
        <v>437</v>
      </c>
      <c r="G450">
        <v>34.6153091715106</v>
      </c>
      <c r="H450" s="40">
        <v>130.771005930815</v>
      </c>
      <c r="I450" s="16">
        <f>H450/G450</f>
        <v>3.77783729398099</v>
      </c>
      <c r="J450" s="6">
        <v>3.86</v>
      </c>
      <c r="K450" s="16">
        <v>7.55102040816326</v>
      </c>
      <c r="L450" s="6"/>
      <c r="M450" s="6"/>
      <c r="N450" s="6"/>
      <c r="O450" s="6"/>
      <c r="P450" s="6"/>
      <c r="Q450" s="6">
        <v>0.149</v>
      </c>
      <c r="R450" s="6">
        <f>B450</f>
        <v>0.13</v>
      </c>
      <c r="S450" s="19">
        <f>B450/Q450-1</f>
        <v>-0.12751677852349</v>
      </c>
      <c r="T450" s="14">
        <v>2</v>
      </c>
      <c r="U450" s="14">
        <v>0</v>
      </c>
      <c r="V450" s="14">
        <v>-0.529411764705882</v>
      </c>
      <c r="W450" s="31" t="s">
        <v>437</v>
      </c>
      <c r="X450" s="4">
        <v>-6.475</v>
      </c>
      <c r="AD450" s="4">
        <v>0.175438596491228</v>
      </c>
      <c r="AE450" s="4">
        <v>0.421052631578948</v>
      </c>
      <c r="AF450" s="4">
        <v>5.04</v>
      </c>
      <c r="AG450" s="4">
        <v>6.84</v>
      </c>
      <c r="AH450" s="4">
        <v>6.93</v>
      </c>
    </row>
    <row r="451" ht="15" hidden="1" spans="1:34">
      <c r="A451" s="38">
        <v>1300</v>
      </c>
      <c r="B451" s="4">
        <v>1.22</v>
      </c>
      <c r="C451" s="4">
        <v>1.22</v>
      </c>
      <c r="D451" s="4">
        <v>2.8</v>
      </c>
      <c r="E451" s="13">
        <v>1954000000</v>
      </c>
      <c r="F451" s="46" t="s">
        <v>1067</v>
      </c>
      <c r="G451">
        <v>22.1305092664694</v>
      </c>
      <c r="H451" s="29">
        <v>39.3534002229654</v>
      </c>
      <c r="I451" s="14">
        <f>H451/G451</f>
        <v>1.7782419622214</v>
      </c>
      <c r="J451" s="4">
        <v>0.72</v>
      </c>
      <c r="K451" s="4">
        <v>0.486878621159744</v>
      </c>
      <c r="L451" s="4">
        <v>4.7432</v>
      </c>
      <c r="M451" s="4">
        <v>3.265</v>
      </c>
      <c r="N451" s="4"/>
      <c r="O451" s="4"/>
      <c r="P451" s="4"/>
      <c r="Q451" s="32">
        <v>1.4</v>
      </c>
      <c r="R451" s="6">
        <f>B451</f>
        <v>1.22</v>
      </c>
      <c r="S451" s="19">
        <f>B451/Q451-1</f>
        <v>-0.128571428571429</v>
      </c>
      <c r="T451" s="14">
        <v>0.372939169982945</v>
      </c>
      <c r="U451" s="14">
        <v>0.376068376068376</v>
      </c>
      <c r="V451" s="16">
        <v>-0.631055900621118</v>
      </c>
      <c r="W451" s="31" t="s">
        <v>1067</v>
      </c>
      <c r="X451" s="4">
        <v>-0.81</v>
      </c>
      <c r="Y451" s="6"/>
      <c r="Z451" s="6"/>
      <c r="AA451" s="4"/>
      <c r="AB451" s="4"/>
      <c r="AC451" s="6"/>
      <c r="AD451" s="4">
        <v>0.223776223776224</v>
      </c>
      <c r="AE451" s="4">
        <v>0.342657342657343</v>
      </c>
      <c r="AF451" s="4">
        <v>4.635</v>
      </c>
      <c r="AG451" s="4">
        <v>5.716</v>
      </c>
      <c r="AH451" s="4">
        <v>5.001</v>
      </c>
    </row>
    <row r="452" ht="15" hidden="1" spans="1:34">
      <c r="A452" s="38">
        <v>8311</v>
      </c>
      <c r="B452" s="4">
        <v>0.81</v>
      </c>
      <c r="C452" s="4">
        <v>0.64</v>
      </c>
      <c r="D452" s="4">
        <v>3.73</v>
      </c>
      <c r="E452" s="13">
        <v>1261000000</v>
      </c>
      <c r="F452" s="45" t="s">
        <v>1068</v>
      </c>
      <c r="G452">
        <v>20.9860935524652</v>
      </c>
      <c r="H452" s="56">
        <v>58.0278128950695</v>
      </c>
      <c r="I452" s="14">
        <f>H452/G452</f>
        <v>2.76506024096386</v>
      </c>
      <c r="J452" s="4">
        <v>6.17</v>
      </c>
      <c r="K452" s="4">
        <v>1.27981384525887</v>
      </c>
      <c r="L452" s="4">
        <v>58.851</v>
      </c>
      <c r="M452" s="4">
        <v>58.824</v>
      </c>
      <c r="N452" s="4"/>
      <c r="O452" s="4"/>
      <c r="P452" s="4"/>
      <c r="Q452" s="4">
        <v>0.93</v>
      </c>
      <c r="R452" s="61">
        <f>B452</f>
        <v>0.81</v>
      </c>
      <c r="S452" s="18">
        <f>B452/Q452-1</f>
        <v>-0.129032258064516</v>
      </c>
      <c r="T452" s="14">
        <v>0.735537190082645</v>
      </c>
      <c r="U452" s="14">
        <v>13</v>
      </c>
      <c r="V452" s="14">
        <v>-0.671428571428571</v>
      </c>
      <c r="W452" s="31" t="s">
        <v>1068</v>
      </c>
      <c r="X452" s="4">
        <v>3.85</v>
      </c>
      <c r="Y452" s="4"/>
      <c r="Z452" s="4"/>
      <c r="AA452" s="4"/>
      <c r="AB452" s="4"/>
      <c r="AC452" s="4"/>
      <c r="AD452" s="4"/>
      <c r="AE452" s="4"/>
      <c r="AF452" s="4">
        <v>11.92</v>
      </c>
      <c r="AG452" s="4">
        <v>11.78</v>
      </c>
      <c r="AH452" s="4">
        <v>11.5</v>
      </c>
    </row>
    <row r="453" ht="15" hidden="1" spans="1:34">
      <c r="A453" s="38">
        <v>938</v>
      </c>
      <c r="B453" s="4">
        <v>0.64</v>
      </c>
      <c r="C453" s="4">
        <v>0.55</v>
      </c>
      <c r="D453" s="4">
        <v>2.13</v>
      </c>
      <c r="E453" s="13">
        <v>1334000000</v>
      </c>
      <c r="F453" s="50" t="s">
        <v>1069</v>
      </c>
      <c r="G453">
        <v>18.75203119922</v>
      </c>
      <c r="H453" s="56">
        <v>78.126113288208</v>
      </c>
      <c r="I453" s="14">
        <f>H453/G453</f>
        <v>4.16627470689456</v>
      </c>
      <c r="J453" s="4">
        <v>1.36</v>
      </c>
      <c r="K453" s="4">
        <v>5.41746335245379</v>
      </c>
      <c r="L453" s="4">
        <v>122.9936</v>
      </c>
      <c r="M453" s="4">
        <v>101.19</v>
      </c>
      <c r="N453" s="4"/>
      <c r="O453" s="4"/>
      <c r="P453" s="4"/>
      <c r="Q453" s="4">
        <v>0.74</v>
      </c>
      <c r="R453" s="61">
        <f>B453</f>
        <v>0.64</v>
      </c>
      <c r="S453" s="18">
        <f>B453/Q453-1</f>
        <v>-0.135135135135135</v>
      </c>
      <c r="T453" s="14">
        <v>0.414234663490173</v>
      </c>
      <c r="U453" s="14">
        <v>0.479439252336449</v>
      </c>
      <c r="V453" s="14">
        <v>0</v>
      </c>
      <c r="W453" s="31" t="s">
        <v>1069</v>
      </c>
      <c r="X453" s="4">
        <v>-3.03</v>
      </c>
      <c r="Y453" s="4"/>
      <c r="Z453" s="4"/>
      <c r="AA453" s="4"/>
      <c r="AB453" s="4"/>
      <c r="AC453" s="4"/>
      <c r="AD453" s="4"/>
      <c r="AE453" s="4"/>
      <c r="AF453" s="4">
        <v>1.57</v>
      </c>
      <c r="AG453" s="4">
        <v>1.3</v>
      </c>
      <c r="AH453" s="4">
        <v>1.07</v>
      </c>
    </row>
    <row r="454" ht="15" hidden="1" spans="1:34">
      <c r="A454" s="43">
        <v>1105</v>
      </c>
      <c r="B454" s="4">
        <v>0.98</v>
      </c>
      <c r="C454" s="4">
        <v>0.99</v>
      </c>
      <c r="D454" s="4">
        <v>1.55</v>
      </c>
      <c r="E454" s="13">
        <v>857000000</v>
      </c>
      <c r="F454" s="46" t="s">
        <v>250</v>
      </c>
      <c r="G454">
        <v>4.0859389986572</v>
      </c>
      <c r="H454" s="28">
        <v>48.9868891537545</v>
      </c>
      <c r="I454" s="17">
        <f>H454/G454</f>
        <v>11.98913864594</v>
      </c>
      <c r="J454" s="4">
        <v>0.49</v>
      </c>
      <c r="K454" s="4">
        <v>0.543175487465181</v>
      </c>
      <c r="L454" s="4">
        <v>8.6409</v>
      </c>
      <c r="M454" s="4">
        <v>8.37</v>
      </c>
      <c r="N454" s="4"/>
      <c r="O454" s="4"/>
      <c r="P454" s="4"/>
      <c r="Q454" s="4">
        <v>1.14</v>
      </c>
      <c r="R454" s="4">
        <f>B454</f>
        <v>0.98</v>
      </c>
      <c r="S454" s="18">
        <f>B454/Q454-1</f>
        <v>-0.140350877192982</v>
      </c>
      <c r="T454" s="16">
        <v>-0.452914798206278</v>
      </c>
      <c r="U454" s="14">
        <v>-0.565836298932384</v>
      </c>
      <c r="V454" s="16">
        <v>0</v>
      </c>
      <c r="W454" s="31" t="s">
        <v>250</v>
      </c>
      <c r="X454" s="4">
        <v>0</v>
      </c>
      <c r="Y454" s="4"/>
      <c r="Z454" s="4"/>
      <c r="AA454" s="4"/>
      <c r="AB454" s="4"/>
      <c r="AC454" s="4"/>
      <c r="AD454" s="4">
        <v>0.0765883376849435</v>
      </c>
      <c r="AE454" s="4">
        <v>0.11053089643168</v>
      </c>
      <c r="AF454" s="4">
        <v>0.218</v>
      </c>
      <c r="AG454" s="4">
        <v>0.206</v>
      </c>
      <c r="AH454" s="4">
        <v>1.75</v>
      </c>
    </row>
    <row r="455" ht="15" hidden="1" spans="1:34">
      <c r="A455" s="43">
        <v>982</v>
      </c>
      <c r="B455" s="4">
        <v>0.2</v>
      </c>
      <c r="C455" s="4">
        <v>0.18</v>
      </c>
      <c r="D455" s="4">
        <v>0.74</v>
      </c>
      <c r="E455" s="13">
        <v>1849200000</v>
      </c>
      <c r="F455" s="46" t="s">
        <v>1070</v>
      </c>
      <c r="G455">
        <v>27.4994562459218</v>
      </c>
      <c r="H455" s="56">
        <v>52.5087692542321</v>
      </c>
      <c r="I455" s="14">
        <f>H455/G455</f>
        <v>1.90944754633173</v>
      </c>
      <c r="J455" s="4">
        <v>23.54</v>
      </c>
      <c r="K455" s="4">
        <v>12.7683615819209</v>
      </c>
      <c r="L455" s="4">
        <v>117.7017</v>
      </c>
      <c r="M455" s="4">
        <v>118.947</v>
      </c>
      <c r="N455" s="4"/>
      <c r="O455" s="4"/>
      <c r="P455" s="4"/>
      <c r="Q455" s="4">
        <v>0.233</v>
      </c>
      <c r="R455" s="61">
        <f>B455</f>
        <v>0.2</v>
      </c>
      <c r="S455" s="18">
        <f>B455/Q455-1</f>
        <v>-0.141630901287554</v>
      </c>
      <c r="T455" s="14">
        <v>-0.794871794871795</v>
      </c>
      <c r="U455" s="14">
        <v>-0.843137254901961</v>
      </c>
      <c r="V455" s="14">
        <v>4.875</v>
      </c>
      <c r="W455" s="31" t="s">
        <v>1070</v>
      </c>
      <c r="X455" s="4">
        <v>1.52</v>
      </c>
      <c r="Y455" s="4"/>
      <c r="Z455" s="4"/>
      <c r="AA455" s="4"/>
      <c r="AB455" s="4"/>
      <c r="AC455" s="4"/>
      <c r="AD455" s="4"/>
      <c r="AE455" s="4"/>
      <c r="AF455" s="4">
        <v>0.56</v>
      </c>
      <c r="AG455" s="4">
        <v>0.51</v>
      </c>
      <c r="AH455" s="4">
        <v>0.425</v>
      </c>
    </row>
    <row r="456" ht="15" spans="1:34">
      <c r="A456" s="37">
        <v>2389</v>
      </c>
      <c r="B456" s="6">
        <v>0.42</v>
      </c>
      <c r="C456" s="6">
        <v>0.48</v>
      </c>
      <c r="D456" s="6">
        <v>1.43</v>
      </c>
      <c r="E456" s="15">
        <v>2805800000</v>
      </c>
      <c r="F456" s="47" t="s">
        <v>651</v>
      </c>
      <c r="G456">
        <v>3.56798457087753</v>
      </c>
      <c r="H456" s="27">
        <v>85.7010213556175</v>
      </c>
      <c r="I456" s="16">
        <f>H456/G456</f>
        <v>24.0194484177771</v>
      </c>
      <c r="J456" s="6">
        <v>1.14</v>
      </c>
      <c r="K456" s="6">
        <v>12.607944732297</v>
      </c>
      <c r="L456" s="6"/>
      <c r="M456" s="6"/>
      <c r="N456" s="6"/>
      <c r="O456" s="6"/>
      <c r="P456" s="6"/>
      <c r="Q456" s="6">
        <v>0.49</v>
      </c>
      <c r="R456" s="4">
        <f>B456</f>
        <v>0.42</v>
      </c>
      <c r="S456" s="19">
        <f>B456/Q456-1</f>
        <v>-0.142857142857143</v>
      </c>
      <c r="T456" s="14">
        <v>-0.473621103117506</v>
      </c>
      <c r="U456" s="14">
        <v>-0.458692971639951</v>
      </c>
      <c r="V456" s="14">
        <v>1.65755504935459</v>
      </c>
      <c r="W456" s="31" t="s">
        <v>651</v>
      </c>
      <c r="X456" s="4">
        <v>-1.18</v>
      </c>
      <c r="Y456" s="61" t="s">
        <v>1071</v>
      </c>
      <c r="AA456" s="6"/>
      <c r="AB456" s="6"/>
      <c r="AC456" s="6"/>
      <c r="AD456" s="6">
        <v>0.425925925925926</v>
      </c>
      <c r="AE456" s="4">
        <v>0.666666666666667</v>
      </c>
      <c r="AG456" s="4">
        <v>0.41</v>
      </c>
      <c r="AH456" s="4">
        <v>0.31</v>
      </c>
    </row>
    <row r="457" ht="15" spans="1:34">
      <c r="A457" s="75">
        <v>85</v>
      </c>
      <c r="B457" s="6">
        <v>1.83</v>
      </c>
      <c r="C457" s="6">
        <v>1.47</v>
      </c>
      <c r="D457" s="6">
        <v>4.83</v>
      </c>
      <c r="E457" s="15">
        <v>3796000000</v>
      </c>
      <c r="F457" s="52" t="s">
        <v>689</v>
      </c>
      <c r="G457">
        <v>6.01503759398496</v>
      </c>
      <c r="H457" s="27">
        <v>75.4078231889142</v>
      </c>
      <c r="I457" s="16">
        <f>H457/G457</f>
        <v>12.536550605157</v>
      </c>
      <c r="J457" s="6">
        <v>3.89</v>
      </c>
      <c r="K457" s="6">
        <v>2.94888597640891</v>
      </c>
      <c r="L457" s="6">
        <v>26.8489</v>
      </c>
      <c r="M457" s="6">
        <v>22.408</v>
      </c>
      <c r="N457" s="6"/>
      <c r="O457" s="6"/>
      <c r="P457" s="6"/>
      <c r="Q457" s="6">
        <v>2.14</v>
      </c>
      <c r="R457" s="4">
        <f>B457</f>
        <v>1.83</v>
      </c>
      <c r="S457" s="19">
        <f>B457/Q457-1</f>
        <v>-0.144859813084112</v>
      </c>
      <c r="T457" s="16">
        <v>0.340251786321878</v>
      </c>
      <c r="U457" s="14">
        <v>0.750666666666667</v>
      </c>
      <c r="V457" s="14">
        <v>-0.645849200304646</v>
      </c>
      <c r="W457" s="5" t="s">
        <v>689</v>
      </c>
      <c r="X457" s="6">
        <v>-0.54</v>
      </c>
      <c r="Y457" s="61" t="s">
        <v>1045</v>
      </c>
      <c r="Z457" s="4">
        <v>0</v>
      </c>
      <c r="AA457" s="4">
        <v>12000</v>
      </c>
      <c r="AB457" s="4">
        <v>3.5</v>
      </c>
      <c r="AC457" s="6"/>
      <c r="AD457" s="6">
        <v>0.439613526570048</v>
      </c>
      <c r="AE457" s="4">
        <v>0.545893719806763</v>
      </c>
      <c r="AH457" s="4">
        <v>0.22</v>
      </c>
    </row>
    <row r="458" ht="15" spans="1:34">
      <c r="A458" s="37">
        <v>337</v>
      </c>
      <c r="B458" s="6">
        <v>1.98</v>
      </c>
      <c r="C458" s="6">
        <v>2.22</v>
      </c>
      <c r="D458" s="6">
        <v>8.6</v>
      </c>
      <c r="E458" s="15">
        <v>5783000000</v>
      </c>
      <c r="F458" s="47" t="s">
        <v>86</v>
      </c>
      <c r="G458">
        <v>3.53077368319506</v>
      </c>
      <c r="H458" s="27">
        <v>77.7777777777778</v>
      </c>
      <c r="I458" s="16">
        <f>H458/G458</f>
        <v>22.0285367334548</v>
      </c>
      <c r="J458" s="6">
        <v>0.73</v>
      </c>
      <c r="K458" s="6">
        <v>2.06513753557844</v>
      </c>
      <c r="L458" s="6">
        <v>106.9099</v>
      </c>
      <c r="M458" s="6">
        <v>43.939</v>
      </c>
      <c r="N458" s="6"/>
      <c r="O458" s="6"/>
      <c r="P458" s="6"/>
      <c r="Q458" s="6">
        <v>2.32</v>
      </c>
      <c r="R458" s="6">
        <f>B458</f>
        <v>1.98</v>
      </c>
      <c r="S458" s="19">
        <f>B458/Q458-1</f>
        <v>-0.146551724137931</v>
      </c>
      <c r="T458" s="16">
        <v>-0.147744945567652</v>
      </c>
      <c r="U458" s="16">
        <v>-0.416400425985091</v>
      </c>
      <c r="V458" s="16">
        <v>0.218978102189781</v>
      </c>
      <c r="W458" s="31" t="s">
        <v>86</v>
      </c>
      <c r="X458" s="6">
        <v>0</v>
      </c>
      <c r="Y458" s="6" t="s">
        <v>1072</v>
      </c>
      <c r="Z458" s="6"/>
      <c r="AA458" s="6"/>
      <c r="AB458" s="6"/>
      <c r="AD458" s="4">
        <v>0.375</v>
      </c>
      <c r="AE458" s="4">
        <v>0.640243902439024</v>
      </c>
      <c r="AF458" s="4">
        <v>0.485</v>
      </c>
      <c r="AG458" s="4">
        <v>0.81</v>
      </c>
      <c r="AH458" s="4">
        <v>1.07</v>
      </c>
    </row>
    <row r="459" ht="15" hidden="1" spans="1:34">
      <c r="A459" s="43">
        <v>1448</v>
      </c>
      <c r="B459" s="4">
        <v>4.7</v>
      </c>
      <c r="C459" s="4">
        <v>2.95</v>
      </c>
      <c r="D459" s="4">
        <v>6.3</v>
      </c>
      <c r="E459" s="13">
        <v>9567000000</v>
      </c>
      <c r="F459" s="59" t="s">
        <v>1073</v>
      </c>
      <c r="G459">
        <v>7.23562152133581</v>
      </c>
      <c r="H459" s="49">
        <v>34.0482573726542</v>
      </c>
      <c r="I459" s="14">
        <f>H459/G459</f>
        <v>4.70564377534887</v>
      </c>
      <c r="J459" s="4">
        <v>4.34</v>
      </c>
      <c r="K459" s="4">
        <v>8.25027200115503</v>
      </c>
      <c r="L459" s="4">
        <v>33.9707</v>
      </c>
      <c r="M459" s="4">
        <v>33.803</v>
      </c>
      <c r="N459" s="4"/>
      <c r="O459" s="4"/>
      <c r="P459" s="4"/>
      <c r="Q459" s="4">
        <v>5.54</v>
      </c>
      <c r="R459" s="61">
        <f>B459</f>
        <v>4.7</v>
      </c>
      <c r="S459" s="18">
        <f>B459/Q459-1</f>
        <v>-0.151624548736462</v>
      </c>
      <c r="T459" s="14">
        <v>-0.116043497691047</v>
      </c>
      <c r="U459" s="14">
        <v>-0.294830659536542</v>
      </c>
      <c r="V459" s="14">
        <v>-0.353387259858443</v>
      </c>
      <c r="W459" s="31" t="s">
        <v>1073</v>
      </c>
      <c r="X459" s="4">
        <v>0.64</v>
      </c>
      <c r="Y459" s="4"/>
      <c r="Z459" s="4"/>
      <c r="AA459" s="4"/>
      <c r="AB459" s="4"/>
      <c r="AC459" s="4"/>
      <c r="AD459" s="4"/>
      <c r="AE459" s="4"/>
      <c r="AF459" s="4">
        <v>12.43956</v>
      </c>
      <c r="AG459" s="4">
        <v>14.1364</v>
      </c>
      <c r="AH459" s="4">
        <v>12.18</v>
      </c>
    </row>
    <row r="460" ht="15" spans="1:34">
      <c r="A460" s="38">
        <v>8279</v>
      </c>
      <c r="B460" s="4">
        <v>1.51</v>
      </c>
      <c r="C460" s="4">
        <v>0.54</v>
      </c>
      <c r="D460" s="4">
        <v>2.25</v>
      </c>
      <c r="E460" s="13">
        <v>16043000000</v>
      </c>
      <c r="F460" s="50" t="s">
        <v>1074</v>
      </c>
      <c r="G460">
        <v>9.27236436218472</v>
      </c>
      <c r="H460" s="49">
        <v>49.0090895544628</v>
      </c>
      <c r="I460" s="14">
        <f>H460/G460</f>
        <v>5.28550083238052</v>
      </c>
      <c r="J460" s="4">
        <v>7.78</v>
      </c>
      <c r="K460" s="4">
        <v>26.3868065967016</v>
      </c>
      <c r="Q460" s="4">
        <v>1.79</v>
      </c>
      <c r="R460" s="61">
        <f>B460</f>
        <v>1.51</v>
      </c>
      <c r="S460" s="18">
        <f>B460/Q460-1</f>
        <v>-0.156424581005587</v>
      </c>
      <c r="T460" s="14">
        <v>0.51841687129857</v>
      </c>
      <c r="U460" s="14">
        <v>1.20654911838791</v>
      </c>
      <c r="V460" s="14">
        <v>-0.525114155251142</v>
      </c>
      <c r="W460" s="31" t="s">
        <v>1074</v>
      </c>
      <c r="X460" s="4">
        <v>-3.21</v>
      </c>
      <c r="Y460" s="4" t="s">
        <v>1075</v>
      </c>
      <c r="AF460" s="4">
        <v>2.74</v>
      </c>
      <c r="AG460" s="4">
        <v>3.02</v>
      </c>
      <c r="AH460" s="4">
        <v>2.55</v>
      </c>
    </row>
    <row r="461" ht="14.25" hidden="1" spans="1:34">
      <c r="A461" s="38">
        <v>707</v>
      </c>
      <c r="B461" s="4">
        <v>0.21</v>
      </c>
      <c r="C461" s="4">
        <v>0.15</v>
      </c>
      <c r="D461" s="4">
        <v>0.74</v>
      </c>
      <c r="E461" s="13">
        <v>792400000</v>
      </c>
      <c r="F461" s="50" t="s">
        <v>1076</v>
      </c>
      <c r="G461">
        <v>23.8095238095238</v>
      </c>
      <c r="H461" s="56">
        <v>90.4761904761905</v>
      </c>
      <c r="I461" s="14">
        <f>H461/G461</f>
        <v>3.8</v>
      </c>
      <c r="J461" s="4">
        <v>1.23</v>
      </c>
      <c r="K461" s="4">
        <v>1.02650913548849</v>
      </c>
      <c r="L461" s="4">
        <v>19.999</v>
      </c>
      <c r="M461" s="4">
        <v>13.636</v>
      </c>
      <c r="N461" s="4"/>
      <c r="O461" s="4"/>
      <c r="P461" s="4"/>
      <c r="Q461" s="4">
        <v>0.25</v>
      </c>
      <c r="R461" s="61">
        <f>B461</f>
        <v>0.21</v>
      </c>
      <c r="S461" s="60">
        <f>B461/Q461-1</f>
        <v>-0.16</v>
      </c>
      <c r="T461" s="14">
        <v>-0.253759294960066</v>
      </c>
      <c r="U461" s="14">
        <v>-0.297776395583891</v>
      </c>
      <c r="V461" s="14">
        <v>0.135518157661647</v>
      </c>
      <c r="W461" s="31" t="s">
        <v>1076</v>
      </c>
      <c r="X461" s="4">
        <v>-1.41</v>
      </c>
      <c r="Y461" s="4"/>
      <c r="Z461" s="4"/>
      <c r="AA461" s="4"/>
      <c r="AB461" s="4"/>
      <c r="AC461" s="4"/>
      <c r="AD461" s="4"/>
      <c r="AE461" s="4"/>
      <c r="AF461" s="4">
        <v>0.35</v>
      </c>
      <c r="AG461" s="4">
        <v>0.285</v>
      </c>
      <c r="AH461" s="4">
        <v>0.36</v>
      </c>
    </row>
    <row r="462" hidden="1" spans="1:34">
      <c r="A462" s="38">
        <v>2380</v>
      </c>
      <c r="B462" s="4">
        <v>2.77</v>
      </c>
      <c r="C462" s="4">
        <v>3.1</v>
      </c>
      <c r="D462" s="4">
        <v>6.81</v>
      </c>
      <c r="E462" s="13">
        <v>22139000000</v>
      </c>
      <c r="F462" s="46" t="s">
        <v>432</v>
      </c>
      <c r="G462">
        <v>2.88433524327474</v>
      </c>
      <c r="H462" s="25">
        <v>67.8697330871244</v>
      </c>
      <c r="I462" s="17">
        <f>H462/G462</f>
        <v>23.530459313068</v>
      </c>
      <c r="J462" s="4">
        <v>0.74</v>
      </c>
      <c r="K462" s="4">
        <v>0.99317491371185</v>
      </c>
      <c r="L462" s="4">
        <v>7.2096</v>
      </c>
      <c r="M462" s="4">
        <v>6.327</v>
      </c>
      <c r="Q462" s="4">
        <v>3.3</v>
      </c>
      <c r="R462" s="4">
        <f>B462</f>
        <v>2.77</v>
      </c>
      <c r="S462" s="18">
        <f>B462/Q462-1</f>
        <v>-0.160606060606061</v>
      </c>
      <c r="T462" s="14">
        <v>0.00962906745090603</v>
      </c>
      <c r="U462" s="14">
        <v>0.0122699386503067</v>
      </c>
      <c r="V462" s="16">
        <v>-0.713747357293869</v>
      </c>
      <c r="W462" s="31" t="s">
        <v>432</v>
      </c>
      <c r="X462" s="4">
        <v>0.36</v>
      </c>
      <c r="AD462" s="6">
        <v>0.144420131291028</v>
      </c>
      <c r="AE462" s="4">
        <v>0.25164113785558</v>
      </c>
      <c r="AH462" s="4">
        <v>3.62</v>
      </c>
    </row>
    <row r="463" ht="14.25" hidden="1" spans="1:34">
      <c r="A463" s="65">
        <v>2006</v>
      </c>
      <c r="B463" s="4">
        <v>2.17</v>
      </c>
      <c r="C463" s="4">
        <v>2.02</v>
      </c>
      <c r="D463" s="4">
        <v>4.14</v>
      </c>
      <c r="E463" s="13">
        <v>12969000000</v>
      </c>
      <c r="F463" s="47" t="s">
        <v>130</v>
      </c>
      <c r="G463">
        <v>2.76157137300661</v>
      </c>
      <c r="H463" s="25">
        <v>58.5288522511097</v>
      </c>
      <c r="I463" s="17">
        <f>H463/G463</f>
        <v>21.1940393151554</v>
      </c>
      <c r="J463" s="4">
        <v>1.24</v>
      </c>
      <c r="K463" s="4">
        <v>0.892025647521417</v>
      </c>
      <c r="L463" s="4">
        <v>18.5586</v>
      </c>
      <c r="M463" s="4">
        <v>18.553</v>
      </c>
      <c r="N463" s="4"/>
      <c r="O463" s="4"/>
      <c r="P463" s="4"/>
      <c r="Q463" s="4">
        <v>2.59</v>
      </c>
      <c r="R463" s="4">
        <f>B463</f>
        <v>2.17</v>
      </c>
      <c r="S463" s="18">
        <f>B463/Q463-1</f>
        <v>-0.162162162162162</v>
      </c>
      <c r="T463" s="14">
        <v>-0.423580786026201</v>
      </c>
      <c r="U463" s="14">
        <v>0.355182625863771</v>
      </c>
      <c r="V463" s="14">
        <v>-0.470182595182595</v>
      </c>
      <c r="W463" s="31" t="s">
        <v>130</v>
      </c>
      <c r="X463" s="4">
        <v>1.88</v>
      </c>
      <c r="Y463" s="4"/>
      <c r="Z463" s="4"/>
      <c r="AA463" s="4"/>
      <c r="AB463" s="4"/>
      <c r="AC463" s="4"/>
      <c r="AD463" s="6">
        <v>0.300925925925926</v>
      </c>
      <c r="AE463" s="4">
        <v>0.37962962962963</v>
      </c>
      <c r="AF463" s="4">
        <v>2.768</v>
      </c>
      <c r="AG463" s="4">
        <v>2.654</v>
      </c>
      <c r="AH463" s="4">
        <v>2.697</v>
      </c>
    </row>
    <row r="464" ht="15" hidden="1" spans="1:34">
      <c r="A464" s="38">
        <v>2699</v>
      </c>
      <c r="B464" s="4">
        <v>1.18</v>
      </c>
      <c r="C464" s="4">
        <v>1.01</v>
      </c>
      <c r="D464" s="4">
        <v>1.75</v>
      </c>
      <c r="E464" s="13">
        <v>2085000000</v>
      </c>
      <c r="F464" s="46" t="s">
        <v>284</v>
      </c>
      <c r="G464">
        <v>38.9834645188846</v>
      </c>
      <c r="H464" s="28">
        <v>40.686550365785</v>
      </c>
      <c r="I464" s="17">
        <f>H464/G464</f>
        <v>1.04368739074167</v>
      </c>
      <c r="J464" s="4">
        <v>1.47</v>
      </c>
      <c r="K464" s="4">
        <v>1.1269064459095</v>
      </c>
      <c r="L464" s="4">
        <v>6.6483</v>
      </c>
      <c r="Q464" s="4">
        <v>1.41</v>
      </c>
      <c r="R464" s="4">
        <f>B464</f>
        <v>1.18</v>
      </c>
      <c r="S464" s="18">
        <f>B464/Q464-1</f>
        <v>-0.163120567375887</v>
      </c>
      <c r="T464" s="16">
        <v>-0.0293213040803773</v>
      </c>
      <c r="U464" s="14">
        <v>-0.0862767805442965</v>
      </c>
      <c r="V464" s="14">
        <v>-0.50063371356147</v>
      </c>
      <c r="W464" s="31" t="s">
        <v>284</v>
      </c>
      <c r="X464" s="4">
        <v>3.51</v>
      </c>
      <c r="Y464" s="6"/>
      <c r="Z464" s="6"/>
      <c r="AD464" s="4">
        <v>-0.0281690140845071</v>
      </c>
      <c r="AE464" s="4">
        <v>0.0211267605633803</v>
      </c>
      <c r="AF464" s="4">
        <v>2.33</v>
      </c>
      <c r="AG464" s="4">
        <v>1.99</v>
      </c>
      <c r="AH464" s="4">
        <v>1.5</v>
      </c>
    </row>
    <row r="465" ht="15" hidden="1" spans="1:34">
      <c r="A465" s="38">
        <v>1038</v>
      </c>
      <c r="B465" s="4">
        <v>64.1</v>
      </c>
      <c r="C465" s="4">
        <v>52.9</v>
      </c>
      <c r="D465" s="4">
        <v>81</v>
      </c>
      <c r="E465" s="13">
        <v>167258000000</v>
      </c>
      <c r="F465" s="45" t="s">
        <v>1077</v>
      </c>
      <c r="G465">
        <v>3.27884708385724</v>
      </c>
      <c r="H465" s="28">
        <v>26.5182186234818</v>
      </c>
      <c r="I465" s="14">
        <f>H465/G465</f>
        <v>8.08766555599346</v>
      </c>
      <c r="J465" s="4">
        <v>1.85</v>
      </c>
      <c r="K465" s="4">
        <v>30.7177852088031</v>
      </c>
      <c r="L465" s="4">
        <v>6.263</v>
      </c>
      <c r="M465" s="4">
        <v>5.454</v>
      </c>
      <c r="N465" s="4"/>
      <c r="O465" s="4"/>
      <c r="P465" s="4"/>
      <c r="Q465" s="33">
        <v>76.65</v>
      </c>
      <c r="R465" s="4">
        <f>B465</f>
        <v>64.1</v>
      </c>
      <c r="S465" s="18">
        <f>B465/Q465-1</f>
        <v>-0.163731245923027</v>
      </c>
      <c r="T465" s="14">
        <v>-0.378157335863721</v>
      </c>
      <c r="U465" s="14">
        <v>-0.3216011042098</v>
      </c>
      <c r="V465" s="14">
        <v>-0.618014096788257</v>
      </c>
      <c r="W465" s="34" t="s">
        <v>1077</v>
      </c>
      <c r="X465" s="4">
        <v>0.08</v>
      </c>
      <c r="Y465" s="4"/>
      <c r="Z465" s="4"/>
      <c r="AA465" s="4"/>
      <c r="AB465" s="4"/>
      <c r="AC465" s="4"/>
      <c r="AD465" s="6">
        <v>0.0260671798460462</v>
      </c>
      <c r="AE465" s="4">
        <v>0.0530090972708188</v>
      </c>
      <c r="AF465" s="4">
        <v>2</v>
      </c>
      <c r="AG465" s="4">
        <v>2.8</v>
      </c>
      <c r="AH465" s="4">
        <v>2.61</v>
      </c>
    </row>
    <row r="466" ht="15" hidden="1" spans="1:34">
      <c r="A466" s="58">
        <v>308</v>
      </c>
      <c r="B466" s="4">
        <v>2.23</v>
      </c>
      <c r="C466" s="4">
        <v>1.57</v>
      </c>
      <c r="D466" s="4">
        <v>4.09</v>
      </c>
      <c r="E466" s="13">
        <v>12585000000</v>
      </c>
      <c r="F466" s="46" t="s">
        <v>1078</v>
      </c>
      <c r="G466">
        <v>4.03991939353229</v>
      </c>
      <c r="H466" s="28">
        <v>56.9612305760477</v>
      </c>
      <c r="I466" s="14">
        <f>H466/G466</f>
        <v>14.0995958155105</v>
      </c>
      <c r="J466" s="4">
        <v>0.94</v>
      </c>
      <c r="K466" s="4">
        <v>3.48157560355781</v>
      </c>
      <c r="L466" s="4">
        <v>8.6803</v>
      </c>
      <c r="M466" s="4">
        <v>8.503</v>
      </c>
      <c r="Q466" s="33">
        <v>2.68</v>
      </c>
      <c r="R466" s="4">
        <f>B466</f>
        <v>2.23</v>
      </c>
      <c r="S466" s="18">
        <f>B466/Q466-1</f>
        <v>-0.167910447761194</v>
      </c>
      <c r="T466" s="14">
        <v>0.0295313503102932</v>
      </c>
      <c r="U466" s="14">
        <v>0.0393173471592137</v>
      </c>
      <c r="V466" s="14">
        <v>-0.306782373726876</v>
      </c>
      <c r="W466" s="34" t="s">
        <v>1078</v>
      </c>
      <c r="X466" s="4">
        <v>0.9</v>
      </c>
      <c r="AD466" s="4">
        <v>0.215996578272027</v>
      </c>
      <c r="AE466" s="4">
        <v>0.330196749358426</v>
      </c>
      <c r="AF466" s="4">
        <v>4.19</v>
      </c>
      <c r="AG466" s="4">
        <v>4.75</v>
      </c>
      <c r="AH466" s="4">
        <v>4.18</v>
      </c>
    </row>
    <row r="467" ht="15" spans="1:34">
      <c r="A467" s="37">
        <v>2369</v>
      </c>
      <c r="B467" s="6">
        <v>1.04</v>
      </c>
      <c r="C467" s="6">
        <v>1.08</v>
      </c>
      <c r="D467" s="6">
        <v>3.28</v>
      </c>
      <c r="E467" s="15">
        <v>7092000000</v>
      </c>
      <c r="F467" s="53" t="s">
        <v>677</v>
      </c>
      <c r="G467">
        <v>6.73381831747808</v>
      </c>
      <c r="H467" s="23">
        <v>65.371258475277</v>
      </c>
      <c r="I467" s="16">
        <f>H467/G467</f>
        <v>9.70790350930637</v>
      </c>
      <c r="J467" s="6">
        <v>0.7</v>
      </c>
      <c r="K467" s="6">
        <v>0.241035893794727</v>
      </c>
      <c r="L467" s="6">
        <v>10.6131</v>
      </c>
      <c r="M467" s="6">
        <v>10.469</v>
      </c>
      <c r="N467" s="6"/>
      <c r="O467" s="6"/>
      <c r="P467" s="6"/>
      <c r="Q467" s="6">
        <v>1.25</v>
      </c>
      <c r="R467" s="6">
        <f>B467</f>
        <v>1.04</v>
      </c>
      <c r="S467" s="19">
        <f>B467/Q467-1</f>
        <v>-0.168</v>
      </c>
      <c r="T467" s="16">
        <v>0.888160257518722</v>
      </c>
      <c r="U467" s="14">
        <v>2.44647582975211</v>
      </c>
      <c r="V467" s="14">
        <v>-0.866736526946108</v>
      </c>
      <c r="W467" s="5" t="s">
        <v>677</v>
      </c>
      <c r="X467" s="4">
        <v>0.97</v>
      </c>
      <c r="Y467" s="61" t="s">
        <v>922</v>
      </c>
      <c r="Z467" s="4"/>
      <c r="AA467" s="6"/>
      <c r="AB467" s="6"/>
      <c r="AC467" s="4"/>
      <c r="AD467" s="4">
        <v>0.333333333333333</v>
      </c>
      <c r="AE467" s="6">
        <v>0.594202898550725</v>
      </c>
      <c r="AH467" s="4">
        <v>2.45</v>
      </c>
    </row>
    <row r="468" ht="15" hidden="1" spans="1:34">
      <c r="A468" s="38">
        <v>3816</v>
      </c>
      <c r="B468" s="4">
        <v>0.94</v>
      </c>
      <c r="C468" s="4">
        <v>0.72</v>
      </c>
      <c r="D468" s="4">
        <v>2.56</v>
      </c>
      <c r="E468" s="13">
        <v>576000000</v>
      </c>
      <c r="F468" s="45" t="s">
        <v>1079</v>
      </c>
      <c r="G468">
        <v>13.8302455838001</v>
      </c>
      <c r="H468" s="28">
        <v>64.8804616652927</v>
      </c>
      <c r="I468" s="14">
        <f>H468/G468</f>
        <v>4.69120098209172</v>
      </c>
      <c r="J468" s="4">
        <v>1.32</v>
      </c>
      <c r="K468" s="4">
        <v>0.744547670817684</v>
      </c>
      <c r="L468" s="4">
        <v>21.5423</v>
      </c>
      <c r="M468" s="4">
        <v>23.619</v>
      </c>
      <c r="Q468" s="4">
        <v>1.13</v>
      </c>
      <c r="R468" s="4">
        <f>B468</f>
        <v>0.94</v>
      </c>
      <c r="S468" s="18">
        <f>B468/Q468-1</f>
        <v>-0.168141592920354</v>
      </c>
      <c r="T468" s="14">
        <v>0.781132075471698</v>
      </c>
      <c r="U468" s="14">
        <v>3.10434782608696</v>
      </c>
      <c r="V468" s="14">
        <v>-0.944915254237288</v>
      </c>
      <c r="W468" s="31" t="s">
        <v>1079</v>
      </c>
      <c r="X468" s="4">
        <v>1.08</v>
      </c>
      <c r="AF468" s="4">
        <v>0.405</v>
      </c>
      <c r="AG468" s="4">
        <v>0.315</v>
      </c>
      <c r="AH468" s="4">
        <v>0.36</v>
      </c>
    </row>
    <row r="469" ht="15" hidden="1" spans="1:31">
      <c r="A469" s="41">
        <v>376</v>
      </c>
      <c r="B469" s="6">
        <v>5.89</v>
      </c>
      <c r="C469" s="6">
        <v>2.4</v>
      </c>
      <c r="D469" s="6">
        <v>25</v>
      </c>
      <c r="E469" s="15">
        <v>14300000000</v>
      </c>
      <c r="F469" s="53" t="s">
        <v>211</v>
      </c>
      <c r="G469">
        <v>23.5999694399878</v>
      </c>
      <c r="H469" s="27">
        <v>126.808800181447</v>
      </c>
      <c r="I469" s="16">
        <f>H469/G469</f>
        <v>5.37326120289725</v>
      </c>
      <c r="J469" s="6">
        <v>3.6</v>
      </c>
      <c r="K469" s="6">
        <v>13.5864507723804</v>
      </c>
      <c r="L469" s="6">
        <v>23.081</v>
      </c>
      <c r="M469" s="6">
        <v>4.1</v>
      </c>
      <c r="N469" s="6"/>
      <c r="O469" s="6"/>
      <c r="Q469" s="6">
        <v>7.1</v>
      </c>
      <c r="R469" s="4">
        <f>B469</f>
        <v>5.89</v>
      </c>
      <c r="S469" s="18">
        <f>B469/Q469-1</f>
        <v>-0.170422535211268</v>
      </c>
      <c r="T469" s="16">
        <v>0.1913499344692</v>
      </c>
      <c r="U469" s="14">
        <v>0.346666666666667</v>
      </c>
      <c r="V469" s="14">
        <v>-0.442244224422442</v>
      </c>
      <c r="W469" s="72" t="s">
        <v>211</v>
      </c>
      <c r="X469" s="4">
        <v>-0.67</v>
      </c>
      <c r="AA469" s="6"/>
      <c r="AB469" s="6"/>
      <c r="AC469" s="6"/>
      <c r="AD469" s="4">
        <v>0.230687830687831</v>
      </c>
      <c r="AE469" s="6">
        <v>0.706878306878307</v>
      </c>
    </row>
    <row r="470" ht="14.25" hidden="1" spans="1:34">
      <c r="A470" s="38">
        <v>1588</v>
      </c>
      <c r="B470" s="4">
        <v>10.18</v>
      </c>
      <c r="C470" s="4">
        <v>10.98</v>
      </c>
      <c r="D470" s="4">
        <v>46.45</v>
      </c>
      <c r="E470" s="13">
        <v>2498000000</v>
      </c>
      <c r="F470" s="50" t="s">
        <v>1080</v>
      </c>
      <c r="G470">
        <v>21.4145383104126</v>
      </c>
      <c r="H470" s="56">
        <v>117.580504786771</v>
      </c>
      <c r="I470" s="14">
        <f>H470/G470</f>
        <v>5.49068595747399</v>
      </c>
      <c r="J470" s="4">
        <v>2.29</v>
      </c>
      <c r="K470" s="4">
        <v>4.89685872831106</v>
      </c>
      <c r="L470" s="4"/>
      <c r="M470" s="4"/>
      <c r="N470" s="4"/>
      <c r="O470" s="4"/>
      <c r="P470" s="4"/>
      <c r="Q470" s="4">
        <v>12.28</v>
      </c>
      <c r="R470" s="61">
        <f>B470</f>
        <v>10.18</v>
      </c>
      <c r="S470" s="18">
        <f>B470/Q470-1</f>
        <v>-0.171009771986971</v>
      </c>
      <c r="T470" s="14">
        <v>0.203358208955224</v>
      </c>
      <c r="U470" s="14">
        <v>0.194444444444444</v>
      </c>
      <c r="V470" s="14">
        <v>-0.27906976744186</v>
      </c>
      <c r="W470" s="31" t="s">
        <v>1080</v>
      </c>
      <c r="X470" s="4">
        <v>-2.12</v>
      </c>
      <c r="Y470" s="4"/>
      <c r="Z470" s="4"/>
      <c r="AA470" s="4"/>
      <c r="AB470" s="4"/>
      <c r="AC470" s="4"/>
      <c r="AD470" s="4"/>
      <c r="AE470" s="4"/>
      <c r="AG470" s="4">
        <v>4.44</v>
      </c>
      <c r="AH470" s="4">
        <v>0.24</v>
      </c>
    </row>
    <row r="471" hidden="1" spans="1:34">
      <c r="A471" s="38">
        <v>3377</v>
      </c>
      <c r="B471" s="4">
        <v>3.24</v>
      </c>
      <c r="C471" s="4">
        <v>3.36</v>
      </c>
      <c r="D471" s="4">
        <v>6.76</v>
      </c>
      <c r="E471" s="13">
        <v>25322000000</v>
      </c>
      <c r="F471" s="46" t="s">
        <v>1081</v>
      </c>
      <c r="G471">
        <v>8.0206033848418</v>
      </c>
      <c r="H471" s="25">
        <v>67.897918065816</v>
      </c>
      <c r="I471" s="14">
        <f>H471/G471</f>
        <v>8.4654376744444</v>
      </c>
      <c r="J471" s="4">
        <v>0.56</v>
      </c>
      <c r="K471" s="4">
        <v>0.756092157447052</v>
      </c>
      <c r="L471" s="4">
        <v>5.4073</v>
      </c>
      <c r="M471" s="4">
        <v>5.027</v>
      </c>
      <c r="N471" s="4"/>
      <c r="O471" s="4"/>
      <c r="P471" s="4"/>
      <c r="Q471" s="4">
        <v>3.91</v>
      </c>
      <c r="R471" s="38">
        <f>B471</f>
        <v>3.24</v>
      </c>
      <c r="S471" s="18">
        <f>B471/Q471-1</f>
        <v>-0.171355498721228</v>
      </c>
      <c r="T471" s="14">
        <v>-0.240439682246444</v>
      </c>
      <c r="U471" s="14">
        <v>0.118166983954311</v>
      </c>
      <c r="V471" s="14">
        <v>-0.13401434999392</v>
      </c>
      <c r="W471" s="31" t="s">
        <v>1081</v>
      </c>
      <c r="X471" s="4">
        <v>-0.31</v>
      </c>
      <c r="Y471" s="4"/>
      <c r="Z471" s="4"/>
      <c r="AA471" s="4"/>
      <c r="AB471" s="4"/>
      <c r="AC471" s="4"/>
      <c r="AD471" s="4"/>
      <c r="AE471" s="4"/>
      <c r="AF471" s="4">
        <v>3.51</v>
      </c>
      <c r="AG471" s="4">
        <v>3.58</v>
      </c>
      <c r="AH471" s="4">
        <v>4.84</v>
      </c>
    </row>
    <row r="472" ht="15" spans="1:34">
      <c r="A472" s="38">
        <v>1076</v>
      </c>
      <c r="B472" s="4">
        <v>0.119</v>
      </c>
      <c r="C472" s="4">
        <v>0.074</v>
      </c>
      <c r="D472" s="4">
        <v>0.65</v>
      </c>
      <c r="E472" s="13">
        <v>19689600000</v>
      </c>
      <c r="F472" s="46" t="s">
        <v>1082</v>
      </c>
      <c r="G472">
        <v>0.839886164189316</v>
      </c>
      <c r="H472" s="25">
        <v>126.891137632164</v>
      </c>
      <c r="I472" s="14">
        <f>H472/G472</f>
        <v>151.081352500482</v>
      </c>
      <c r="J472" s="4">
        <v>14.86</v>
      </c>
      <c r="K472" s="4">
        <v>74.2857142857142</v>
      </c>
      <c r="L472" s="4"/>
      <c r="M472" s="4"/>
      <c r="N472" s="4"/>
      <c r="O472" s="4"/>
      <c r="P472" s="4"/>
      <c r="Q472" s="4">
        <v>0.144</v>
      </c>
      <c r="R472" s="4">
        <f>B472</f>
        <v>0.119</v>
      </c>
      <c r="S472" s="18">
        <f>B472/Q472-1</f>
        <v>-0.173611111111111</v>
      </c>
      <c r="T472" s="14">
        <v>1.78077846619038</v>
      </c>
      <c r="U472" s="14">
        <v>0</v>
      </c>
      <c r="V472" s="14">
        <v>-0.7326979659716</v>
      </c>
      <c r="W472" s="31" t="s">
        <v>1082</v>
      </c>
      <c r="X472" s="4">
        <v>0</v>
      </c>
      <c r="Y472" s="4" t="s">
        <v>1083</v>
      </c>
      <c r="Z472" s="4"/>
      <c r="AA472" s="4"/>
      <c r="AB472" s="4"/>
      <c r="AC472" s="4"/>
      <c r="AD472" s="4"/>
      <c r="AE472" s="4"/>
      <c r="AG472" s="4">
        <v>0.375</v>
      </c>
      <c r="AH472" s="4">
        <v>0.214</v>
      </c>
    </row>
    <row r="473" ht="15" spans="1:34">
      <c r="A473" s="22">
        <v>574</v>
      </c>
      <c r="B473" s="6">
        <v>0.56</v>
      </c>
      <c r="C473" s="6">
        <v>0.6</v>
      </c>
      <c r="D473" s="6">
        <v>2.48</v>
      </c>
      <c r="E473" s="15">
        <v>550000000</v>
      </c>
      <c r="F473" s="53" t="s">
        <v>93</v>
      </c>
      <c r="G473">
        <v>12.5032811269577</v>
      </c>
      <c r="H473" s="23">
        <v>82.1493624772313</v>
      </c>
      <c r="I473" s="16">
        <f>H473/G473</f>
        <v>6.57022437895225</v>
      </c>
      <c r="J473" s="6">
        <v>0.75</v>
      </c>
      <c r="K473" s="6">
        <v>0.587379021516384</v>
      </c>
      <c r="L473" s="6">
        <v>11.8367</v>
      </c>
      <c r="M473" s="6"/>
      <c r="N473" s="6"/>
      <c r="O473" s="6"/>
      <c r="Q473" s="6">
        <v>0.68</v>
      </c>
      <c r="R473" s="4">
        <f>B473</f>
        <v>0.56</v>
      </c>
      <c r="S473" s="18">
        <f>B473/Q473-1</f>
        <v>-0.176470588235294</v>
      </c>
      <c r="T473" s="14">
        <v>1.4952485380117</v>
      </c>
      <c r="U473" s="14">
        <v>11.3677536231884</v>
      </c>
      <c r="V473" s="14">
        <v>-0.917826278013769</v>
      </c>
      <c r="W473" s="31" t="s">
        <v>93</v>
      </c>
      <c r="X473" s="4">
        <v>-1.75</v>
      </c>
      <c r="Y473" s="61" t="s">
        <v>879</v>
      </c>
      <c r="AC473" s="6"/>
      <c r="AD473" s="4">
        <v>0.506172839506173</v>
      </c>
      <c r="AE473" s="6">
        <v>0.530864197530864</v>
      </c>
      <c r="AF473" s="4">
        <v>0.235</v>
      </c>
      <c r="AG473" s="4">
        <v>0.184</v>
      </c>
      <c r="AH473" s="4">
        <v>0.218</v>
      </c>
    </row>
    <row r="474" ht="15" hidden="1" spans="1:34">
      <c r="A474" s="38">
        <v>810</v>
      </c>
      <c r="B474" s="4">
        <v>0.42</v>
      </c>
      <c r="C474" s="4">
        <v>0.3</v>
      </c>
      <c r="D474" s="4">
        <v>1.78</v>
      </c>
      <c r="E474" s="13">
        <v>197900000</v>
      </c>
      <c r="F474" s="50" t="s">
        <v>1084</v>
      </c>
      <c r="G474">
        <v>28.5714285714286</v>
      </c>
      <c r="H474" s="56">
        <v>61.9170984455959</v>
      </c>
      <c r="I474" s="14">
        <f>H474/G474</f>
        <v>2.16709844559585</v>
      </c>
      <c r="J474" s="4">
        <v>0.72</v>
      </c>
      <c r="K474" s="4">
        <v>1.8720217835262</v>
      </c>
      <c r="L474" s="4"/>
      <c r="M474" s="4"/>
      <c r="N474" s="4"/>
      <c r="O474" s="4"/>
      <c r="P474" s="4"/>
      <c r="Q474" s="4">
        <v>0.51</v>
      </c>
      <c r="R474" s="61">
        <f>B474</f>
        <v>0.42</v>
      </c>
      <c r="S474" s="18">
        <f>B474/Q474-1</f>
        <v>-0.176470588235294</v>
      </c>
      <c r="T474" s="14">
        <v>-0.214841628959276</v>
      </c>
      <c r="U474" s="14">
        <v>-0.643578999260537</v>
      </c>
      <c r="V474" s="14">
        <v>-0.962770862148456</v>
      </c>
      <c r="W474" s="31" t="s">
        <v>1084</v>
      </c>
      <c r="X474" s="4">
        <v>-3.45</v>
      </c>
      <c r="Y474" s="4"/>
      <c r="Z474" s="4"/>
      <c r="AA474" s="4"/>
      <c r="AB474" s="4"/>
      <c r="AC474" s="4"/>
      <c r="AD474" s="4"/>
      <c r="AE474" s="4"/>
      <c r="AF474" s="4">
        <v>7.957</v>
      </c>
      <c r="AG474" s="4">
        <v>7.728</v>
      </c>
      <c r="AH474" s="4">
        <v>8.71</v>
      </c>
    </row>
    <row r="475" ht="15" spans="1:34">
      <c r="A475" s="38">
        <v>1360</v>
      </c>
      <c r="B475" s="4">
        <v>0.79</v>
      </c>
      <c r="C475" s="4">
        <v>0.8</v>
      </c>
      <c r="D475" s="4">
        <v>1.42</v>
      </c>
      <c r="E475" s="13">
        <v>912000000</v>
      </c>
      <c r="F475" s="45" t="s">
        <v>1085</v>
      </c>
      <c r="G475">
        <v>27.8499278499279</v>
      </c>
      <c r="H475" s="28">
        <v>51.9064256418047</v>
      </c>
      <c r="I475" s="14">
        <f>H475/G475</f>
        <v>1.86379030931454</v>
      </c>
      <c r="J475" s="4">
        <v>7.45</v>
      </c>
      <c r="K475" s="4">
        <v>1.2387814435596</v>
      </c>
      <c r="L475" s="4">
        <v>25.0877</v>
      </c>
      <c r="M475" s="4">
        <v>23.472</v>
      </c>
      <c r="N475" s="6"/>
      <c r="Q475" s="4">
        <v>0.96</v>
      </c>
      <c r="R475" s="4">
        <f>B475</f>
        <v>0.79</v>
      </c>
      <c r="S475" s="18">
        <f>B475/Q475-1</f>
        <v>-0.177083333333333</v>
      </c>
      <c r="T475" s="14">
        <v>0.827435387673956</v>
      </c>
      <c r="U475" s="16">
        <v>0.971685971685972</v>
      </c>
      <c r="V475" s="14">
        <v>-0.907310704960836</v>
      </c>
      <c r="W475" s="31" t="s">
        <v>1085</v>
      </c>
      <c r="X475" s="4">
        <v>0</v>
      </c>
      <c r="Y475" s="4" t="s">
        <v>1086</v>
      </c>
      <c r="AD475" s="4">
        <v>0.440972222222222</v>
      </c>
      <c r="AE475" s="4">
        <v>0.576388888888889</v>
      </c>
      <c r="AF475" s="4">
        <v>6.4</v>
      </c>
      <c r="AG475" s="4">
        <v>5.89</v>
      </c>
      <c r="AH475" s="4">
        <v>5.11</v>
      </c>
    </row>
    <row r="476" ht="15" hidden="1" spans="1:34">
      <c r="A476" s="41">
        <v>299</v>
      </c>
      <c r="B476" s="6">
        <v>0.102</v>
      </c>
      <c r="C476" s="6">
        <v>0.11</v>
      </c>
      <c r="D476" s="6">
        <v>0.45</v>
      </c>
      <c r="E476" s="15">
        <v>1597800000</v>
      </c>
      <c r="F476" s="52" t="s">
        <v>367</v>
      </c>
      <c r="G476">
        <v>42.1567436560409</v>
      </c>
      <c r="H476" s="27">
        <v>154.900461369835</v>
      </c>
      <c r="I476" s="16">
        <f>H476/G476</f>
        <v>3.67439341695071</v>
      </c>
      <c r="J476" s="6">
        <v>2.91</v>
      </c>
      <c r="K476" s="6">
        <v>0.296090677770067</v>
      </c>
      <c r="L476" s="6"/>
      <c r="M476" s="6"/>
      <c r="N476" s="6"/>
      <c r="O476" s="6"/>
      <c r="P476" s="6"/>
      <c r="Q476" s="6">
        <v>0.124</v>
      </c>
      <c r="R476" s="4">
        <f>B476</f>
        <v>0.102</v>
      </c>
      <c r="S476" s="19">
        <f>B476/Q476-1</f>
        <v>-0.17741935483871</v>
      </c>
      <c r="T476" s="16">
        <v>-0.22188407801909</v>
      </c>
      <c r="U476" s="14">
        <v>-0.23406862745098</v>
      </c>
      <c r="V476" s="16">
        <v>-0.694933333333333</v>
      </c>
      <c r="W476" s="31" t="s">
        <v>367</v>
      </c>
      <c r="X476" s="6">
        <v>0.99</v>
      </c>
      <c r="AA476" s="6"/>
      <c r="AB476" s="6"/>
      <c r="AD476" s="4">
        <v>0.432926829268293</v>
      </c>
      <c r="AE476" s="6">
        <v>0.536585365853658</v>
      </c>
      <c r="AF476" s="4">
        <v>0.335</v>
      </c>
      <c r="AG476" s="4">
        <v>0.19</v>
      </c>
      <c r="AH476" s="4">
        <v>0.109</v>
      </c>
    </row>
    <row r="477" ht="15" hidden="1" spans="1:34">
      <c r="A477" s="37">
        <v>8158</v>
      </c>
      <c r="B477" s="6">
        <v>0.275</v>
      </c>
      <c r="C477" s="6">
        <v>0.22</v>
      </c>
      <c r="D477" s="6">
        <v>1</v>
      </c>
      <c r="E477" s="15">
        <v>4836100000</v>
      </c>
      <c r="F477" s="47" t="s">
        <v>50</v>
      </c>
      <c r="G477">
        <v>16.3634842972442</v>
      </c>
      <c r="H477" s="27">
        <v>85.4530618300508</v>
      </c>
      <c r="I477" s="16">
        <f>H477/G477</f>
        <v>5.22218008571941</v>
      </c>
      <c r="J477" s="6">
        <v>2.89</v>
      </c>
      <c r="K477" s="16">
        <v>46.1538461538461</v>
      </c>
      <c r="L477" s="6"/>
      <c r="M477" s="6"/>
      <c r="N477" s="6"/>
      <c r="O477" s="6"/>
      <c r="P477" s="6"/>
      <c r="Q477" s="6">
        <v>0.335</v>
      </c>
      <c r="R477" s="6">
        <f>B477</f>
        <v>0.275</v>
      </c>
      <c r="S477" s="63">
        <f>B477/Q477-1</f>
        <v>-0.17910447761194</v>
      </c>
      <c r="T477" s="14">
        <v>-0.413366168861978</v>
      </c>
      <c r="U477" s="14">
        <v>0.224013576580399</v>
      </c>
      <c r="V477" s="16">
        <v>-0.545927209705373</v>
      </c>
      <c r="W477" s="31" t="s">
        <v>50</v>
      </c>
      <c r="X477" s="4">
        <v>-3.509</v>
      </c>
      <c r="Y477" s="6"/>
      <c r="Z477" s="6"/>
      <c r="AA477" s="6"/>
      <c r="AB477" s="6"/>
      <c r="AC477" s="4"/>
      <c r="AD477" s="6">
        <v>0.426229508196721</v>
      </c>
      <c r="AE477" s="4">
        <v>0.836065573770492</v>
      </c>
      <c r="AF477" s="4">
        <v>5.36</v>
      </c>
      <c r="AG477" s="4">
        <v>3.4</v>
      </c>
      <c r="AH477" s="4">
        <v>2.96</v>
      </c>
    </row>
    <row r="478" ht="15" hidden="1" spans="1:34">
      <c r="A478" s="43">
        <v>904</v>
      </c>
      <c r="B478" s="4">
        <v>0.233</v>
      </c>
      <c r="C478" s="4">
        <v>0.103</v>
      </c>
      <c r="D478" s="4">
        <v>0.545</v>
      </c>
      <c r="E478" s="13">
        <v>1735600000</v>
      </c>
      <c r="F478" s="45" t="s">
        <v>1087</v>
      </c>
      <c r="G478">
        <v>45.9228535428643</v>
      </c>
      <c r="H478" s="28">
        <v>166.091908145073</v>
      </c>
      <c r="I478" s="14">
        <f>H478/G478</f>
        <v>3.61675931113565</v>
      </c>
      <c r="J478" s="38">
        <v>0.06</v>
      </c>
      <c r="K478" s="4">
        <v>0.691576066212131</v>
      </c>
      <c r="Q478" s="33">
        <v>0.285</v>
      </c>
      <c r="R478" s="4">
        <f>B478</f>
        <v>0.233</v>
      </c>
      <c r="S478" s="18">
        <f>B478/Q478-1</f>
        <v>-0.182456140350877</v>
      </c>
      <c r="T478" s="14">
        <v>-0.770696507196005</v>
      </c>
      <c r="U478" s="14">
        <v>-0.551467838916679</v>
      </c>
      <c r="V478" s="14">
        <v>-0.368135272448715</v>
      </c>
      <c r="W478" s="34" t="s">
        <v>1087</v>
      </c>
      <c r="X478" s="4">
        <v>-2.51</v>
      </c>
      <c r="AD478" s="4">
        <v>0.253086419753086</v>
      </c>
      <c r="AE478" s="4">
        <v>0.364197530864197</v>
      </c>
      <c r="AF478" s="4">
        <v>0.09438</v>
      </c>
      <c r="AG478" s="4">
        <v>0.146</v>
      </c>
      <c r="AH478" s="4">
        <v>0.165</v>
      </c>
    </row>
    <row r="479" ht="15" spans="1:34">
      <c r="A479" s="75">
        <v>1530</v>
      </c>
      <c r="B479" s="4">
        <v>7.84</v>
      </c>
      <c r="C479" s="4">
        <v>6.9</v>
      </c>
      <c r="D479" s="4">
        <v>11.48</v>
      </c>
      <c r="E479" s="13">
        <v>20436000000</v>
      </c>
      <c r="F479" s="45" t="s">
        <v>390</v>
      </c>
      <c r="G479">
        <v>11.6061168567135</v>
      </c>
      <c r="H479" s="27">
        <v>46.4343242055938</v>
      </c>
      <c r="I479" s="17">
        <f>H479/G479</f>
        <v>4.00084927446978</v>
      </c>
      <c r="J479" s="4">
        <v>3.67</v>
      </c>
      <c r="K479" s="4">
        <v>11.5891923112023</v>
      </c>
      <c r="L479" s="4">
        <v>66.0588</v>
      </c>
      <c r="M479" s="4"/>
      <c r="N479" s="4"/>
      <c r="O479" s="4"/>
      <c r="P479" s="4"/>
      <c r="Q479" s="4">
        <v>9.61</v>
      </c>
      <c r="R479" s="4">
        <f>B479</f>
        <v>7.84</v>
      </c>
      <c r="S479" s="18">
        <f>B479/Q479-1</f>
        <v>-0.184183142559833</v>
      </c>
      <c r="T479" s="14">
        <v>-0.630387182910547</v>
      </c>
      <c r="U479" s="14">
        <v>-0.563811684628474</v>
      </c>
      <c r="V479" s="16">
        <v>-0.332032943216298</v>
      </c>
      <c r="W479" s="31" t="s">
        <v>390</v>
      </c>
      <c r="X479" s="4">
        <v>0.77</v>
      </c>
      <c r="Y479" s="4">
        <v>12</v>
      </c>
      <c r="Z479" s="4"/>
      <c r="AA479" s="4"/>
      <c r="AB479" s="4"/>
      <c r="AC479" s="4"/>
      <c r="AD479" s="4">
        <v>0.0933333333333333</v>
      </c>
      <c r="AE479" s="4">
        <v>0.115151515151515</v>
      </c>
      <c r="AF479" s="4">
        <v>0.90863</v>
      </c>
      <c r="AG479" s="4">
        <v>0.79911</v>
      </c>
      <c r="AH479" s="4">
        <v>0.84</v>
      </c>
    </row>
    <row r="480" ht="15" hidden="1" spans="1:34">
      <c r="A480" s="38">
        <v>1137</v>
      </c>
      <c r="B480" s="4">
        <v>1.23</v>
      </c>
      <c r="C480" s="4">
        <v>1.14</v>
      </c>
      <c r="D480" s="4">
        <v>5</v>
      </c>
      <c r="E480" s="13">
        <v>1141000000</v>
      </c>
      <c r="F480" s="46" t="s">
        <v>1088</v>
      </c>
      <c r="G480">
        <v>7.31300398554083</v>
      </c>
      <c r="H480" s="26">
        <v>86.9857890800299</v>
      </c>
      <c r="I480" s="14">
        <f>H480/G480</f>
        <v>11.8946727298408</v>
      </c>
      <c r="J480" s="4">
        <v>0.42</v>
      </c>
      <c r="K480" s="4">
        <v>5.05464480874316</v>
      </c>
      <c r="Q480" s="89">
        <v>1.51</v>
      </c>
      <c r="R480" s="37">
        <f>B480</f>
        <v>1.23</v>
      </c>
      <c r="S480" s="19">
        <f>B480/Q480-1</f>
        <v>-0.185430463576159</v>
      </c>
      <c r="T480" s="14">
        <v>-0.643905552010211</v>
      </c>
      <c r="U480" s="14">
        <v>-0.600429645542428</v>
      </c>
      <c r="V480" s="14">
        <v>-0.475806451612903</v>
      </c>
      <c r="W480" s="31" t="s">
        <v>1088</v>
      </c>
      <c r="X480" s="6">
        <v>-0.81</v>
      </c>
      <c r="AD480" s="4">
        <v>0.130177514792899</v>
      </c>
      <c r="AE480" s="4">
        <v>0.272189349112426</v>
      </c>
      <c r="AF480" s="4">
        <v>37.35</v>
      </c>
      <c r="AG480" s="4">
        <v>30.4</v>
      </c>
      <c r="AH480" s="4">
        <v>38.5</v>
      </c>
    </row>
    <row r="481" ht="15" hidden="1" spans="1:34">
      <c r="A481" s="38">
        <v>8265</v>
      </c>
      <c r="B481" s="4">
        <v>3.2</v>
      </c>
      <c r="C481" s="4">
        <v>0.5</v>
      </c>
      <c r="D481" s="4">
        <v>4.5</v>
      </c>
      <c r="E481" s="13">
        <v>4892000000</v>
      </c>
      <c r="F481" s="46" t="s">
        <v>143</v>
      </c>
      <c r="G481">
        <v>82.8125537107696</v>
      </c>
      <c r="H481" s="25">
        <v>23.1223836493475</v>
      </c>
      <c r="I481" s="17">
        <f>H481/G481</f>
        <v>0.27921350825751</v>
      </c>
      <c r="J481" s="4">
        <v>8.44</v>
      </c>
      <c r="K481" s="14">
        <v>5.2096052096052</v>
      </c>
      <c r="L481" s="4">
        <v>173.2208</v>
      </c>
      <c r="M481" s="4">
        <v>99.746</v>
      </c>
      <c r="N481" s="4"/>
      <c r="O481" s="4"/>
      <c r="P481" s="6"/>
      <c r="Q481" s="4">
        <v>3.93</v>
      </c>
      <c r="R481" s="4">
        <f>B481</f>
        <v>3.2</v>
      </c>
      <c r="S481" s="18">
        <f>B481/Q481-1</f>
        <v>-0.185750636132315</v>
      </c>
      <c r="T481" s="16">
        <v>-0.493403693931398</v>
      </c>
      <c r="U481" s="14">
        <v>-0.5</v>
      </c>
      <c r="V481" s="16">
        <v>0.6328125</v>
      </c>
      <c r="W481" s="31" t="s">
        <v>143</v>
      </c>
      <c r="X481" s="4">
        <v>0.63</v>
      </c>
      <c r="Y481" s="4"/>
      <c r="Z481" s="4"/>
      <c r="AA481" s="4"/>
      <c r="AB481" s="4"/>
      <c r="AC481" s="4"/>
      <c r="AD481" s="4">
        <v>0.2</v>
      </c>
      <c r="AE481" s="4">
        <v>0.745454545454545</v>
      </c>
      <c r="AF481" s="4">
        <v>8.61</v>
      </c>
      <c r="AG481" s="4">
        <v>7.53</v>
      </c>
      <c r="AH481" s="4">
        <v>3.52</v>
      </c>
    </row>
    <row r="482" ht="15" hidden="1" spans="1:34">
      <c r="A482" s="65">
        <v>3396</v>
      </c>
      <c r="B482" s="4">
        <v>18.46</v>
      </c>
      <c r="C482" s="4">
        <v>21.05</v>
      </c>
      <c r="D482" s="4">
        <v>43.95</v>
      </c>
      <c r="E482" s="13">
        <v>46842000000</v>
      </c>
      <c r="F482" s="47" t="s">
        <v>1089</v>
      </c>
      <c r="G482">
        <v>9.31350321937064</v>
      </c>
      <c r="H482" s="27">
        <v>75.5001755001755</v>
      </c>
      <c r="I482" s="14">
        <f>H482/G482</f>
        <v>8.10652809386987</v>
      </c>
      <c r="J482" s="4">
        <v>0.87</v>
      </c>
      <c r="K482" s="4">
        <v>0.147918521026315</v>
      </c>
      <c r="L482" s="4">
        <v>10.2363</v>
      </c>
      <c r="M482" s="4"/>
      <c r="N482" s="4"/>
      <c r="O482" s="4"/>
      <c r="P482" s="4"/>
      <c r="Q482" s="32">
        <v>22.8</v>
      </c>
      <c r="R482" s="6">
        <f>B482</f>
        <v>18.46</v>
      </c>
      <c r="S482" s="19">
        <f>B482/Q482-1</f>
        <v>-0.190350877192982</v>
      </c>
      <c r="T482" s="14">
        <v>-0.266141061154912</v>
      </c>
      <c r="U482" s="14">
        <v>-0.355852317360566</v>
      </c>
      <c r="V482" s="14">
        <v>-0.42315331010453</v>
      </c>
      <c r="W482" s="31" t="s">
        <v>1089</v>
      </c>
      <c r="X482" s="4">
        <v>-0.11</v>
      </c>
      <c r="Y482" s="4"/>
      <c r="Z482" s="4"/>
      <c r="AA482" s="4"/>
      <c r="AB482" s="4"/>
      <c r="AC482" s="4"/>
      <c r="AD482" s="4">
        <v>0.0591327201051248</v>
      </c>
      <c r="AE482" s="4">
        <v>0.0919842312746386</v>
      </c>
      <c r="AF482" s="4">
        <v>0.3</v>
      </c>
      <c r="AG482" s="4">
        <v>0.2</v>
      </c>
      <c r="AH482" s="4">
        <v>0.242</v>
      </c>
    </row>
    <row r="483" ht="15" spans="1:34">
      <c r="A483" s="37">
        <v>500</v>
      </c>
      <c r="B483" s="6">
        <v>1</v>
      </c>
      <c r="C483" s="6">
        <v>0.62</v>
      </c>
      <c r="D483" s="6">
        <v>4.25</v>
      </c>
      <c r="E483" s="15">
        <v>1357000000</v>
      </c>
      <c r="F483" s="47" t="s">
        <v>91</v>
      </c>
      <c r="G483">
        <v>1.99921599372795</v>
      </c>
      <c r="H483" s="23">
        <v>132.018561484919</v>
      </c>
      <c r="I483" s="16">
        <f>H483/G483</f>
        <v>66.0351667349074</v>
      </c>
      <c r="J483" s="6">
        <v>1.7</v>
      </c>
      <c r="K483" s="6">
        <v>6.61246612466124</v>
      </c>
      <c r="L483" s="6"/>
      <c r="M483" s="6"/>
      <c r="N483" s="6"/>
      <c r="O483" s="6"/>
      <c r="P483" s="6"/>
      <c r="Q483" s="6">
        <v>1.24</v>
      </c>
      <c r="R483" s="6">
        <f>B483</f>
        <v>1</v>
      </c>
      <c r="S483" s="19">
        <f>B483/Q483-1</f>
        <v>-0.193548387096774</v>
      </c>
      <c r="T483" s="14">
        <v>-0.0575040277605652</v>
      </c>
      <c r="U483" s="14">
        <v>6.24285714285714</v>
      </c>
      <c r="V483" s="16">
        <v>2.46153846153846</v>
      </c>
      <c r="W483" s="31" t="s">
        <v>91</v>
      </c>
      <c r="X483" s="6">
        <v>-1.96</v>
      </c>
      <c r="Y483" s="6" t="s">
        <v>1090</v>
      </c>
      <c r="Z483" s="6"/>
      <c r="AA483" s="4"/>
      <c r="AB483" s="4"/>
      <c r="AC483" s="4"/>
      <c r="AD483" s="4">
        <v>0.479338842975207</v>
      </c>
      <c r="AE483" s="6">
        <v>0.768595041322314</v>
      </c>
      <c r="AF483" s="4">
        <v>0.61</v>
      </c>
      <c r="AG483" s="4">
        <v>0.54</v>
      </c>
      <c r="AH483" s="4">
        <v>0.57</v>
      </c>
    </row>
    <row r="484" ht="15" hidden="1" spans="1:34">
      <c r="A484" s="38">
        <v>8167</v>
      </c>
      <c r="B484" s="4">
        <v>0.38</v>
      </c>
      <c r="C484" s="4">
        <v>0.13</v>
      </c>
      <c r="D484" s="4">
        <v>2.06</v>
      </c>
      <c r="E484" s="13">
        <v>3716200000</v>
      </c>
      <c r="F484" s="46" t="s">
        <v>1091</v>
      </c>
      <c r="G484">
        <v>21.054709086603</v>
      </c>
      <c r="H484" s="49">
        <v>65.7824933687003</v>
      </c>
      <c r="I484" s="14">
        <f>H484/G484</f>
        <v>3.12436011811521</v>
      </c>
      <c r="J484" s="4">
        <v>2.95</v>
      </c>
      <c r="K484" s="4">
        <v>1.99004975124378</v>
      </c>
      <c r="Q484" s="4">
        <v>0.475</v>
      </c>
      <c r="R484" s="61">
        <f>B484</f>
        <v>0.38</v>
      </c>
      <c r="S484" s="18">
        <f>B484/Q484-1</f>
        <v>-0.2</v>
      </c>
      <c r="T484" s="14">
        <v>0.186526217190661</v>
      </c>
      <c r="U484" s="14">
        <v>0.0684874728678788</v>
      </c>
      <c r="V484" s="14">
        <v>-0.47284605961617</v>
      </c>
      <c r="W484" s="31" t="s">
        <v>1091</v>
      </c>
      <c r="X484" s="4">
        <v>-5</v>
      </c>
      <c r="AF484" s="4">
        <v>4.92</v>
      </c>
      <c r="AG484" s="4">
        <v>5.21</v>
      </c>
      <c r="AH484" s="4">
        <v>4.67</v>
      </c>
    </row>
    <row r="485" ht="15" hidden="1" spans="1:34">
      <c r="A485" s="38">
        <v>8290</v>
      </c>
      <c r="B485" s="4">
        <v>0.131</v>
      </c>
      <c r="C485" s="4">
        <v>0</v>
      </c>
      <c r="D485" s="4">
        <v>4.7</v>
      </c>
      <c r="E485" s="13">
        <v>274000000</v>
      </c>
      <c r="F485" s="46" t="s">
        <v>1092</v>
      </c>
      <c r="G485">
        <v>32.8245915735168</v>
      </c>
      <c r="H485" s="49">
        <v>90.8396946564886</v>
      </c>
      <c r="I485" s="14">
        <f>H485/G485</f>
        <v>2.76742802581522</v>
      </c>
      <c r="J485" s="4">
        <v>3.88</v>
      </c>
      <c r="K485" s="4">
        <v>5.39518900343642</v>
      </c>
      <c r="L485" s="4">
        <v>6.9221</v>
      </c>
      <c r="M485" s="4">
        <v>5.395</v>
      </c>
      <c r="Q485" s="4">
        <v>0.164</v>
      </c>
      <c r="R485" s="61">
        <f>B485</f>
        <v>0.131</v>
      </c>
      <c r="S485" s="18">
        <f>B485/Q485-1</f>
        <v>-0.201219512195122</v>
      </c>
      <c r="T485" s="14">
        <v>-0.552397868561279</v>
      </c>
      <c r="U485" s="14">
        <v>-0.735849056603774</v>
      </c>
      <c r="V485" s="14">
        <v>-0.130952380952381</v>
      </c>
      <c r="W485" s="31" t="s">
        <v>1092</v>
      </c>
      <c r="X485" s="4">
        <v>-3.676</v>
      </c>
      <c r="AF485" s="4">
        <v>0.37</v>
      </c>
      <c r="AG485" s="4">
        <v>0.71</v>
      </c>
      <c r="AH485" s="4">
        <v>0.5</v>
      </c>
    </row>
    <row r="486" ht="15" hidden="1" spans="1:34">
      <c r="A486" s="38">
        <v>988</v>
      </c>
      <c r="B486" s="4">
        <v>0.495</v>
      </c>
      <c r="C486" s="4">
        <v>0.41</v>
      </c>
      <c r="D486" s="4">
        <v>2.2</v>
      </c>
      <c r="E486" s="13">
        <v>2076000000</v>
      </c>
      <c r="F486" s="45" t="s">
        <v>353</v>
      </c>
      <c r="G486">
        <v>39.3939393939394</v>
      </c>
      <c r="H486" s="28">
        <v>110.101689217581</v>
      </c>
      <c r="I486" s="14">
        <f>H486/G486</f>
        <v>2.79488903398476</v>
      </c>
      <c r="J486" s="4">
        <v>2.17</v>
      </c>
      <c r="K486" s="4">
        <v>1.44046815214944</v>
      </c>
      <c r="L486" s="4"/>
      <c r="M486" s="4"/>
      <c r="N486" s="4"/>
      <c r="O486" s="4"/>
      <c r="P486" s="4"/>
      <c r="Q486" s="4">
        <v>0.62</v>
      </c>
      <c r="R486" s="4">
        <f>B486</f>
        <v>0.495</v>
      </c>
      <c r="S486" s="18">
        <f>B486/Q486-1</f>
        <v>-0.201612903225806</v>
      </c>
      <c r="T486" s="16">
        <v>-0.640757060540789</v>
      </c>
      <c r="U486" s="16">
        <v>-0.637134716055927</v>
      </c>
      <c r="V486" s="14">
        <v>-0.204238495252009</v>
      </c>
      <c r="W486" s="31" t="s">
        <v>353</v>
      </c>
      <c r="X486" s="4">
        <v>0</v>
      </c>
      <c r="Y486" s="6"/>
      <c r="Z486" s="6"/>
      <c r="AA486" s="4"/>
      <c r="AB486" s="4"/>
      <c r="AC486" s="4"/>
      <c r="AD486" s="4">
        <v>0.936507936507936</v>
      </c>
      <c r="AE486" s="6">
        <v>1</v>
      </c>
      <c r="AF486" s="4">
        <v>7.084</v>
      </c>
      <c r="AG486" s="4">
        <v>7.591</v>
      </c>
      <c r="AH486" s="4">
        <v>7.89</v>
      </c>
    </row>
    <row r="487" ht="15" spans="1:34">
      <c r="A487" s="41">
        <v>3393</v>
      </c>
      <c r="B487" s="6">
        <v>4.77</v>
      </c>
      <c r="C487" s="6">
        <v>5.58</v>
      </c>
      <c r="D487" s="6">
        <v>12.86</v>
      </c>
      <c r="E487" s="15">
        <v>5003000000</v>
      </c>
      <c r="F487" s="53" t="s">
        <v>482</v>
      </c>
      <c r="G487">
        <v>34.8024514278263</v>
      </c>
      <c r="H487" s="27">
        <v>91.8281220026856</v>
      </c>
      <c r="I487" s="16">
        <f>H487/G487</f>
        <v>2.63855326953389</v>
      </c>
      <c r="J487" s="6">
        <v>1.29</v>
      </c>
      <c r="K487" s="16">
        <v>1.54395450284736</v>
      </c>
      <c r="L487" s="6">
        <v>10.6562</v>
      </c>
      <c r="M487" s="6">
        <v>9.383</v>
      </c>
      <c r="N487" s="6"/>
      <c r="O487" s="6"/>
      <c r="P487" s="6"/>
      <c r="Q487" s="6">
        <v>5.99</v>
      </c>
      <c r="R487" s="6">
        <f>B487</f>
        <v>4.77</v>
      </c>
      <c r="S487" s="19">
        <f>B487/Q487-1</f>
        <v>-0.203672787979967</v>
      </c>
      <c r="T487" s="14">
        <v>-0.176381419108333</v>
      </c>
      <c r="U487" s="14">
        <v>-0.281467391304348</v>
      </c>
      <c r="V487" s="14">
        <v>-0.299699720142198</v>
      </c>
      <c r="W487" s="31" t="s">
        <v>482</v>
      </c>
      <c r="X487" s="6">
        <v>-0.63</v>
      </c>
      <c r="Y487" s="61" t="s">
        <v>879</v>
      </c>
      <c r="Z487" s="4">
        <v>0</v>
      </c>
      <c r="AA487" s="4">
        <v>2000</v>
      </c>
      <c r="AB487" s="4"/>
      <c r="AC487" s="4"/>
      <c r="AD487" s="4">
        <v>0.187224669603524</v>
      </c>
      <c r="AE487" s="4">
        <v>0.23568281938326</v>
      </c>
      <c r="AF487" s="4">
        <v>59.12</v>
      </c>
      <c r="AG487" s="4">
        <v>51.764</v>
      </c>
      <c r="AH487" s="4">
        <v>40.45</v>
      </c>
    </row>
    <row r="488" ht="15" hidden="1" spans="1:34">
      <c r="A488" s="41">
        <v>1011</v>
      </c>
      <c r="B488" s="4">
        <v>1.78</v>
      </c>
      <c r="C488" s="4">
        <v>0.85</v>
      </c>
      <c r="D488" s="4">
        <v>3.24</v>
      </c>
      <c r="E488" s="13">
        <v>2961000000</v>
      </c>
      <c r="F488" s="53" t="s">
        <v>193</v>
      </c>
      <c r="G488">
        <v>5.61585653610194</v>
      </c>
      <c r="H488" s="23">
        <v>42.1262080727686</v>
      </c>
      <c r="I488" s="17">
        <f>H488/G488</f>
        <v>7.5012970509409</v>
      </c>
      <c r="J488" s="4">
        <v>3.36</v>
      </c>
      <c r="K488" s="4">
        <v>2.98954365847042</v>
      </c>
      <c r="L488" s="4">
        <v>1319.4341</v>
      </c>
      <c r="M488" s="4">
        <v>933.333</v>
      </c>
      <c r="Q488" s="4">
        <v>2.24</v>
      </c>
      <c r="R488" s="4">
        <f>B488</f>
        <v>1.78</v>
      </c>
      <c r="S488" s="18">
        <f>B488/Q488-1</f>
        <v>-0.205357142857143</v>
      </c>
      <c r="T488" s="14">
        <v>1.45845921450151</v>
      </c>
      <c r="U488" s="14">
        <v>11.6162790697674</v>
      </c>
      <c r="V488" s="16">
        <v>-0.873732718894009</v>
      </c>
      <c r="W488" s="31" t="s">
        <v>193</v>
      </c>
      <c r="X488" s="4">
        <v>0.56</v>
      </c>
      <c r="Y488" s="6"/>
      <c r="Z488" s="6"/>
      <c r="AA488" s="6"/>
      <c r="AB488" s="6"/>
      <c r="AD488" s="4">
        <v>0.197530864197531</v>
      </c>
      <c r="AE488" s="6">
        <v>0.320987654320988</v>
      </c>
      <c r="AF488" s="4">
        <v>0.72</v>
      </c>
      <c r="AG488" s="4">
        <v>0.88</v>
      </c>
      <c r="AH488" s="4">
        <v>1.69</v>
      </c>
    </row>
    <row r="489" ht="15" hidden="1" spans="1:34">
      <c r="A489" s="38">
        <v>127</v>
      </c>
      <c r="B489" s="4">
        <v>14</v>
      </c>
      <c r="C489" s="4">
        <v>13.31</v>
      </c>
      <c r="D489" s="4">
        <v>30.3</v>
      </c>
      <c r="E489" s="13">
        <v>26478000000</v>
      </c>
      <c r="F489" s="46" t="s">
        <v>166</v>
      </c>
      <c r="G489">
        <v>3.28820116054159</v>
      </c>
      <c r="H489" s="28">
        <v>87.863986473793</v>
      </c>
      <c r="I489" s="17">
        <f>H489/G489</f>
        <v>26.7209888276182</v>
      </c>
      <c r="J489" s="4">
        <v>0.93</v>
      </c>
      <c r="K489" s="4">
        <v>13.9424970460811</v>
      </c>
      <c r="L489" s="4">
        <v>3.8611</v>
      </c>
      <c r="M489" s="4">
        <v>3.857</v>
      </c>
      <c r="N489" s="4"/>
      <c r="O489" s="4"/>
      <c r="P489" s="4"/>
      <c r="Q489" s="4">
        <v>17.68</v>
      </c>
      <c r="R489" s="4">
        <f>B489</f>
        <v>14</v>
      </c>
      <c r="S489" s="18">
        <f>B489/Q489-1</f>
        <v>-0.208144796380091</v>
      </c>
      <c r="T489" s="14">
        <v>0.612571701720841</v>
      </c>
      <c r="U489" s="14">
        <v>1.99866666666667</v>
      </c>
      <c r="V489" s="14">
        <v>-0.264117385504669</v>
      </c>
      <c r="W489" s="31" t="s">
        <v>166</v>
      </c>
      <c r="X489" s="4">
        <v>1.45</v>
      </c>
      <c r="Y489" s="6"/>
      <c r="Z489" s="6"/>
      <c r="AA489" s="4"/>
      <c r="AB489" s="4"/>
      <c r="AC489" s="6"/>
      <c r="AD489" s="4">
        <v>0.0394588500563699</v>
      </c>
      <c r="AE489" s="4">
        <v>0.0405862457722662</v>
      </c>
      <c r="AF489" s="4">
        <v>2.12186</v>
      </c>
      <c r="AG489" s="4">
        <v>1.28898</v>
      </c>
      <c r="AH489" s="4">
        <v>1.08</v>
      </c>
    </row>
    <row r="490" ht="15" hidden="1" spans="1:34">
      <c r="A490" s="37">
        <v>2186</v>
      </c>
      <c r="B490" s="6">
        <v>4.99</v>
      </c>
      <c r="C490" s="6">
        <v>5.65</v>
      </c>
      <c r="D490" s="6">
        <v>11.54</v>
      </c>
      <c r="E490" s="15">
        <v>17934000000</v>
      </c>
      <c r="F490" s="52" t="s">
        <v>132</v>
      </c>
      <c r="G490">
        <v>11.2215909090909</v>
      </c>
      <c r="H490" s="29">
        <v>65.1254953764861</v>
      </c>
      <c r="I490" s="16">
        <f>H490/G490</f>
        <v>5.80358844874003</v>
      </c>
      <c r="J490" s="6">
        <v>3.19</v>
      </c>
      <c r="K490" s="6">
        <v>4.726716656148</v>
      </c>
      <c r="L490" s="6">
        <v>28.2478</v>
      </c>
      <c r="M490" s="6">
        <v>24.96</v>
      </c>
      <c r="N490" s="6"/>
      <c r="O490" s="6"/>
      <c r="P490" s="6"/>
      <c r="Q490" s="6">
        <v>6.31</v>
      </c>
      <c r="R490" s="6">
        <f>B490</f>
        <v>4.99</v>
      </c>
      <c r="S490" s="19">
        <f>B490/Q490-1</f>
        <v>-0.20919175911252</v>
      </c>
      <c r="T490" s="14">
        <v>0.126653715536063</v>
      </c>
      <c r="U490" s="16">
        <v>-0.179622588614581</v>
      </c>
      <c r="V490" s="14">
        <v>-0.673354491749499</v>
      </c>
      <c r="W490" s="31" t="s">
        <v>132</v>
      </c>
      <c r="X490" s="4">
        <v>3.1</v>
      </c>
      <c r="Y490" s="6"/>
      <c r="Z490" s="6"/>
      <c r="AC490" s="6"/>
      <c r="AD490" s="4">
        <v>0.0546448087431693</v>
      </c>
      <c r="AE490" s="4">
        <v>0.0956284153005463</v>
      </c>
      <c r="AF490" s="4">
        <v>0.157</v>
      </c>
      <c r="AG490" s="4">
        <v>0.151</v>
      </c>
      <c r="AH490" s="4">
        <v>0.12</v>
      </c>
    </row>
    <row r="491" ht="15" hidden="1" spans="1:34">
      <c r="A491" s="38">
        <v>902</v>
      </c>
      <c r="B491" s="4">
        <v>4.63</v>
      </c>
      <c r="C491" s="4">
        <v>5.9</v>
      </c>
      <c r="D491" s="4">
        <v>11.9</v>
      </c>
      <c r="E491" s="13">
        <v>73266000000</v>
      </c>
      <c r="F491" s="46" t="s">
        <v>433</v>
      </c>
      <c r="G491">
        <v>4.3153765189934</v>
      </c>
      <c r="H491" s="28">
        <v>61.9957881095092</v>
      </c>
      <c r="I491" s="17">
        <f>H491/G491</f>
        <v>14.3662523621393</v>
      </c>
      <c r="J491" s="4">
        <v>0.96</v>
      </c>
      <c r="K491" s="4">
        <v>0.536308453599128</v>
      </c>
      <c r="L491" s="4">
        <v>6.9047</v>
      </c>
      <c r="M491" s="4">
        <v>6.189</v>
      </c>
      <c r="Q491" s="4">
        <v>5.91</v>
      </c>
      <c r="R491" s="4">
        <f>B491</f>
        <v>4.63</v>
      </c>
      <c r="S491" s="18">
        <f>B491/Q491-1</f>
        <v>-0.2165820642978</v>
      </c>
      <c r="T491" s="14">
        <v>-0.25675599556585</v>
      </c>
      <c r="U491" s="14">
        <v>-0.285010631449583</v>
      </c>
      <c r="V491" s="14">
        <v>-0.527210695041266</v>
      </c>
      <c r="W491" s="31" t="s">
        <v>433</v>
      </c>
      <c r="X491" s="4">
        <v>0.22</v>
      </c>
      <c r="AC491" s="6"/>
      <c r="AD491" s="4">
        <v>0.0640000000000001</v>
      </c>
      <c r="AE491" s="4">
        <v>0.0914285714285715</v>
      </c>
      <c r="AH491" s="4">
        <v>2.9</v>
      </c>
    </row>
    <row r="492" ht="15" hidden="1" spans="1:34">
      <c r="A492" s="75">
        <v>861</v>
      </c>
      <c r="B492" s="6">
        <v>6.23</v>
      </c>
      <c r="C492" s="6">
        <v>5.82</v>
      </c>
      <c r="D492" s="6">
        <v>15.4</v>
      </c>
      <c r="E492" s="15">
        <v>8765000000</v>
      </c>
      <c r="F492" s="47" t="s">
        <v>282</v>
      </c>
      <c r="G492">
        <v>25.6837098692033</v>
      </c>
      <c r="H492" s="26">
        <v>74.9475157452764</v>
      </c>
      <c r="I492" s="16">
        <f>H492/G492</f>
        <v>2.91809540471192</v>
      </c>
      <c r="J492" s="6">
        <v>1</v>
      </c>
      <c r="K492" s="6">
        <v>0.120171364365585</v>
      </c>
      <c r="L492" s="6">
        <v>12.5129</v>
      </c>
      <c r="M492" s="6">
        <v>12.177</v>
      </c>
      <c r="N492" s="6"/>
      <c r="O492" s="6"/>
      <c r="P492" s="6"/>
      <c r="Q492" s="6">
        <v>7.96</v>
      </c>
      <c r="R492" s="6">
        <f>B492</f>
        <v>6.23</v>
      </c>
      <c r="S492" s="19">
        <f>B492/Q492-1</f>
        <v>-0.217336683417085</v>
      </c>
      <c r="T492" s="16">
        <v>0.209735691196045</v>
      </c>
      <c r="U492" s="14">
        <v>0.188936647355634</v>
      </c>
      <c r="V492" s="14">
        <v>-0.190820496699151</v>
      </c>
      <c r="W492" s="31" t="s">
        <v>282</v>
      </c>
      <c r="X492" s="4">
        <v>-2.66</v>
      </c>
      <c r="Y492" s="6"/>
      <c r="Z492" s="6"/>
      <c r="AD492" s="4">
        <v>0.268057784911717</v>
      </c>
      <c r="AE492" s="4">
        <v>0.304975922953451</v>
      </c>
      <c r="AF492" s="4">
        <v>4.76</v>
      </c>
      <c r="AG492" s="4">
        <v>3.56</v>
      </c>
      <c r="AH492" s="4">
        <v>4.57</v>
      </c>
    </row>
    <row r="493" ht="15" hidden="1" spans="1:34">
      <c r="A493" s="38">
        <v>8230</v>
      </c>
      <c r="B493" s="4">
        <v>0.375</v>
      </c>
      <c r="C493" s="4">
        <v>0.36</v>
      </c>
      <c r="D493" s="4">
        <v>2.7</v>
      </c>
      <c r="E493" s="13">
        <v>336100000</v>
      </c>
      <c r="F493" s="45" t="s">
        <v>1093</v>
      </c>
      <c r="G493">
        <v>14.6670307540021</v>
      </c>
      <c r="H493" s="28">
        <v>619.99424004608</v>
      </c>
      <c r="I493" s="14">
        <f>H493/G493</f>
        <v>42.2712852004422</v>
      </c>
      <c r="J493" s="4">
        <v>1.6</v>
      </c>
      <c r="K493" s="4">
        <v>11.5005</v>
      </c>
      <c r="Q493" s="33">
        <v>0.48</v>
      </c>
      <c r="R493" s="4">
        <f>B493</f>
        <v>0.375</v>
      </c>
      <c r="S493" s="18">
        <f>B493/Q493-1</f>
        <v>-0.21875</v>
      </c>
      <c r="T493" s="14">
        <v>-0.783783783783784</v>
      </c>
      <c r="U493" s="14">
        <v>-0.898412698412698</v>
      </c>
      <c r="V493" s="14">
        <v>-0.8125</v>
      </c>
      <c r="W493" s="34" t="s">
        <v>1093</v>
      </c>
      <c r="X493" s="4">
        <v>-1.316</v>
      </c>
      <c r="AD493" s="4">
        <v>0</v>
      </c>
      <c r="AE493" s="4">
        <v>-0.246987951807229</v>
      </c>
      <c r="AF493" s="4">
        <v>0.58</v>
      </c>
      <c r="AG493" s="4">
        <v>0.73</v>
      </c>
      <c r="AH493" s="4">
        <v>1.44</v>
      </c>
    </row>
    <row r="494" ht="15" hidden="1" spans="1:34">
      <c r="A494" s="38">
        <v>1282</v>
      </c>
      <c r="B494" s="4">
        <v>0.78</v>
      </c>
      <c r="C494" s="4">
        <v>0.19</v>
      </c>
      <c r="D494" s="4">
        <v>1.94</v>
      </c>
      <c r="E494" s="13">
        <v>17239000000</v>
      </c>
      <c r="F494" s="50" t="s">
        <v>1094</v>
      </c>
      <c r="G494">
        <v>33.3333333333333</v>
      </c>
      <c r="H494" s="55">
        <v>75.6543123133673</v>
      </c>
      <c r="I494" s="14">
        <f>H494/G494</f>
        <v>2.26962936940102</v>
      </c>
      <c r="J494" s="4">
        <v>5.4</v>
      </c>
      <c r="K494" s="4">
        <v>27.9569892473118</v>
      </c>
      <c r="L494" s="4">
        <v>123.347</v>
      </c>
      <c r="M494" s="4">
        <v>44.068</v>
      </c>
      <c r="Q494" s="4">
        <v>1</v>
      </c>
      <c r="R494" s="61">
        <f>B494</f>
        <v>0.78</v>
      </c>
      <c r="S494" s="18">
        <f>B494/Q494-1</f>
        <v>-0.22</v>
      </c>
      <c r="T494" s="14">
        <v>-0.0662270642201835</v>
      </c>
      <c r="U494" s="14">
        <v>-0.0960310852067721</v>
      </c>
      <c r="V494" s="14">
        <v>-0.569235492784771</v>
      </c>
      <c r="W494" s="31" t="s">
        <v>1094</v>
      </c>
      <c r="X494" s="4">
        <v>-1.27</v>
      </c>
      <c r="AG494" s="4">
        <v>0.81</v>
      </c>
      <c r="AH494" s="4">
        <v>0.75</v>
      </c>
    </row>
    <row r="495" ht="15" hidden="1" spans="1:34">
      <c r="A495" s="65">
        <v>699</v>
      </c>
      <c r="B495" s="4">
        <v>7.53</v>
      </c>
      <c r="C495" s="4">
        <v>9.36</v>
      </c>
      <c r="D495" s="4">
        <v>22</v>
      </c>
      <c r="E495" s="13">
        <v>19346000000</v>
      </c>
      <c r="F495" s="45" t="s">
        <v>544</v>
      </c>
      <c r="G495">
        <v>6.11210215003286</v>
      </c>
      <c r="H495" s="23">
        <v>97.8630787495053</v>
      </c>
      <c r="I495" s="17">
        <f>H495/G495</f>
        <v>16.0113617782025</v>
      </c>
      <c r="J495" s="4">
        <v>2.98</v>
      </c>
      <c r="K495" s="4">
        <v>3.94858288448219</v>
      </c>
      <c r="L495" s="4">
        <v>43.5058</v>
      </c>
      <c r="M495" s="4">
        <v>35.551</v>
      </c>
      <c r="N495" s="4"/>
      <c r="O495" s="4"/>
      <c r="P495" s="4"/>
      <c r="Q495" s="4">
        <v>9.67</v>
      </c>
      <c r="R495" s="4">
        <f>B495</f>
        <v>7.53</v>
      </c>
      <c r="S495" s="18">
        <f>B495/Q495-1</f>
        <v>-0.221302998965874</v>
      </c>
      <c r="T495" s="16">
        <v>0.509431268430099</v>
      </c>
      <c r="U495" s="14">
        <v>1.02082000838094</v>
      </c>
      <c r="V495" s="16">
        <v>-0.47606792831729</v>
      </c>
      <c r="W495" s="5" t="s">
        <v>544</v>
      </c>
      <c r="X495" s="4">
        <v>-1.31</v>
      </c>
      <c r="Y495" s="4"/>
      <c r="Z495" s="4"/>
      <c r="AA495" s="4"/>
      <c r="AB495" s="4"/>
      <c r="AC495" s="6"/>
      <c r="AD495" s="4">
        <v>0.0958904109589041</v>
      </c>
      <c r="AE495" s="6">
        <v>0.185692541856925</v>
      </c>
      <c r="AF495" s="4">
        <v>0.92</v>
      </c>
      <c r="AG495" s="4">
        <v>0.75</v>
      </c>
      <c r="AH495" s="4">
        <v>0.88</v>
      </c>
    </row>
    <row r="496" ht="15" hidden="1" spans="1:34">
      <c r="A496" s="41">
        <v>963</v>
      </c>
      <c r="B496" s="4">
        <v>12.4</v>
      </c>
      <c r="C496" s="4">
        <v>9.6</v>
      </c>
      <c r="D496" s="4">
        <v>20.95</v>
      </c>
      <c r="E496" s="13">
        <v>4839000000</v>
      </c>
      <c r="F496" s="46" t="s">
        <v>535</v>
      </c>
      <c r="G496">
        <v>8.22320117474303</v>
      </c>
      <c r="H496" s="28">
        <v>61.2903225806452</v>
      </c>
      <c r="I496" s="17">
        <f>H496/G496</f>
        <v>7.45334101382488</v>
      </c>
      <c r="J496" s="4">
        <v>5.05</v>
      </c>
      <c r="K496" s="4">
        <v>6.8872042874818</v>
      </c>
      <c r="L496" s="4">
        <v>28.4664</v>
      </c>
      <c r="M496" s="4">
        <v>26.16</v>
      </c>
      <c r="Q496" s="4">
        <v>15.96</v>
      </c>
      <c r="R496" s="4">
        <f>B496</f>
        <v>12.4</v>
      </c>
      <c r="S496" s="18">
        <f>B496/Q496-1</f>
        <v>-0.223057644110276</v>
      </c>
      <c r="T496" s="16">
        <v>-0.80162010249628</v>
      </c>
      <c r="U496" s="16">
        <v>-0.909070243237099</v>
      </c>
      <c r="V496" s="14">
        <v>0.625</v>
      </c>
      <c r="W496" s="31" t="s">
        <v>535</v>
      </c>
      <c r="X496" s="4">
        <v>0.32</v>
      </c>
      <c r="AD496" s="4">
        <v>0.146110056925996</v>
      </c>
      <c r="AE496" s="4">
        <v>0.318785578747628</v>
      </c>
      <c r="AF496" s="4">
        <v>7.19</v>
      </c>
      <c r="AG496" s="4">
        <v>10.52</v>
      </c>
      <c r="AH496" s="4">
        <v>6.44</v>
      </c>
    </row>
    <row r="497" ht="15" hidden="1" spans="1:34">
      <c r="A497" s="43">
        <v>3889</v>
      </c>
      <c r="B497" s="4">
        <v>0.24</v>
      </c>
      <c r="C497" s="4">
        <v>0.153</v>
      </c>
      <c r="D497" s="4">
        <v>0.94</v>
      </c>
      <c r="E497" s="13">
        <v>371200000</v>
      </c>
      <c r="F497" s="46" t="s">
        <v>1095</v>
      </c>
      <c r="G497">
        <v>36.2488843554762</v>
      </c>
      <c r="H497" s="26">
        <v>81.257930034439</v>
      </c>
      <c r="I497" s="14">
        <f>H497/G497</f>
        <v>2.24166706035915</v>
      </c>
      <c r="J497" s="4">
        <v>0.64</v>
      </c>
      <c r="K497" s="4">
        <v>0.26502487156487</v>
      </c>
      <c r="L497" s="4"/>
      <c r="M497" s="4"/>
      <c r="N497" s="4"/>
      <c r="O497" s="4"/>
      <c r="P497" s="4"/>
      <c r="Q497" s="32">
        <v>0.31</v>
      </c>
      <c r="R497" s="37">
        <f>B497</f>
        <v>0.24</v>
      </c>
      <c r="S497" s="19">
        <f>B497/Q497-1</f>
        <v>-0.225806451612903</v>
      </c>
      <c r="T497" s="14">
        <v>-0.475728155339806</v>
      </c>
      <c r="U497" s="14">
        <v>-0.352</v>
      </c>
      <c r="V497" s="14">
        <v>0</v>
      </c>
      <c r="W497" s="31" t="s">
        <v>1095</v>
      </c>
      <c r="X497" s="6">
        <v>0</v>
      </c>
      <c r="Y497" s="4"/>
      <c r="Z497" s="4"/>
      <c r="AA497" s="4"/>
      <c r="AB497" s="4"/>
      <c r="AC497" s="4"/>
      <c r="AD497" s="4">
        <v>0.350877192982456</v>
      </c>
      <c r="AE497" s="4">
        <v>0.666666666666667</v>
      </c>
      <c r="AF497" s="4">
        <v>0.65</v>
      </c>
      <c r="AG497" s="4">
        <v>0.49</v>
      </c>
      <c r="AH497" s="4">
        <v>0.5</v>
      </c>
    </row>
    <row r="498" ht="15" spans="1:34">
      <c r="A498" s="22">
        <v>1022</v>
      </c>
      <c r="B498" s="6">
        <v>1.3</v>
      </c>
      <c r="C498" s="6">
        <v>1.49</v>
      </c>
      <c r="D498" s="6">
        <v>4.47</v>
      </c>
      <c r="E498" s="15">
        <v>2132000000</v>
      </c>
      <c r="F498" s="53" t="s">
        <v>674</v>
      </c>
      <c r="G498">
        <v>6.92479523454952</v>
      </c>
      <c r="H498" s="27">
        <v>92.3076923076923</v>
      </c>
      <c r="I498" s="16">
        <f>H498/G498</f>
        <v>13.3300248138958</v>
      </c>
      <c r="J498" s="6">
        <v>1.67</v>
      </c>
      <c r="K498" s="6">
        <v>5.67428116794795</v>
      </c>
      <c r="L498" s="6">
        <v>20.3185</v>
      </c>
      <c r="M498" s="6">
        <v>12.003</v>
      </c>
      <c r="N498" s="6"/>
      <c r="O498" s="6"/>
      <c r="P498" s="6"/>
      <c r="Q498" s="6">
        <v>1.69</v>
      </c>
      <c r="R498" s="6">
        <f>B498</f>
        <v>1.3</v>
      </c>
      <c r="S498" s="19">
        <f>B498/Q498-1</f>
        <v>-0.230769230769231</v>
      </c>
      <c r="T498" s="16">
        <v>0.425311203319502</v>
      </c>
      <c r="U498" s="14">
        <v>0.37125748502994</v>
      </c>
      <c r="V498" s="14">
        <v>0.998908296943231</v>
      </c>
      <c r="W498" s="31" t="s">
        <v>674</v>
      </c>
      <c r="X498" s="4">
        <v>0</v>
      </c>
      <c r="Y498" s="61" t="s">
        <v>1096</v>
      </c>
      <c r="Z498" s="4"/>
      <c r="AA498" s="4"/>
      <c r="AB498" s="4"/>
      <c r="AC498" s="6"/>
      <c r="AD498" s="4">
        <v>0.49079754601227</v>
      </c>
      <c r="AE498" s="6">
        <v>0.607361963190184</v>
      </c>
      <c r="AF498" s="4">
        <v>25.77</v>
      </c>
      <c r="AG498" s="4">
        <v>20.065</v>
      </c>
      <c r="AH498" s="4">
        <v>18.94</v>
      </c>
    </row>
    <row r="499" ht="15" spans="1:34">
      <c r="A499" s="22">
        <v>2100</v>
      </c>
      <c r="B499" s="6">
        <v>0.355</v>
      </c>
      <c r="C499" s="6">
        <v>0.4</v>
      </c>
      <c r="D499" s="6">
        <v>1.63</v>
      </c>
      <c r="E499" s="15">
        <v>1087800000</v>
      </c>
      <c r="F499" s="53" t="s">
        <v>673</v>
      </c>
      <c r="G499">
        <v>1.40886728647625</v>
      </c>
      <c r="H499" s="27">
        <v>74.6480841105173</v>
      </c>
      <c r="I499" s="16">
        <f>H499/G499</f>
        <v>52.9844683222229</v>
      </c>
      <c r="J499" s="6">
        <v>0.76</v>
      </c>
      <c r="K499" s="6">
        <v>2.46195055418506</v>
      </c>
      <c r="L499" s="6"/>
      <c r="M499" s="6"/>
      <c r="N499" s="6"/>
      <c r="O499" s="6"/>
      <c r="Q499" s="6">
        <v>0.465</v>
      </c>
      <c r="R499" s="4">
        <f>B499</f>
        <v>0.355</v>
      </c>
      <c r="S499" s="18">
        <f>B499/Q499-1</f>
        <v>-0.236559139784946</v>
      </c>
      <c r="T499" s="14">
        <v>-0.179202707784882</v>
      </c>
      <c r="U499" s="16">
        <v>-0.37094682230869</v>
      </c>
      <c r="V499" s="14">
        <v>-0.966323024054983</v>
      </c>
      <c r="W499" s="31" t="s">
        <v>673</v>
      </c>
      <c r="X499" s="4">
        <v>-1.389</v>
      </c>
      <c r="Y499" s="4" t="s">
        <v>1097</v>
      </c>
      <c r="AC499" s="6"/>
      <c r="AD499" s="6">
        <v>0.26530612244898</v>
      </c>
      <c r="AE499" s="4">
        <v>0.306122448979592</v>
      </c>
      <c r="AF499" s="4">
        <v>2.6</v>
      </c>
      <c r="AG499" s="4">
        <v>2.14</v>
      </c>
      <c r="AH499" s="4">
        <v>1.03</v>
      </c>
    </row>
    <row r="500" ht="15" hidden="1" spans="1:34">
      <c r="A500" s="38">
        <v>8150</v>
      </c>
      <c r="B500" s="4">
        <v>0.29</v>
      </c>
      <c r="C500" s="4">
        <v>0.128</v>
      </c>
      <c r="D500" s="4">
        <v>0.746</v>
      </c>
      <c r="E500" s="13">
        <v>356700000</v>
      </c>
      <c r="F500" s="59" t="s">
        <v>1098</v>
      </c>
      <c r="G500">
        <v>55.8619715574545</v>
      </c>
      <c r="H500" s="56">
        <v>60.3437770580124</v>
      </c>
      <c r="I500" s="14">
        <f>H500/G500</f>
        <v>1.08022999145221</v>
      </c>
      <c r="J500" s="4">
        <v>5.01</v>
      </c>
      <c r="K500" s="4">
        <v>25.8333333333333</v>
      </c>
      <c r="Q500" s="4">
        <v>0.38</v>
      </c>
      <c r="R500" s="61">
        <f>B500</f>
        <v>0.29</v>
      </c>
      <c r="S500" s="18">
        <f>B500/Q500-1</f>
        <v>-0.236842105263158</v>
      </c>
      <c r="T500" s="14">
        <v>-0.917431192660551</v>
      </c>
      <c r="U500" s="14">
        <v>-0.961538461538462</v>
      </c>
      <c r="V500" s="14">
        <v>-0.666666666666667</v>
      </c>
      <c r="W500" s="31" t="s">
        <v>1098</v>
      </c>
      <c r="X500" s="4">
        <v>5.455</v>
      </c>
      <c r="AF500" s="4">
        <v>15.564</v>
      </c>
      <c r="AG500" s="4">
        <v>15.419</v>
      </c>
      <c r="AH500" s="4">
        <v>20.017</v>
      </c>
    </row>
    <row r="501" ht="15" hidden="1" spans="1:34">
      <c r="A501" s="22">
        <v>8267</v>
      </c>
      <c r="B501" s="6">
        <v>3.42</v>
      </c>
      <c r="C501" s="6">
        <v>4.07</v>
      </c>
      <c r="D501" s="6">
        <v>16.88</v>
      </c>
      <c r="E501" s="15">
        <v>1490000000</v>
      </c>
      <c r="F501" s="47" t="s">
        <v>696</v>
      </c>
      <c r="G501">
        <v>3.51215746815901</v>
      </c>
      <c r="H501" s="27">
        <v>71.939477303989</v>
      </c>
      <c r="I501" s="16">
        <f>H501/G501</f>
        <v>20.4829874389709</v>
      </c>
      <c r="J501" s="6">
        <v>1.27</v>
      </c>
      <c r="K501" s="16">
        <v>2.75654536967115</v>
      </c>
      <c r="L501" s="6"/>
      <c r="M501" s="6"/>
      <c r="N501" s="6"/>
      <c r="O501" s="6"/>
      <c r="Q501" s="6">
        <v>4.49</v>
      </c>
      <c r="R501" s="4">
        <f>B501</f>
        <v>3.42</v>
      </c>
      <c r="S501" s="18">
        <f>B501/Q501-1</f>
        <v>-0.238307349665924</v>
      </c>
      <c r="T501" s="14">
        <v>0.950354609929078</v>
      </c>
      <c r="U501" s="16">
        <v>7.33333333333333</v>
      </c>
      <c r="V501" s="14">
        <v>-0.989090909090909</v>
      </c>
      <c r="W501" s="5" t="s">
        <v>696</v>
      </c>
      <c r="X501" s="4">
        <v>0.29</v>
      </c>
      <c r="AD501" s="4">
        <v>0.252873563218391</v>
      </c>
      <c r="AE501" s="4">
        <v>0.293103448275862</v>
      </c>
      <c r="AF501" s="4">
        <v>12.554</v>
      </c>
      <c r="AG501" s="4">
        <v>12.871</v>
      </c>
      <c r="AH501" s="4">
        <v>17.04</v>
      </c>
    </row>
    <row r="502" ht="15" hidden="1" spans="1:34">
      <c r="A502" s="38">
        <v>402</v>
      </c>
      <c r="B502" s="4">
        <v>0.198</v>
      </c>
      <c r="C502" s="4">
        <v>0.16</v>
      </c>
      <c r="D502" s="4">
        <v>0.73</v>
      </c>
      <c r="E502" s="13">
        <v>1378500000</v>
      </c>
      <c r="F502" s="53" t="s">
        <v>558</v>
      </c>
      <c r="G502">
        <v>28.2830238745813</v>
      </c>
      <c r="H502" s="25">
        <v>102.020202020202</v>
      </c>
      <c r="I502" s="17">
        <f>H502/G502</f>
        <v>3.60711791188247</v>
      </c>
      <c r="J502" s="4">
        <v>1.99</v>
      </c>
      <c r="K502" s="4">
        <v>6.45539906103286</v>
      </c>
      <c r="Q502" s="4">
        <v>0.26</v>
      </c>
      <c r="R502" s="4">
        <f>B502</f>
        <v>0.198</v>
      </c>
      <c r="S502" s="18">
        <f>B502/Q502-1</f>
        <v>-0.238461538461539</v>
      </c>
      <c r="T502" s="14">
        <v>-0.498398979880986</v>
      </c>
      <c r="U502" s="14">
        <v>-0.647731343283582</v>
      </c>
      <c r="V502" s="16">
        <v>-0.752563342089653</v>
      </c>
      <c r="W502" s="31" t="s">
        <v>558</v>
      </c>
      <c r="X502" s="6">
        <v>-2.463</v>
      </c>
      <c r="AA502" s="6"/>
      <c r="AB502" s="6"/>
      <c r="AD502" s="4">
        <v>0.474358974358974</v>
      </c>
      <c r="AE502" s="4">
        <v>0.538461538461538</v>
      </c>
      <c r="AF502" s="4">
        <v>1.18</v>
      </c>
      <c r="AG502" s="4">
        <v>0.98</v>
      </c>
      <c r="AH502" s="4">
        <v>0.69</v>
      </c>
    </row>
    <row r="503" ht="15" hidden="1" spans="1:34">
      <c r="A503" s="38">
        <v>39</v>
      </c>
      <c r="B503" s="4">
        <v>0.425</v>
      </c>
      <c r="C503" s="4">
        <v>0.43</v>
      </c>
      <c r="D503" s="4">
        <v>3.48</v>
      </c>
      <c r="E503" s="13">
        <v>2102200000</v>
      </c>
      <c r="F503" s="46" t="s">
        <v>1099</v>
      </c>
      <c r="G503">
        <v>22.3530142559866</v>
      </c>
      <c r="H503" s="28">
        <v>134.115278363066</v>
      </c>
      <c r="I503" s="14">
        <f>H503/G503</f>
        <v>5.99987441636187</v>
      </c>
      <c r="J503" s="4">
        <v>3.91</v>
      </c>
      <c r="K503" s="4">
        <v>2.45454545454545</v>
      </c>
      <c r="L503" s="4">
        <v>21.4207</v>
      </c>
      <c r="M503" s="4">
        <v>11.886</v>
      </c>
      <c r="N503" s="4"/>
      <c r="O503" s="4"/>
      <c r="P503" s="4"/>
      <c r="Q503" s="4">
        <v>0.56</v>
      </c>
      <c r="R503" s="4">
        <f>B503</f>
        <v>0.425</v>
      </c>
      <c r="S503" s="70">
        <f>B503/Q503-1</f>
        <v>-0.241071428571429</v>
      </c>
      <c r="T503" s="14">
        <v>-0.526157697121402</v>
      </c>
      <c r="U503" s="14">
        <v>-0.666842661034847</v>
      </c>
      <c r="V503" s="14">
        <v>-0.274167987321712</v>
      </c>
      <c r="W503" s="31" t="s">
        <v>1099</v>
      </c>
      <c r="X503" s="4">
        <v>-1.163</v>
      </c>
      <c r="Y503" s="4"/>
      <c r="Z503" s="4"/>
      <c r="AA503" s="4"/>
      <c r="AB503" s="4"/>
      <c r="AC503" s="4"/>
      <c r="AD503" s="4"/>
      <c r="AE503" s="4"/>
      <c r="AF503" s="4">
        <v>1.54</v>
      </c>
      <c r="AG503" s="4">
        <v>1.05</v>
      </c>
      <c r="AH503" s="4">
        <v>0.67</v>
      </c>
    </row>
    <row r="504" ht="15" spans="1:34">
      <c r="A504" s="65">
        <v>1970</v>
      </c>
      <c r="B504" s="6">
        <v>37</v>
      </c>
      <c r="C504" s="6">
        <v>32.3</v>
      </c>
      <c r="D504" s="6">
        <v>60</v>
      </c>
      <c r="E504" s="15">
        <v>13710000000</v>
      </c>
      <c r="F504" s="52" t="s">
        <v>126</v>
      </c>
      <c r="G504">
        <v>8.10512773387245</v>
      </c>
      <c r="H504" s="51">
        <v>62.1533971136695</v>
      </c>
      <c r="I504" s="16">
        <f>H504/G504</f>
        <v>7.66840439218766</v>
      </c>
      <c r="J504" s="6" t="s">
        <v>127</v>
      </c>
      <c r="K504" s="6">
        <v>27.41</v>
      </c>
      <c r="L504" s="6">
        <v>101.5575</v>
      </c>
      <c r="M504" s="6"/>
      <c r="N504" s="6"/>
      <c r="O504" s="6"/>
      <c r="P504" s="6"/>
      <c r="Q504" s="6">
        <v>49.25</v>
      </c>
      <c r="R504" s="6">
        <f>B504</f>
        <v>37</v>
      </c>
      <c r="S504" s="19">
        <f>B504/Q504-1</f>
        <v>-0.248730964467005</v>
      </c>
      <c r="T504" s="14">
        <v>-0.123405398146905</v>
      </c>
      <c r="U504" s="16">
        <v>-0.517837358741414</v>
      </c>
      <c r="V504" s="14">
        <v>-0.231617647058824</v>
      </c>
      <c r="W504" s="31" t="s">
        <v>126</v>
      </c>
      <c r="X504" s="4">
        <v>-1.73</v>
      </c>
      <c r="Y504" s="4" t="s">
        <v>1100</v>
      </c>
      <c r="Z504" s="4"/>
      <c r="AA504" s="4"/>
      <c r="AB504" s="4"/>
      <c r="AC504" s="4"/>
      <c r="AD504" s="4">
        <v>0</v>
      </c>
      <c r="AE504" s="4">
        <v>0</v>
      </c>
      <c r="AF504" s="4">
        <v>2.07</v>
      </c>
      <c r="AG504" s="4">
        <v>1.69</v>
      </c>
      <c r="AH504" s="4">
        <v>1.71</v>
      </c>
    </row>
    <row r="505" ht="14.25" hidden="1" spans="1:34">
      <c r="A505" s="37">
        <v>992</v>
      </c>
      <c r="B505" s="6">
        <v>4.75</v>
      </c>
      <c r="C505" s="6">
        <v>6.02</v>
      </c>
      <c r="D505" s="6">
        <v>14.3</v>
      </c>
      <c r="E505" s="15">
        <v>57098000000</v>
      </c>
      <c r="F505" s="47" t="s">
        <v>108</v>
      </c>
      <c r="G505">
        <v>5.47310709896966</v>
      </c>
      <c r="H505" s="23">
        <v>85.7010213556175</v>
      </c>
      <c r="I505" s="16">
        <f>H505/G505</f>
        <v>15.6585683060635</v>
      </c>
      <c r="J505" s="6">
        <v>3.42</v>
      </c>
      <c r="K505" s="6">
        <v>0.206388975884747</v>
      </c>
      <c r="L505" s="6">
        <v>10.994</v>
      </c>
      <c r="M505" s="6">
        <v>10.56</v>
      </c>
      <c r="N505" s="6"/>
      <c r="O505" s="6"/>
      <c r="P505" s="6"/>
      <c r="Q505" s="6">
        <v>6.36</v>
      </c>
      <c r="R505" s="6">
        <f>B505</f>
        <v>4.75</v>
      </c>
      <c r="S505" s="19">
        <f>B505/Q505-1</f>
        <v>-0.25314465408805</v>
      </c>
      <c r="T505" s="14">
        <v>-0.0998865535994742</v>
      </c>
      <c r="U505" s="14">
        <v>-0.0289832345862509</v>
      </c>
      <c r="V505" s="14">
        <v>-0.584739783738239</v>
      </c>
      <c r="W505" s="31" t="s">
        <v>108</v>
      </c>
      <c r="X505" s="6">
        <v>0.64</v>
      </c>
      <c r="Y505" s="6"/>
      <c r="Z505" s="6"/>
      <c r="AA505" s="6"/>
      <c r="AB505" s="6"/>
      <c r="AD505" s="6">
        <v>0.0785399480167251</v>
      </c>
      <c r="AE505" s="6">
        <v>0.106565713639959</v>
      </c>
      <c r="AF505" s="4">
        <v>5.51</v>
      </c>
      <c r="AG505" s="4">
        <v>4.56</v>
      </c>
      <c r="AH505" s="4">
        <v>4.52</v>
      </c>
    </row>
    <row r="506" ht="14.25" hidden="1" spans="1:34">
      <c r="A506" s="38">
        <v>969</v>
      </c>
      <c r="B506" s="4">
        <v>0.26</v>
      </c>
      <c r="C506" s="4">
        <v>0.23</v>
      </c>
      <c r="D506" s="4">
        <v>0.75</v>
      </c>
      <c r="E506" s="13">
        <v>624500000</v>
      </c>
      <c r="F506" s="46" t="s">
        <v>1101</v>
      </c>
      <c r="G506">
        <v>11.5357395612173</v>
      </c>
      <c r="H506" s="56">
        <v>65.371258475277</v>
      </c>
      <c r="I506" s="14">
        <f>H506/G506</f>
        <v>5.66684590340898</v>
      </c>
      <c r="J506" s="4">
        <v>1.42</v>
      </c>
      <c r="K506" s="4">
        <v>1.7915309446254</v>
      </c>
      <c r="L506" s="4"/>
      <c r="M506" s="4"/>
      <c r="N506" s="4"/>
      <c r="O506" s="4"/>
      <c r="P506" s="4"/>
      <c r="Q506" s="4">
        <v>0.35</v>
      </c>
      <c r="R506" s="61">
        <f>B506</f>
        <v>0.26</v>
      </c>
      <c r="S506" s="18">
        <f>B506/Q506-1</f>
        <v>-0.257142857142857</v>
      </c>
      <c r="T506" s="14">
        <v>1.6551724137931</v>
      </c>
      <c r="U506" s="14">
        <v>6.7</v>
      </c>
      <c r="V506" s="14">
        <v>0</v>
      </c>
      <c r="W506" s="31" t="s">
        <v>1101</v>
      </c>
      <c r="X506" s="4">
        <v>0</v>
      </c>
      <c r="Y506" s="4"/>
      <c r="Z506" s="4"/>
      <c r="AA506" s="4"/>
      <c r="AB506" s="4"/>
      <c r="AC506" s="4"/>
      <c r="AD506" s="4"/>
      <c r="AE506" s="4"/>
      <c r="AF506" s="4">
        <v>0.09</v>
      </c>
      <c r="AG506" s="4">
        <v>0.111</v>
      </c>
      <c r="AH506" s="4">
        <v>0.117</v>
      </c>
    </row>
    <row r="507" ht="15" hidden="1" spans="1:34">
      <c r="A507" s="37">
        <v>815</v>
      </c>
      <c r="B507" s="6">
        <v>1.45</v>
      </c>
      <c r="C507" s="6">
        <v>1.06</v>
      </c>
      <c r="D507" s="6">
        <v>6.4</v>
      </c>
      <c r="E507" s="15">
        <v>2327000000</v>
      </c>
      <c r="F507" s="53" t="s">
        <v>187</v>
      </c>
      <c r="G507">
        <v>2.06639898149055</v>
      </c>
      <c r="H507" s="29">
        <v>103.458799593082</v>
      </c>
      <c r="I507" s="16">
        <f>H507/G507</f>
        <v>50.06719443815</v>
      </c>
      <c r="J507" s="6">
        <v>1.41</v>
      </c>
      <c r="K507" s="6">
        <v>1.75485015108127</v>
      </c>
      <c r="L507" s="6">
        <v>7.9117</v>
      </c>
      <c r="M507" s="6">
        <v>5.719</v>
      </c>
      <c r="N507" s="6"/>
      <c r="O507" s="6"/>
      <c r="P507" s="6"/>
      <c r="Q507" s="6">
        <v>1.96</v>
      </c>
      <c r="R507" s="6">
        <f>B507</f>
        <v>1.45</v>
      </c>
      <c r="S507" s="19">
        <f>B507/Q507-1</f>
        <v>-0.260204081632653</v>
      </c>
      <c r="T507" s="14">
        <v>0.00135464643727993</v>
      </c>
      <c r="U507" s="14">
        <v>0.560481317289424</v>
      </c>
      <c r="V507" s="14">
        <v>-0.89650974025974</v>
      </c>
      <c r="W507" s="31" t="s">
        <v>187</v>
      </c>
      <c r="X507" s="6">
        <v>0</v>
      </c>
      <c r="Y507" s="6"/>
      <c r="Z507" s="6"/>
      <c r="AC507" s="6"/>
      <c r="AD507" s="4">
        <v>0.5</v>
      </c>
      <c r="AE507" s="6">
        <v>0.821782178217822</v>
      </c>
      <c r="AF507" s="4">
        <v>1.73</v>
      </c>
      <c r="AG507" s="4">
        <v>1.7</v>
      </c>
      <c r="AH507" s="4">
        <v>1.3</v>
      </c>
    </row>
    <row r="508" ht="14.25" hidden="1" spans="1:34">
      <c r="A508" s="38">
        <v>3963</v>
      </c>
      <c r="B508" s="4">
        <v>1.54</v>
      </c>
      <c r="C508" s="4">
        <v>2</v>
      </c>
      <c r="D508" s="4">
        <v>3.08</v>
      </c>
      <c r="E508" s="13">
        <v>660000000</v>
      </c>
      <c r="F508" s="46" t="s">
        <v>1102</v>
      </c>
      <c r="G508">
        <v>24.0237046041635</v>
      </c>
      <c r="H508" s="23">
        <v>100</v>
      </c>
      <c r="I508" s="14">
        <f>H508/G508</f>
        <v>4.16255534471853</v>
      </c>
      <c r="J508" s="4">
        <v>1.08</v>
      </c>
      <c r="K508" s="4">
        <v>12.8731</v>
      </c>
      <c r="Q508" s="32">
        <v>2.11</v>
      </c>
      <c r="R508" s="6">
        <f>B508</f>
        <v>1.54</v>
      </c>
      <c r="S508" s="19">
        <f>B508/Q508-1</f>
        <v>-0.270142180094787</v>
      </c>
      <c r="T508" s="14">
        <v>0.928571428571429</v>
      </c>
      <c r="U508" s="14">
        <v>0</v>
      </c>
      <c r="V508" s="16">
        <v>-0.771604938271605</v>
      </c>
      <c r="W508" s="31" t="s">
        <v>1102</v>
      </c>
      <c r="X508" s="6">
        <v>-2.53</v>
      </c>
      <c r="AA508" s="4">
        <v>4000</v>
      </c>
      <c r="AD508" s="6">
        <v>0</v>
      </c>
      <c r="AE508" s="4">
        <v>0</v>
      </c>
      <c r="AF508" s="4">
        <v>7.622</v>
      </c>
      <c r="AG508" s="4">
        <v>5.367</v>
      </c>
      <c r="AH508" s="4">
        <v>5.83</v>
      </c>
    </row>
    <row r="509" hidden="1" spans="1:34">
      <c r="A509" s="37">
        <v>260</v>
      </c>
      <c r="B509" s="6">
        <v>0.156</v>
      </c>
      <c r="C509" s="6">
        <v>0.18</v>
      </c>
      <c r="D509" s="6">
        <v>0.76</v>
      </c>
      <c r="E509" s="15">
        <v>933200000</v>
      </c>
      <c r="F509" s="47" t="s">
        <v>83</v>
      </c>
      <c r="G509">
        <v>23.0769230769231</v>
      </c>
      <c r="H509" s="23">
        <v>85.8977933931924</v>
      </c>
      <c r="I509" s="16">
        <f>H509/G509</f>
        <v>3.722237713705</v>
      </c>
      <c r="J509" s="6">
        <v>0.89</v>
      </c>
      <c r="K509" s="6">
        <v>0.829249905767056</v>
      </c>
      <c r="L509" s="6"/>
      <c r="M509" s="6"/>
      <c r="N509" s="6"/>
      <c r="O509" s="6"/>
      <c r="Q509" s="6">
        <v>0.215</v>
      </c>
      <c r="R509" s="4">
        <f>B509</f>
        <v>0.156</v>
      </c>
      <c r="S509" s="18">
        <f>B509/Q509-1</f>
        <v>-0.274418604651163</v>
      </c>
      <c r="T509" s="16">
        <v>-0.667277726856095</v>
      </c>
      <c r="U509" s="14">
        <v>-0.439814814814815</v>
      </c>
      <c r="V509" s="16">
        <v>-0.5</v>
      </c>
      <c r="W509" s="31" t="s">
        <v>83</v>
      </c>
      <c r="X509" s="4">
        <v>0.645</v>
      </c>
      <c r="AA509" s="6"/>
      <c r="AB509" s="6"/>
      <c r="AC509" s="6"/>
      <c r="AD509" s="6">
        <v>0.488888888888889</v>
      </c>
      <c r="AE509" s="6">
        <v>0.822222222222222</v>
      </c>
      <c r="AF509" s="4">
        <v>4.374</v>
      </c>
      <c r="AG509" s="4">
        <v>3.54</v>
      </c>
      <c r="AH509" s="4">
        <v>4.51</v>
      </c>
    </row>
    <row r="510" hidden="1" spans="1:34">
      <c r="A510" s="38">
        <v>1087</v>
      </c>
      <c r="B510" s="4">
        <v>1.86</v>
      </c>
      <c r="C510" s="4">
        <v>0.98</v>
      </c>
      <c r="D510" s="4">
        <v>6.62</v>
      </c>
      <c r="E510" s="13">
        <v>1286000000</v>
      </c>
      <c r="F510" s="50" t="s">
        <v>1103</v>
      </c>
      <c r="G510">
        <v>35.4838709677419</v>
      </c>
      <c r="H510" s="56">
        <v>61.2903225806452</v>
      </c>
      <c r="I510" s="14">
        <f>H510/G510</f>
        <v>1.72727272727273</v>
      </c>
      <c r="J510" s="4">
        <v>1.71</v>
      </c>
      <c r="K510" s="4">
        <v>0.849416376366534</v>
      </c>
      <c r="L510" s="4">
        <v>36.2542</v>
      </c>
      <c r="M510" s="4">
        <v>33.45</v>
      </c>
      <c r="Q510" s="4">
        <v>2.6</v>
      </c>
      <c r="R510" s="61">
        <f>B510</f>
        <v>1.86</v>
      </c>
      <c r="S510" s="18">
        <f>B510/Q510-1</f>
        <v>-0.284615384615385</v>
      </c>
      <c r="T510" s="14">
        <v>0.544303797468354</v>
      </c>
      <c r="U510" s="14">
        <v>0.566333808844508</v>
      </c>
      <c r="V510" s="14">
        <v>0.277777777777778</v>
      </c>
      <c r="W510" s="62" t="s">
        <v>1103</v>
      </c>
      <c r="X510" s="4">
        <v>-3.12</v>
      </c>
      <c r="AF510" s="4">
        <v>0.275</v>
      </c>
      <c r="AG510" s="4">
        <v>0.305</v>
      </c>
      <c r="AH510" s="4">
        <v>0.325</v>
      </c>
    </row>
    <row r="511" ht="14.25" hidden="1" spans="1:34">
      <c r="A511" s="38">
        <v>1207</v>
      </c>
      <c r="B511" s="4">
        <v>0.207</v>
      </c>
      <c r="C511" s="4">
        <v>0.19</v>
      </c>
      <c r="D511" s="4">
        <v>0.97</v>
      </c>
      <c r="E511" s="13">
        <v>4915000000</v>
      </c>
      <c r="F511" s="46" t="s">
        <v>112</v>
      </c>
      <c r="G511">
        <v>5.31379009960989</v>
      </c>
      <c r="H511" s="25">
        <v>114.975170367823</v>
      </c>
      <c r="I511" s="14">
        <f>H511/G511</f>
        <v>21.6371306002966</v>
      </c>
      <c r="J511" s="4">
        <v>0.6</v>
      </c>
      <c r="K511" s="4">
        <v>1.49402390438247</v>
      </c>
      <c r="L511" s="4"/>
      <c r="M511" s="4"/>
      <c r="N511" s="4"/>
      <c r="O511" s="4"/>
      <c r="P511" s="4"/>
      <c r="Q511" s="4">
        <v>0.29</v>
      </c>
      <c r="R511" s="4">
        <f>B511</f>
        <v>0.207</v>
      </c>
      <c r="S511" s="18">
        <f>B511/Q511-1</f>
        <v>-0.286206896551724</v>
      </c>
      <c r="T511" s="16">
        <v>0.268872168829663</v>
      </c>
      <c r="U511" s="14">
        <v>0.355626326963907</v>
      </c>
      <c r="V511" s="14">
        <v>-0.389454450535108</v>
      </c>
      <c r="W511" s="31" t="s">
        <v>112</v>
      </c>
      <c r="X511" s="6">
        <v>-2.358</v>
      </c>
      <c r="Y511" s="4"/>
      <c r="Z511" s="4"/>
      <c r="AA511" s="4"/>
      <c r="AB511" s="4"/>
      <c r="AC511" s="4"/>
      <c r="AD511" s="4">
        <v>0.480769230769231</v>
      </c>
      <c r="AE511" s="6">
        <v>0.634615384615384</v>
      </c>
      <c r="AF511" s="4">
        <v>5.295</v>
      </c>
      <c r="AG511" s="4">
        <v>4.33</v>
      </c>
      <c r="AH511" s="4">
        <v>3.34</v>
      </c>
    </row>
    <row r="512" ht="15" spans="1:34">
      <c r="A512" s="37">
        <v>1326</v>
      </c>
      <c r="B512" s="6">
        <v>0.32</v>
      </c>
      <c r="C512" s="6">
        <v>0.23</v>
      </c>
      <c r="D512" s="6">
        <f>5.45/4</f>
        <v>1.3625</v>
      </c>
      <c r="E512" s="15">
        <v>858100000</v>
      </c>
      <c r="F512" s="53" t="s">
        <v>338</v>
      </c>
      <c r="G512">
        <v>26.562385253727</v>
      </c>
      <c r="H512" s="27">
        <v>140.615976900866</v>
      </c>
      <c r="I512" s="16">
        <f>H512/G512</f>
        <v>5.29380082239175</v>
      </c>
      <c r="J512" s="6">
        <v>3</v>
      </c>
      <c r="K512" s="6">
        <v>1.62337662337662</v>
      </c>
      <c r="L512" s="6"/>
      <c r="M512" s="6"/>
      <c r="N512" s="6"/>
      <c r="O512" s="6"/>
      <c r="P512" s="4"/>
      <c r="Q512" s="41">
        <v>0.45</v>
      </c>
      <c r="R512" s="41">
        <f>B512</f>
        <v>0.32</v>
      </c>
      <c r="S512" s="18">
        <f>B512/Q512-1</f>
        <v>-0.288888888888889</v>
      </c>
      <c r="T512" s="14">
        <v>0.6475935828877</v>
      </c>
      <c r="U512" s="14">
        <v>1.98546511627907</v>
      </c>
      <c r="V512" s="16">
        <v>-0.862706913339825</v>
      </c>
      <c r="W512" s="5" t="s">
        <v>338</v>
      </c>
      <c r="X512" s="4">
        <v>0</v>
      </c>
      <c r="Y512" s="61" t="s">
        <v>1104</v>
      </c>
      <c r="Z512" s="6">
        <v>1</v>
      </c>
      <c r="AA512" s="4">
        <v>72000</v>
      </c>
      <c r="AB512" s="4">
        <v>0.57</v>
      </c>
      <c r="AC512" s="4"/>
      <c r="AD512" s="6">
        <v>0</v>
      </c>
      <c r="AE512" s="4">
        <v>0</v>
      </c>
      <c r="AF512" s="4">
        <v>0.865</v>
      </c>
      <c r="AG512" s="4">
        <v>0.954</v>
      </c>
      <c r="AH512" s="4">
        <v>1.21</v>
      </c>
    </row>
    <row r="513" ht="15" spans="1:31">
      <c r="A513" s="41">
        <v>1322</v>
      </c>
      <c r="B513" s="6">
        <v>1.57</v>
      </c>
      <c r="C513" s="6">
        <v>1.7</v>
      </c>
      <c r="D513" s="6">
        <v>7.25</v>
      </c>
      <c r="E513" s="15">
        <v>1222000000</v>
      </c>
      <c r="F513" s="53" t="s">
        <v>653</v>
      </c>
      <c r="G513">
        <v>3.1852066995837</v>
      </c>
      <c r="H513" s="27">
        <v>159.87525987526</v>
      </c>
      <c r="I513" s="16">
        <f>H513/G513</f>
        <v>50.1930565122055</v>
      </c>
      <c r="J513" s="6">
        <v>1.19</v>
      </c>
      <c r="K513" s="6">
        <v>0.627298291152931</v>
      </c>
      <c r="L513" s="6">
        <v>5.2433</v>
      </c>
      <c r="M513" s="6">
        <v>4.495</v>
      </c>
      <c r="N513" s="6"/>
      <c r="O513" s="6"/>
      <c r="Q513" s="6">
        <v>2.22</v>
      </c>
      <c r="R513" s="4">
        <f>B513</f>
        <v>1.57</v>
      </c>
      <c r="S513" s="18">
        <f>B513/Q513-1</f>
        <v>-0.292792792792793</v>
      </c>
      <c r="T513" s="16">
        <v>-0.667454921667159</v>
      </c>
      <c r="U513" s="16">
        <v>-0.812687312687313</v>
      </c>
      <c r="V513" s="14">
        <v>0.568</v>
      </c>
      <c r="W513" s="31" t="s">
        <v>653</v>
      </c>
      <c r="X513" s="4">
        <v>0.64</v>
      </c>
      <c r="Y513" s="61" t="s">
        <v>1105</v>
      </c>
      <c r="AD513" s="4">
        <v>0.414285714285714</v>
      </c>
      <c r="AE513" s="4">
        <v>0.603571428571429</v>
      </c>
    </row>
    <row r="514" ht="15" hidden="1" spans="1:34">
      <c r="A514" s="38">
        <v>8121</v>
      </c>
      <c r="B514" s="4">
        <v>0.152</v>
      </c>
      <c r="C514" s="4">
        <v>0.16</v>
      </c>
      <c r="D514" s="4">
        <v>3.59</v>
      </c>
      <c r="E514" s="13">
        <v>261800000</v>
      </c>
      <c r="F514" s="46" t="s">
        <v>1106</v>
      </c>
      <c r="G514">
        <v>11.1845318980754</v>
      </c>
      <c r="H514" s="26">
        <v>126.973534885832</v>
      </c>
      <c r="I514" s="14">
        <f>H514/G514</f>
        <v>11.352601614707</v>
      </c>
      <c r="J514" s="4">
        <v>2.79</v>
      </c>
      <c r="K514" s="4">
        <v>2.1079258010118</v>
      </c>
      <c r="L514" s="4">
        <v>45.7118</v>
      </c>
      <c r="M514" s="4">
        <v>35.455</v>
      </c>
      <c r="N514" s="4"/>
      <c r="O514" s="4"/>
      <c r="P514" s="4"/>
      <c r="Q514" s="32">
        <v>0.215</v>
      </c>
      <c r="R514" s="6">
        <f>B514</f>
        <v>0.152</v>
      </c>
      <c r="S514" s="19">
        <f>B514/Q514-1</f>
        <v>-0.293023255813953</v>
      </c>
      <c r="T514" s="14">
        <v>-0.25</v>
      </c>
      <c r="U514" s="14">
        <v>1.25</v>
      </c>
      <c r="V514" s="14">
        <v>2.66666666666667</v>
      </c>
      <c r="W514" s="62" t="s">
        <v>1106</v>
      </c>
      <c r="X514" s="4">
        <v>6.294</v>
      </c>
      <c r="Y514" s="6"/>
      <c r="Z514" s="6"/>
      <c r="AA514" s="4"/>
      <c r="AB514" s="4"/>
      <c r="AC514" s="6"/>
      <c r="AD514" s="4">
        <v>0.28</v>
      </c>
      <c r="AE514" s="4">
        <v>0.68</v>
      </c>
      <c r="AF514" s="4">
        <v>0.348</v>
      </c>
      <c r="AG514" s="4">
        <v>0.576</v>
      </c>
      <c r="AH514" s="4">
        <v>1</v>
      </c>
    </row>
    <row r="515" ht="15" hidden="1" spans="1:34">
      <c r="A515" s="37">
        <v>8130</v>
      </c>
      <c r="B515" s="6">
        <v>0.275</v>
      </c>
      <c r="C515" s="6">
        <v>0.18</v>
      </c>
      <c r="D515" s="6">
        <v>0.75</v>
      </c>
      <c r="E515" s="15">
        <v>813000000</v>
      </c>
      <c r="F515" s="47" t="s">
        <v>214</v>
      </c>
      <c r="G515">
        <v>34.5455497519276</v>
      </c>
      <c r="H515" s="27">
        <v>81.8181818181818</v>
      </c>
      <c r="I515" s="16">
        <f>H515/G515</f>
        <v>2.36841452533597</v>
      </c>
      <c r="J515" s="6">
        <v>1.37</v>
      </c>
      <c r="K515" s="16">
        <v>8.99532710280373</v>
      </c>
      <c r="L515" s="6"/>
      <c r="M515" s="6"/>
      <c r="N515" s="6"/>
      <c r="O515" s="6"/>
      <c r="P515" s="6"/>
      <c r="Q515" s="6">
        <v>0.39</v>
      </c>
      <c r="R515" s="6">
        <f>B515</f>
        <v>0.275</v>
      </c>
      <c r="S515" s="19">
        <f>B515/Q515-1</f>
        <v>-0.294871794871795</v>
      </c>
      <c r="T515" s="14">
        <v>-0.692141506886308</v>
      </c>
      <c r="U515" s="16">
        <v>-0.321428571428571</v>
      </c>
      <c r="V515" s="16">
        <v>-0.986578947368421</v>
      </c>
      <c r="W515" s="31" t="s">
        <v>214</v>
      </c>
      <c r="X515" s="4">
        <v>0</v>
      </c>
      <c r="Y515" s="4"/>
      <c r="Z515" s="4"/>
      <c r="AA515" s="4"/>
      <c r="AB515" s="4"/>
      <c r="AC515" s="4"/>
      <c r="AD515" s="4">
        <v>0.174994023428162</v>
      </c>
      <c r="AE515" s="4">
        <v>0.274990608244254</v>
      </c>
      <c r="AG515" s="4">
        <v>3.605</v>
      </c>
      <c r="AH515" s="4">
        <v>2.7</v>
      </c>
    </row>
    <row r="516" ht="15" hidden="1" spans="1:34">
      <c r="A516" s="38">
        <v>863</v>
      </c>
      <c r="B516" s="4">
        <v>2.25</v>
      </c>
      <c r="C516" s="4">
        <v>2.46</v>
      </c>
      <c r="D516" s="4">
        <v>4.2</v>
      </c>
      <c r="E516" s="13">
        <v>622000000</v>
      </c>
      <c r="F516" s="45" t="s">
        <v>343</v>
      </c>
      <c r="G516">
        <v>4.00307190169915</v>
      </c>
      <c r="H516" s="25">
        <v>85.7700167193015</v>
      </c>
      <c r="I516" s="17">
        <f>H516/G516</f>
        <v>21.4260495003588</v>
      </c>
      <c r="J516" s="4">
        <v>1.47</v>
      </c>
      <c r="K516" s="4">
        <v>2.04267506670882</v>
      </c>
      <c r="L516" s="4">
        <v>14.9159</v>
      </c>
      <c r="M516" s="4">
        <v>15.399</v>
      </c>
      <c r="N516" s="4"/>
      <c r="O516" s="4"/>
      <c r="P516" s="4"/>
      <c r="Q516" s="4">
        <v>3.2</v>
      </c>
      <c r="R516" s="4">
        <f>B516</f>
        <v>2.25</v>
      </c>
      <c r="S516" s="18">
        <f>B516/Q516-1</f>
        <v>-0.296875</v>
      </c>
      <c r="T516" s="14">
        <v>0</v>
      </c>
      <c r="U516" s="14">
        <v>0</v>
      </c>
      <c r="V516" s="14">
        <v>0</v>
      </c>
      <c r="W516" s="31" t="s">
        <v>343</v>
      </c>
      <c r="X516" s="4">
        <v>-10</v>
      </c>
      <c r="Y516" s="4"/>
      <c r="Z516" s="4"/>
      <c r="AA516" s="6"/>
      <c r="AB516" s="6"/>
      <c r="AC516" s="4"/>
      <c r="AD516" s="4">
        <v>0.3</v>
      </c>
      <c r="AE516" s="4">
        <v>0.4</v>
      </c>
      <c r="AF516" s="4">
        <v>0.82</v>
      </c>
      <c r="AG516" s="4">
        <v>1.17</v>
      </c>
      <c r="AH516" s="4">
        <v>1.33</v>
      </c>
    </row>
    <row r="517" ht="15" hidden="1" spans="1:34">
      <c r="A517" s="22">
        <v>8271</v>
      </c>
      <c r="B517" s="6">
        <v>0.24</v>
      </c>
      <c r="C517" s="6">
        <v>0.28</v>
      </c>
      <c r="D517" s="6">
        <v>1.16</v>
      </c>
      <c r="E517" s="15">
        <v>402300000</v>
      </c>
      <c r="F517" s="53" t="s">
        <v>475</v>
      </c>
      <c r="G517">
        <v>4.58015267175572</v>
      </c>
      <c r="H517" s="27">
        <v>85.4255516410161</v>
      </c>
      <c r="I517" s="16">
        <f>H517/G517</f>
        <v>18.6512454416219</v>
      </c>
      <c r="J517" s="6">
        <v>0.49</v>
      </c>
      <c r="K517" s="16">
        <v>2.64681555004135</v>
      </c>
      <c r="L517" s="6">
        <v>15.2483</v>
      </c>
      <c r="M517" s="6">
        <v>16.429</v>
      </c>
      <c r="N517" s="6"/>
      <c r="O517" s="6"/>
      <c r="P517" s="6"/>
      <c r="Q517" s="6">
        <v>0.345</v>
      </c>
      <c r="R517" s="6">
        <f>B517</f>
        <v>0.24</v>
      </c>
      <c r="S517" s="19">
        <f>B517/Q517-1</f>
        <v>-0.304347826086957</v>
      </c>
      <c r="T517" s="14">
        <v>-1</v>
      </c>
      <c r="U517" s="14">
        <v>-1</v>
      </c>
      <c r="V517" s="14">
        <v>0</v>
      </c>
      <c r="W517" s="31" t="s">
        <v>475</v>
      </c>
      <c r="X517" s="4">
        <v>4.35</v>
      </c>
      <c r="Y517" s="6"/>
      <c r="Z517" s="6"/>
      <c r="AD517" s="4">
        <v>0.36231884057971</v>
      </c>
      <c r="AE517" s="4">
        <v>0.710144927536232</v>
      </c>
      <c r="AF517" s="4">
        <v>0.249</v>
      </c>
      <c r="AG517" s="4">
        <v>0.26</v>
      </c>
      <c r="AH517" s="4">
        <v>0.59</v>
      </c>
    </row>
    <row r="518" ht="15" hidden="1" spans="1:34">
      <c r="A518" s="38">
        <v>1019</v>
      </c>
      <c r="B518" s="4">
        <v>0.233</v>
      </c>
      <c r="C518" s="4">
        <v>0.23</v>
      </c>
      <c r="D518" s="4">
        <v>1.89</v>
      </c>
      <c r="E518" s="13">
        <v>3555500000</v>
      </c>
      <c r="F518" s="47" t="s">
        <v>1107</v>
      </c>
      <c r="G518">
        <v>9.87093517917658</v>
      </c>
      <c r="H518" s="27">
        <v>108.155533814866</v>
      </c>
      <c r="I518" s="14">
        <f>H518/G518</f>
        <v>10.9569693095572</v>
      </c>
      <c r="J518" s="4">
        <v>1.73</v>
      </c>
      <c r="K518" s="4">
        <v>1.10415293342122</v>
      </c>
      <c r="L518" s="4">
        <v>20.3293</v>
      </c>
      <c r="M518" s="4">
        <v>1.691</v>
      </c>
      <c r="N518" s="4"/>
      <c r="O518" s="4"/>
      <c r="P518" s="4"/>
      <c r="Q518" s="32">
        <v>0.335</v>
      </c>
      <c r="R518" s="6">
        <f>B518</f>
        <v>0.233</v>
      </c>
      <c r="S518" s="19">
        <f>B518/Q518-1</f>
        <v>-0.304477611940299</v>
      </c>
      <c r="T518" s="14">
        <v>-0.572508096437568</v>
      </c>
      <c r="U518" s="14">
        <v>-0.649805447470817</v>
      </c>
      <c r="V518" s="14">
        <v>9.02373737373737</v>
      </c>
      <c r="W518" s="62" t="s">
        <v>1107</v>
      </c>
      <c r="X518" s="4">
        <v>0</v>
      </c>
      <c r="Y518" s="4"/>
      <c r="Z518" s="4"/>
      <c r="AA518" s="6"/>
      <c r="AB518" s="6"/>
      <c r="AC518" s="6"/>
      <c r="AD518" s="4">
        <v>0</v>
      </c>
      <c r="AE518" s="4">
        <v>0</v>
      </c>
      <c r="AF518" s="4">
        <v>1.49</v>
      </c>
      <c r="AG518" s="4">
        <v>1.5</v>
      </c>
      <c r="AH518" s="4">
        <v>5.8</v>
      </c>
    </row>
    <row r="519" ht="14.25" hidden="1" spans="1:34">
      <c r="A519" s="37">
        <v>2009</v>
      </c>
      <c r="B519" s="6">
        <v>2.9</v>
      </c>
      <c r="C519" s="6">
        <v>4.01</v>
      </c>
      <c r="D519" s="6">
        <v>10.78</v>
      </c>
      <c r="E519" s="15">
        <v>29898000000</v>
      </c>
      <c r="F519" s="47" t="s">
        <v>499</v>
      </c>
      <c r="G519">
        <v>34.3099257702161</v>
      </c>
      <c r="H519" s="29">
        <v>12.410071942446</v>
      </c>
      <c r="I519" s="16">
        <f>H519/G519</f>
        <v>0.361705007045484</v>
      </c>
      <c r="J519" s="6">
        <v>0.62</v>
      </c>
      <c r="K519" s="6">
        <v>0.501125244350544</v>
      </c>
      <c r="L519" s="6">
        <v>7.7721</v>
      </c>
      <c r="M519" s="6">
        <v>6.431</v>
      </c>
      <c r="N519" s="6"/>
      <c r="O519" s="6"/>
      <c r="P519" s="6"/>
      <c r="Q519" s="6">
        <v>4.17</v>
      </c>
      <c r="R519" s="6">
        <f>B519</f>
        <v>2.9</v>
      </c>
      <c r="S519" s="19">
        <f>B519/Q519-1</f>
        <v>-0.304556354916067</v>
      </c>
      <c r="T519" s="14">
        <v>-0.312507368510406</v>
      </c>
      <c r="U519" s="16">
        <v>-0.47666253836627</v>
      </c>
      <c r="V519" s="14">
        <v>-0.487251437919929</v>
      </c>
      <c r="W519" s="31" t="s">
        <v>499</v>
      </c>
      <c r="X519" s="4">
        <v>-0.34</v>
      </c>
      <c r="Y519" s="6"/>
      <c r="Z519" s="6"/>
      <c r="AA519" s="4"/>
      <c r="AB519" s="4"/>
      <c r="AC519" s="6"/>
      <c r="AD519" s="6">
        <v>0.234732824427481</v>
      </c>
      <c r="AE519" s="6">
        <v>0.305343511450382</v>
      </c>
      <c r="AH519" s="4">
        <v>50</v>
      </c>
    </row>
    <row r="520" ht="14.25" hidden="1" spans="1:34">
      <c r="A520" s="38">
        <v>1991</v>
      </c>
      <c r="B520" s="4">
        <v>1.02</v>
      </c>
      <c r="C520" s="4">
        <v>0.41</v>
      </c>
      <c r="D520" s="4">
        <v>1.9</v>
      </c>
      <c r="E520" s="13">
        <v>732000000</v>
      </c>
      <c r="F520" s="46" t="s">
        <v>1108</v>
      </c>
      <c r="G520">
        <v>22.5466656339555</v>
      </c>
      <c r="H520" s="25">
        <v>73.5207357279195</v>
      </c>
      <c r="I520" s="14">
        <f>H520/G520</f>
        <v>3.26082521120979</v>
      </c>
      <c r="J520" s="4">
        <v>2.49</v>
      </c>
      <c r="K520" s="4">
        <v>2.71186440677966</v>
      </c>
      <c r="L520" s="4"/>
      <c r="M520" s="4"/>
      <c r="N520" s="4"/>
      <c r="O520" s="4"/>
      <c r="P520" s="4"/>
      <c r="Q520" s="4">
        <v>1.47</v>
      </c>
      <c r="R520" s="4">
        <f>B520</f>
        <v>1.02</v>
      </c>
      <c r="S520" s="18">
        <f>B520/Q520-1</f>
        <v>-0.306122448979592</v>
      </c>
      <c r="T520" s="14">
        <v>-0.142227255204318</v>
      </c>
      <c r="U520" s="14">
        <v>-0.281702076145512</v>
      </c>
      <c r="V520" s="14">
        <v>-0.3914215892812</v>
      </c>
      <c r="W520" s="31" t="s">
        <v>1108</v>
      </c>
      <c r="X520" s="4">
        <v>0.99</v>
      </c>
      <c r="Y520" s="4"/>
      <c r="Z520" s="4"/>
      <c r="AA520" s="4"/>
      <c r="AB520" s="4"/>
      <c r="AC520" s="4"/>
      <c r="AD520" s="4"/>
      <c r="AE520" s="4"/>
      <c r="AF520" s="4">
        <v>2.88</v>
      </c>
      <c r="AG520" s="4">
        <v>3.19</v>
      </c>
      <c r="AH520" s="4">
        <v>3.83</v>
      </c>
    </row>
    <row r="521" ht="15" hidden="1" spans="1:34">
      <c r="A521" s="38">
        <v>8363</v>
      </c>
      <c r="B521" s="4">
        <v>0.87</v>
      </c>
      <c r="C521" s="4">
        <v>0.73</v>
      </c>
      <c r="D521" s="4">
        <v>11.3</v>
      </c>
      <c r="E521" s="13">
        <v>200000000</v>
      </c>
      <c r="F521" s="46" t="s">
        <v>1109</v>
      </c>
      <c r="G521">
        <v>2.29604298974108</v>
      </c>
      <c r="H521" s="49">
        <v>73.550850399167</v>
      </c>
      <c r="I521" s="14">
        <f>H521/G521</f>
        <v>32.0337427164031</v>
      </c>
      <c r="J521" s="4">
        <v>7.04</v>
      </c>
      <c r="K521" s="4">
        <v>3.69221222463543</v>
      </c>
      <c r="L521" s="4"/>
      <c r="M521" s="4"/>
      <c r="N521" s="4"/>
      <c r="O521" s="4"/>
      <c r="P521" s="4"/>
      <c r="Q521" s="4">
        <v>1.26</v>
      </c>
      <c r="R521" s="61">
        <f>B521</f>
        <v>0.87</v>
      </c>
      <c r="S521" s="18">
        <f>B521/Q521-1</f>
        <v>-0.30952380952381</v>
      </c>
      <c r="T521" s="14">
        <v>0.183533447684391</v>
      </c>
      <c r="U521" s="14">
        <v>0.25</v>
      </c>
      <c r="V521" s="14">
        <v>-0.995652173913044</v>
      </c>
      <c r="W521" s="31" t="s">
        <v>1109</v>
      </c>
      <c r="X521" s="4">
        <v>0</v>
      </c>
      <c r="Y521" s="4"/>
      <c r="Z521" s="4"/>
      <c r="AA521" s="4"/>
      <c r="AB521" s="4"/>
      <c r="AC521" s="4"/>
      <c r="AD521" s="4"/>
      <c r="AE521" s="4"/>
      <c r="AF521" s="4">
        <v>0.059</v>
      </c>
      <c r="AG521" s="4">
        <v>0.058</v>
      </c>
      <c r="AH521" s="4">
        <v>0.305</v>
      </c>
    </row>
    <row r="522" ht="15" hidden="1" spans="1:34">
      <c r="A522" s="38">
        <v>803</v>
      </c>
      <c r="B522" s="4">
        <v>0.145</v>
      </c>
      <c r="C522" s="4">
        <v>0.15</v>
      </c>
      <c r="D522" s="4">
        <v>0.42</v>
      </c>
      <c r="E522" s="13">
        <v>1356000000</v>
      </c>
      <c r="F522" s="46" t="s">
        <v>97</v>
      </c>
      <c r="G522">
        <v>11.7239431149089</v>
      </c>
      <c r="H522" s="25">
        <v>75.8612806218455</v>
      </c>
      <c r="I522" s="17">
        <f>H522/G522</f>
        <v>6.47062851451192</v>
      </c>
      <c r="J522" s="4">
        <v>0.7</v>
      </c>
      <c r="K522" s="4">
        <v>1.06177606177606</v>
      </c>
      <c r="Q522" s="4">
        <v>0.211</v>
      </c>
      <c r="R522" s="4">
        <f>B522</f>
        <v>0.145</v>
      </c>
      <c r="S522" s="18">
        <f>B522/Q522-1</f>
        <v>-0.312796208530806</v>
      </c>
      <c r="T522" s="14">
        <v>-0.0626970227670752</v>
      </c>
      <c r="U522" s="16">
        <v>-0.0429184549356223</v>
      </c>
      <c r="V522" s="14">
        <v>-0.412556053811659</v>
      </c>
      <c r="W522" s="5" t="s">
        <v>97</v>
      </c>
      <c r="X522" s="4">
        <v>0</v>
      </c>
      <c r="AC522" s="6"/>
      <c r="AD522" s="4">
        <v>0.168478260869565</v>
      </c>
      <c r="AE522" s="4">
        <v>0.266304347826087</v>
      </c>
      <c r="AF522" s="4">
        <v>1.85</v>
      </c>
      <c r="AG522" s="4">
        <v>2.2</v>
      </c>
      <c r="AH522" s="4">
        <v>1.85</v>
      </c>
    </row>
    <row r="523" ht="15" hidden="1" spans="1:31">
      <c r="A523" s="41">
        <v>3836</v>
      </c>
      <c r="B523" s="4">
        <v>3.31</v>
      </c>
      <c r="C523" s="4">
        <v>2.96</v>
      </c>
      <c r="D523" s="4">
        <v>11.76</v>
      </c>
      <c r="E523" s="13">
        <v>5909000000</v>
      </c>
      <c r="F523" s="47" t="s">
        <v>1110</v>
      </c>
      <c r="G523">
        <v>0.901793677534437</v>
      </c>
      <c r="H523" s="26">
        <v>103.334688897926</v>
      </c>
      <c r="I523" s="14">
        <f>H523/G523</f>
        <v>114.587950073513</v>
      </c>
      <c r="J523" s="4">
        <v>1.08</v>
      </c>
      <c r="K523" s="4">
        <v>0.574222828422508</v>
      </c>
      <c r="L523" s="4">
        <v>11.0884</v>
      </c>
      <c r="M523" s="4">
        <v>6.966</v>
      </c>
      <c r="N523" s="4"/>
      <c r="O523" s="4"/>
      <c r="P523" s="4"/>
      <c r="Q523" s="32">
        <v>4.88</v>
      </c>
      <c r="R523" s="6">
        <f>B523</f>
        <v>3.31</v>
      </c>
      <c r="S523" s="19">
        <f>B523/Q523-1</f>
        <v>-0.32172131147541</v>
      </c>
      <c r="T523" s="14">
        <v>-0.187931475326004</v>
      </c>
      <c r="U523" s="14">
        <v>-0.258636788048553</v>
      </c>
      <c r="V523" s="14">
        <v>-0.736048278757347</v>
      </c>
      <c r="W523" s="31" t="s">
        <v>1110</v>
      </c>
      <c r="X523" s="6">
        <v>-0.6</v>
      </c>
      <c r="Y523" s="4"/>
      <c r="Z523" s="4"/>
      <c r="AA523" s="6"/>
      <c r="AB523" s="6"/>
      <c r="AC523" s="4"/>
      <c r="AD523" s="4">
        <v>0.365269461077844</v>
      </c>
      <c r="AE523" s="4">
        <v>0.409181636726547</v>
      </c>
    </row>
    <row r="524" ht="15" hidden="1" spans="1:31">
      <c r="A524" s="38">
        <v>745</v>
      </c>
      <c r="B524" s="4">
        <v>0.04</v>
      </c>
      <c r="C524" s="4">
        <v>0.038</v>
      </c>
      <c r="D524" s="4">
        <v>0.405</v>
      </c>
      <c r="E524" s="13">
        <v>461300000</v>
      </c>
      <c r="F524" s="45" t="s">
        <v>1111</v>
      </c>
      <c r="G524">
        <v>4.99714991449743</v>
      </c>
      <c r="H524" s="28">
        <v>127.479526842584</v>
      </c>
      <c r="I524" s="14">
        <f>H524/G524</f>
        <v>25.5104467594114</v>
      </c>
      <c r="J524" s="4">
        <v>0.52</v>
      </c>
      <c r="K524" s="4">
        <v>32.3809523809523</v>
      </c>
      <c r="L524" s="4"/>
      <c r="M524" s="4"/>
      <c r="N524" s="4"/>
      <c r="O524" s="4"/>
      <c r="P524" s="4"/>
      <c r="Q524" s="33">
        <v>0.059</v>
      </c>
      <c r="R524" s="4">
        <f>B524</f>
        <v>0.04</v>
      </c>
      <c r="S524" s="18">
        <f>B524/Q524-1</f>
        <v>-0.322033898305085</v>
      </c>
      <c r="T524" s="14">
        <v>-0.449933253706176</v>
      </c>
      <c r="U524" s="14">
        <v>-0.629409258733314</v>
      </c>
      <c r="V524" s="14">
        <v>-0.485764647277465</v>
      </c>
      <c r="W524" s="34" t="s">
        <v>1111</v>
      </c>
      <c r="X524" s="4">
        <v>0</v>
      </c>
      <c r="Y524" s="4"/>
      <c r="Z524" s="4"/>
      <c r="AA524" s="4"/>
      <c r="AB524" s="4"/>
      <c r="AC524" s="4"/>
      <c r="AD524" s="6">
        <v>0.366197183098592</v>
      </c>
      <c r="AE524" s="6">
        <v>0.647887323943662</v>
      </c>
    </row>
    <row r="525" ht="15" hidden="1" spans="1:24">
      <c r="A525" s="38">
        <v>3344</v>
      </c>
      <c r="B525" s="4">
        <v>0.9</v>
      </c>
      <c r="C525" s="4">
        <v>0.88</v>
      </c>
      <c r="D525" s="4">
        <v>1.98</v>
      </c>
      <c r="E525" s="13">
        <v>338700000</v>
      </c>
      <c r="F525" s="46" t="s">
        <v>1112</v>
      </c>
      <c r="G525">
        <v>60.5553802461344</v>
      </c>
      <c r="H525" s="56">
        <v>114.454214025306</v>
      </c>
      <c r="I525" s="14">
        <f>H525/G525</f>
        <v>1.89007506120997</v>
      </c>
      <c r="J525" s="4">
        <v>0.82</v>
      </c>
      <c r="K525" s="4">
        <v>0.96910521713786</v>
      </c>
      <c r="Q525" s="4">
        <v>1.33</v>
      </c>
      <c r="R525" s="61">
        <f>B525</f>
        <v>0.9</v>
      </c>
      <c r="S525" s="18">
        <f>B525/Q525-1</f>
        <v>-0.323308270676692</v>
      </c>
      <c r="T525" s="14">
        <v>-0.294890695421423</v>
      </c>
      <c r="U525" s="14">
        <v>-0.0998548152927892</v>
      </c>
      <c r="V525" s="14">
        <v>-0.348924731182796</v>
      </c>
      <c r="W525" s="31" t="s">
        <v>1112</v>
      </c>
      <c r="X525" s="4">
        <v>-2.17</v>
      </c>
    </row>
    <row r="526" ht="15" hidden="1" spans="1:24">
      <c r="A526" s="38">
        <v>1236</v>
      </c>
      <c r="B526" s="4">
        <v>1.59</v>
      </c>
      <c r="C526" s="4">
        <v>1.18</v>
      </c>
      <c r="D526" s="4">
        <v>6.03</v>
      </c>
      <c r="E526" s="13">
        <v>2675000000</v>
      </c>
      <c r="F526" s="45" t="s">
        <v>1113</v>
      </c>
      <c r="G526">
        <v>30.8197855413352</v>
      </c>
      <c r="H526" s="28">
        <v>168.528464017186</v>
      </c>
      <c r="I526" s="14">
        <f>H526/G526</f>
        <v>5.46819067871699</v>
      </c>
      <c r="J526" s="4">
        <v>1.88</v>
      </c>
      <c r="K526" s="4">
        <v>11.7463723286791</v>
      </c>
      <c r="Q526" s="4">
        <v>2.35</v>
      </c>
      <c r="R526" s="4">
        <f>B526</f>
        <v>1.59</v>
      </c>
      <c r="S526" s="18">
        <f>B526/Q526-1</f>
        <v>-0.323404255319149</v>
      </c>
      <c r="T526" s="14">
        <v>1.10054636515404</v>
      </c>
      <c r="U526" s="14">
        <v>1.73068955312223</v>
      </c>
      <c r="V526" s="14">
        <v>-0.694483580795491</v>
      </c>
      <c r="W526" s="31" t="s">
        <v>1113</v>
      </c>
      <c r="X526" s="4">
        <v>-4.22</v>
      </c>
    </row>
    <row r="527" ht="15" hidden="1" spans="1:24">
      <c r="A527" s="43">
        <v>197</v>
      </c>
      <c r="B527" s="4">
        <v>0.26</v>
      </c>
      <c r="C527" s="4">
        <v>0.052</v>
      </c>
      <c r="D527" s="4">
        <v>0.495</v>
      </c>
      <c r="E527" s="13">
        <v>261100000</v>
      </c>
      <c r="F527" s="46" t="s">
        <v>1114</v>
      </c>
      <c r="G527">
        <v>4.2329055736449</v>
      </c>
      <c r="H527" s="49">
        <v>250.017500875044</v>
      </c>
      <c r="I527" s="14">
        <f>H527/G527</f>
        <v>59.0652204555929</v>
      </c>
      <c r="J527" s="4">
        <v>0.1</v>
      </c>
      <c r="K527" s="4">
        <v>0.183239677498167</v>
      </c>
      <c r="Q527" s="4">
        <v>0.385</v>
      </c>
      <c r="R527" s="61">
        <f>B527</f>
        <v>0.26</v>
      </c>
      <c r="S527" s="18">
        <f>B527/Q527-1</f>
        <v>-0.324675324675325</v>
      </c>
      <c r="T527" s="14">
        <v>-0.405229936880072</v>
      </c>
      <c r="U527" s="14">
        <v>0.590651992809225</v>
      </c>
      <c r="V527" s="14">
        <v>-0.54864490876013</v>
      </c>
      <c r="W527" s="31" t="s">
        <v>1114</v>
      </c>
      <c r="X527" s="4">
        <v>-1.89</v>
      </c>
    </row>
    <row r="528" ht="15" hidden="1" spans="1:31">
      <c r="A528" s="38">
        <v>2789</v>
      </c>
      <c r="B528" s="4">
        <v>0.201</v>
      </c>
      <c r="C528" s="4">
        <v>0.295</v>
      </c>
      <c r="D528" s="4">
        <v>0.79</v>
      </c>
      <c r="E528" s="13">
        <v>1334900000</v>
      </c>
      <c r="F528" s="46" t="s">
        <v>489</v>
      </c>
      <c r="G528">
        <v>5.96996680739828</v>
      </c>
      <c r="H528" s="25">
        <v>89.0537858020607</v>
      </c>
      <c r="I528" s="17">
        <f>H528/G528</f>
        <v>14.9169649807266</v>
      </c>
      <c r="J528" s="4">
        <v>0.45</v>
      </c>
      <c r="K528" s="4">
        <v>0.201741376899995</v>
      </c>
      <c r="L528" s="4">
        <v>60.1349</v>
      </c>
      <c r="M528" s="4">
        <v>57.692</v>
      </c>
      <c r="P528" s="6"/>
      <c r="Q528" s="4">
        <v>0.3</v>
      </c>
      <c r="R528" s="4">
        <f>B528</f>
        <v>0.201</v>
      </c>
      <c r="S528" s="18">
        <f>B528/Q528-1</f>
        <v>-0.33</v>
      </c>
      <c r="T528" s="16">
        <v>-0.269363166953528</v>
      </c>
      <c r="U528" s="16">
        <v>-0.57315233785822</v>
      </c>
      <c r="V528" s="14">
        <v>-0.210247349823322</v>
      </c>
      <c r="W528" s="31" t="s">
        <v>489</v>
      </c>
      <c r="X528" s="4">
        <v>-0.495</v>
      </c>
      <c r="AD528" s="4">
        <v>0.146067415730337</v>
      </c>
      <c r="AE528" s="4">
        <v>0.235955056179775</v>
      </c>
    </row>
    <row r="529" ht="15" hidden="1" spans="1:31">
      <c r="A529" s="43">
        <v>3326</v>
      </c>
      <c r="B529" s="4">
        <v>1.86</v>
      </c>
      <c r="C529" s="4">
        <v>1.12</v>
      </c>
      <c r="D529" s="4">
        <v>3.2</v>
      </c>
      <c r="E529" s="13">
        <v>968000000</v>
      </c>
      <c r="F529" s="45" t="s">
        <v>47</v>
      </c>
      <c r="G529">
        <v>39.7844282531463</v>
      </c>
      <c r="H529" s="28">
        <v>236.021505376344</v>
      </c>
      <c r="I529" s="17">
        <f>H529/G529</f>
        <v>5.93250967123497</v>
      </c>
      <c r="J529" s="43">
        <v>2.44</v>
      </c>
      <c r="K529" s="14">
        <v>13.8325</v>
      </c>
      <c r="L529" s="4"/>
      <c r="M529" s="4"/>
      <c r="N529" s="4"/>
      <c r="O529" s="4"/>
      <c r="P529" s="4"/>
      <c r="Q529" s="4">
        <v>2.78</v>
      </c>
      <c r="R529" s="4">
        <f>B529</f>
        <v>1.86</v>
      </c>
      <c r="S529" s="18">
        <f>B529/Q529-1</f>
        <v>-0.330935251798561</v>
      </c>
      <c r="T529" s="14">
        <v>0.681528662420382</v>
      </c>
      <c r="U529" s="14">
        <v>2.14285714285714</v>
      </c>
      <c r="V529" s="14">
        <v>-0.738636363636364</v>
      </c>
      <c r="W529" s="62" t="s">
        <v>47</v>
      </c>
      <c r="X529" s="4">
        <v>5.08</v>
      </c>
      <c r="Y529" s="4"/>
      <c r="Z529" s="4"/>
      <c r="AA529" s="4"/>
      <c r="AB529" s="4"/>
      <c r="AC529" s="4"/>
      <c r="AD529" s="6">
        <v>0</v>
      </c>
      <c r="AE529" s="4">
        <v>0</v>
      </c>
    </row>
    <row r="530" ht="15" hidden="1" spans="1:24">
      <c r="A530" s="43">
        <v>632</v>
      </c>
      <c r="B530" s="4">
        <v>0.28</v>
      </c>
      <c r="C530" s="4">
        <v>0.17</v>
      </c>
      <c r="D530" s="4">
        <v>0.74</v>
      </c>
      <c r="E530" s="13">
        <v>973700000</v>
      </c>
      <c r="F530" s="46" t="s">
        <v>1115</v>
      </c>
      <c r="G530">
        <v>12.5032811269577</v>
      </c>
      <c r="H530" s="49">
        <v>67.8697330871244</v>
      </c>
      <c r="I530" s="14">
        <f>H530/G530</f>
        <v>5.42815381002621</v>
      </c>
      <c r="J530" s="4">
        <v>0.74</v>
      </c>
      <c r="K530" s="4">
        <v>1075</v>
      </c>
      <c r="L530" s="4"/>
      <c r="M530" s="4"/>
      <c r="N530" s="4"/>
      <c r="O530" s="4"/>
      <c r="P530" s="4"/>
      <c r="Q530" s="4">
        <v>0.42</v>
      </c>
      <c r="R530" s="61">
        <f>B530</f>
        <v>0.28</v>
      </c>
      <c r="S530" s="18">
        <f>B530/Q530-1</f>
        <v>-0.333333333333333</v>
      </c>
      <c r="T530" s="14">
        <v>0.320172290021536</v>
      </c>
      <c r="U530" s="14">
        <v>-0.105109489051095</v>
      </c>
      <c r="V530" s="14">
        <v>-0.954866775421425</v>
      </c>
      <c r="W530" s="31" t="s">
        <v>1115</v>
      </c>
      <c r="X530" s="4">
        <v>-1.75</v>
      </c>
    </row>
    <row r="531" ht="15" hidden="1" spans="1:31">
      <c r="A531" s="37">
        <v>926</v>
      </c>
      <c r="B531" s="6">
        <v>0.54</v>
      </c>
      <c r="C531" s="6">
        <v>0.48</v>
      </c>
      <c r="D531" s="6">
        <v>1.7</v>
      </c>
      <c r="E531" s="15">
        <v>860000000</v>
      </c>
      <c r="F531" s="47" t="s">
        <v>690</v>
      </c>
      <c r="G531">
        <v>11.1111111111111</v>
      </c>
      <c r="H531" s="27">
        <v>90.7304978065993</v>
      </c>
      <c r="I531" s="16">
        <f>H531/G531</f>
        <v>8.16574480259393</v>
      </c>
      <c r="J531" s="6">
        <v>0.87</v>
      </c>
      <c r="K531" s="6">
        <v>1.37140509297337</v>
      </c>
      <c r="L531" s="6">
        <v>22.2614</v>
      </c>
      <c r="M531" s="6">
        <v>22.011</v>
      </c>
      <c r="N531" s="6"/>
      <c r="O531" s="6"/>
      <c r="P531" s="6"/>
      <c r="Q531" s="6">
        <v>0.81</v>
      </c>
      <c r="R531" s="6">
        <f>B531</f>
        <v>0.54</v>
      </c>
      <c r="S531" s="19">
        <f>B531/Q531-1</f>
        <v>-0.333333333333333</v>
      </c>
      <c r="T531" s="14">
        <v>-0.876005468476775</v>
      </c>
      <c r="U531" s="14">
        <v>-0.937469937469937</v>
      </c>
      <c r="V531" s="14">
        <v>4.57692307692308</v>
      </c>
      <c r="W531" s="31" t="s">
        <v>690</v>
      </c>
      <c r="X531" s="6">
        <v>0</v>
      </c>
      <c r="Y531" s="4"/>
      <c r="Z531" s="4"/>
      <c r="AA531" s="4"/>
      <c r="AB531" s="4"/>
      <c r="AC531" s="4"/>
      <c r="AD531" s="6">
        <v>0.320994606499731</v>
      </c>
      <c r="AE531" s="6">
        <v>0.358035814844014</v>
      </c>
    </row>
    <row r="532" ht="15" hidden="1" spans="1:31">
      <c r="A532" s="41">
        <v>1661</v>
      </c>
      <c r="B532" s="6">
        <v>2.55</v>
      </c>
      <c r="C532" s="6">
        <v>2.64</v>
      </c>
      <c r="D532" s="6">
        <v>8.82</v>
      </c>
      <c r="E532" s="15">
        <v>4184000000</v>
      </c>
      <c r="F532" s="57" t="s">
        <v>513</v>
      </c>
      <c r="G532">
        <v>18.4339314845024</v>
      </c>
      <c r="H532" s="27">
        <v>118.054949847362</v>
      </c>
      <c r="I532" s="16">
        <f>H532/G532</f>
        <v>6.404219845702</v>
      </c>
      <c r="J532" s="6">
        <v>4.36</v>
      </c>
      <c r="K532" s="6">
        <v>7.98247090013591</v>
      </c>
      <c r="L532" s="6">
        <v>18.1918</v>
      </c>
      <c r="M532" s="6">
        <v>18.056</v>
      </c>
      <c r="N532" s="6"/>
      <c r="O532" s="6"/>
      <c r="P532" s="6"/>
      <c r="Q532" s="6">
        <v>3.9</v>
      </c>
      <c r="R532" s="6">
        <f>B532</f>
        <v>2.55</v>
      </c>
      <c r="S532" s="19">
        <f>B532/Q532-1</f>
        <v>-0.346153846153846</v>
      </c>
      <c r="T532" s="14">
        <v>-0.0346001134429949</v>
      </c>
      <c r="U532" s="14">
        <v>0.0813214739517154</v>
      </c>
      <c r="V532" s="14">
        <v>0.0992949471210341</v>
      </c>
      <c r="W532" s="31" t="s">
        <v>513</v>
      </c>
      <c r="X532" s="6">
        <v>0</v>
      </c>
      <c r="Y532" s="4"/>
      <c r="Z532" s="4"/>
      <c r="AA532" s="4"/>
      <c r="AB532" s="4"/>
      <c r="AC532" s="6"/>
      <c r="AD532" s="6">
        <v>0.379421221864952</v>
      </c>
      <c r="AE532" s="4">
        <v>0.569131832797428</v>
      </c>
    </row>
    <row r="533" ht="15" hidden="1" spans="1:24">
      <c r="A533" s="43">
        <v>943</v>
      </c>
      <c r="B533" s="4">
        <v>0.099</v>
      </c>
      <c r="C533" s="4">
        <v>0.071</v>
      </c>
      <c r="D533" s="4">
        <v>1.8</v>
      </c>
      <c r="E533" s="13">
        <v>165900000</v>
      </c>
      <c r="F533" s="46" t="s">
        <v>1116</v>
      </c>
      <c r="G533">
        <v>28.2830238745813</v>
      </c>
      <c r="H533" s="28">
        <v>687.89788843366</v>
      </c>
      <c r="I533" s="14">
        <f>H533/G533</f>
        <v>24.321935712535</v>
      </c>
      <c r="J533" s="4">
        <v>0.27</v>
      </c>
      <c r="K533" s="4">
        <v>0.886150234741784</v>
      </c>
      <c r="L533" s="4"/>
      <c r="M533" s="4"/>
      <c r="N533" s="4"/>
      <c r="O533" s="4"/>
      <c r="P533" s="4"/>
      <c r="Q533" s="4">
        <v>0.152</v>
      </c>
      <c r="R533" s="4">
        <f>B533</f>
        <v>0.099</v>
      </c>
      <c r="S533" s="18">
        <f>B533/Q533-1</f>
        <v>-0.348684210526316</v>
      </c>
      <c r="T533" s="14">
        <v>-0.890946175299991</v>
      </c>
      <c r="U533" s="14">
        <v>-0.957917052067953</v>
      </c>
      <c r="V533" s="14">
        <v>-0.590443686006826</v>
      </c>
      <c r="W533" s="31" t="s">
        <v>1116</v>
      </c>
      <c r="X533" s="4">
        <v>-1.98</v>
      </c>
    </row>
    <row r="534" ht="15" hidden="1" spans="1:31">
      <c r="A534" s="37">
        <v>1327</v>
      </c>
      <c r="B534" s="6">
        <v>0.145</v>
      </c>
      <c r="C534" s="6">
        <v>0.216</v>
      </c>
      <c r="D534" s="6">
        <v>0.96</v>
      </c>
      <c r="E534" s="15">
        <v>542600000</v>
      </c>
      <c r="F534" s="53" t="s">
        <v>319</v>
      </c>
      <c r="G534">
        <v>43.4481900593228</v>
      </c>
      <c r="H534" s="27">
        <v>107.116523756265</v>
      </c>
      <c r="I534" s="16">
        <f>H534/G534</f>
        <v>2.4653851773805</v>
      </c>
      <c r="J534" s="6">
        <v>0.34</v>
      </c>
      <c r="K534" s="6">
        <v>0.180985132680118</v>
      </c>
      <c r="L534" s="6">
        <v>1.784</v>
      </c>
      <c r="M534" s="6">
        <v>0.997</v>
      </c>
      <c r="N534" s="6"/>
      <c r="O534" s="6"/>
      <c r="P534" s="6"/>
      <c r="Q534" s="6">
        <v>0.223</v>
      </c>
      <c r="R534" s="6">
        <f>B534</f>
        <v>0.145</v>
      </c>
      <c r="S534" s="19">
        <f>B534/Q534-1</f>
        <v>-0.349775784753363</v>
      </c>
      <c r="T534" s="14">
        <v>0.310320901994796</v>
      </c>
      <c r="U534" s="16">
        <v>1.25223613595707</v>
      </c>
      <c r="V534" s="16">
        <v>0.0571882446386021</v>
      </c>
      <c r="W534" s="5" t="s">
        <v>319</v>
      </c>
      <c r="X534" s="6">
        <v>-2.027</v>
      </c>
      <c r="Y534" s="6"/>
      <c r="Z534" s="6"/>
      <c r="AA534" s="4"/>
      <c r="AB534" s="4"/>
      <c r="AC534" s="4"/>
      <c r="AD534" s="6">
        <v>0.285714285714286</v>
      </c>
      <c r="AE534" s="4">
        <v>0.380952380952381</v>
      </c>
    </row>
    <row r="535" ht="15" spans="1:31">
      <c r="A535" s="37">
        <v>8172</v>
      </c>
      <c r="B535" s="6">
        <v>0.52</v>
      </c>
      <c r="C535" s="6">
        <v>0.29</v>
      </c>
      <c r="D535" s="6">
        <v>2.29</v>
      </c>
      <c r="E535" s="15">
        <v>1464000000</v>
      </c>
      <c r="F535" s="53" t="s">
        <v>192</v>
      </c>
      <c r="G535">
        <v>23.0769230769231</v>
      </c>
      <c r="H535" s="27">
        <v>111.550666384599</v>
      </c>
      <c r="I535" s="16">
        <f>H535/G535</f>
        <v>4.83386220999929</v>
      </c>
      <c r="J535" s="6">
        <v>2.48</v>
      </c>
      <c r="K535" s="16">
        <v>172.916666666666</v>
      </c>
      <c r="L535" s="6"/>
      <c r="M535" s="6"/>
      <c r="N535" s="6"/>
      <c r="O535" s="6"/>
      <c r="P535" s="6"/>
      <c r="Q535" s="6">
        <v>0.8</v>
      </c>
      <c r="R535" s="6">
        <f>B535</f>
        <v>0.52</v>
      </c>
      <c r="S535" s="19">
        <f>B535/Q535-1</f>
        <v>-0.35</v>
      </c>
      <c r="T535" s="16">
        <v>-0.763157894736842</v>
      </c>
      <c r="U535" s="16">
        <v>-0.896551724137931</v>
      </c>
      <c r="V535" s="14">
        <v>0.666666666666667</v>
      </c>
      <c r="W535" s="31" t="s">
        <v>192</v>
      </c>
      <c r="X535" s="6">
        <v>2</v>
      </c>
      <c r="Y535" s="61" t="s">
        <v>901</v>
      </c>
      <c r="AD535" s="4">
        <v>0.64</v>
      </c>
      <c r="AE535" s="4">
        <v>0.71</v>
      </c>
    </row>
    <row r="536" ht="15" hidden="1" spans="1:31">
      <c r="A536" s="37">
        <v>587</v>
      </c>
      <c r="B536" s="6">
        <v>0.53</v>
      </c>
      <c r="C536" s="6">
        <v>0.79</v>
      </c>
      <c r="D536" s="6">
        <v>2.52</v>
      </c>
      <c r="E536" s="15">
        <v>3814000000</v>
      </c>
      <c r="F536" s="47" t="s">
        <v>570</v>
      </c>
      <c r="G536">
        <v>21.6975961162008</v>
      </c>
      <c r="H536" s="27">
        <v>133.972859148339</v>
      </c>
      <c r="I536" s="16">
        <f>H536/G536</f>
        <v>6.17454848135487</v>
      </c>
      <c r="J536" s="6">
        <v>0.73</v>
      </c>
      <c r="K536" s="6">
        <v>3.30188679245282</v>
      </c>
      <c r="L536" s="6">
        <v>9.5738</v>
      </c>
      <c r="M536" s="6">
        <v>6.371</v>
      </c>
      <c r="N536" s="6"/>
      <c r="O536" s="6"/>
      <c r="P536" s="4"/>
      <c r="Q536" s="6">
        <v>0.82</v>
      </c>
      <c r="R536" s="4">
        <f>B536</f>
        <v>0.53</v>
      </c>
      <c r="S536" s="18">
        <f>B536/Q536-1</f>
        <v>-0.353658536585366</v>
      </c>
      <c r="T536" s="16">
        <v>0</v>
      </c>
      <c r="U536" s="14">
        <v>0</v>
      </c>
      <c r="V536" s="16">
        <v>0</v>
      </c>
      <c r="W536" s="31" t="s">
        <v>570</v>
      </c>
      <c r="X536" s="4">
        <v>0</v>
      </c>
      <c r="Y536" s="4"/>
      <c r="Z536" s="4"/>
      <c r="AA536" s="4"/>
      <c r="AB536" s="4"/>
      <c r="AC536" s="6"/>
      <c r="AD536" s="4">
        <v>0.265309749315269</v>
      </c>
      <c r="AE536" s="4">
        <v>0.346944322482176</v>
      </c>
    </row>
    <row r="537" ht="15" hidden="1" spans="1:31">
      <c r="A537" s="38">
        <v>827</v>
      </c>
      <c r="B537" s="4">
        <v>0.226</v>
      </c>
      <c r="C537" s="4">
        <v>0.35</v>
      </c>
      <c r="D537" s="4">
        <v>2.85</v>
      </c>
      <c r="E537" s="13">
        <v>1136400000</v>
      </c>
      <c r="F537" s="46" t="s">
        <v>13</v>
      </c>
      <c r="G537">
        <v>56.1947232163586</v>
      </c>
      <c r="H537" s="23">
        <v>209.731772285201</v>
      </c>
      <c r="I537" s="14">
        <f>H537/G537</f>
        <v>3.73223249944128</v>
      </c>
      <c r="J537" s="4">
        <v>0.79</v>
      </c>
      <c r="K537" s="4">
        <v>0.750173055546751</v>
      </c>
      <c r="Q537" s="4">
        <v>0.35</v>
      </c>
      <c r="R537" s="4">
        <f>B537</f>
        <v>0.226</v>
      </c>
      <c r="S537" s="18">
        <f>B537/Q537-1</f>
        <v>-0.354285714285714</v>
      </c>
      <c r="T537" s="16">
        <v>-0.381392279775652</v>
      </c>
      <c r="U537" s="14">
        <v>-0.627199522815389</v>
      </c>
      <c r="V537" s="16">
        <v>-0.4632</v>
      </c>
      <c r="W537" s="31" t="s">
        <v>13</v>
      </c>
      <c r="X537" s="4">
        <v>-1.739</v>
      </c>
      <c r="AC537" s="6"/>
      <c r="AD537" s="4">
        <v>0.363636363636364</v>
      </c>
      <c r="AE537" s="4">
        <v>0.568181818181818</v>
      </c>
    </row>
    <row r="538" ht="15" hidden="1" spans="1:31">
      <c r="A538" s="38">
        <v>1341</v>
      </c>
      <c r="B538" s="4">
        <v>0.79</v>
      </c>
      <c r="C538" s="4">
        <v>0.48</v>
      </c>
      <c r="D538" s="4">
        <v>1.42</v>
      </c>
      <c r="E538" s="13">
        <v>890000000</v>
      </c>
      <c r="F538" s="45" t="s">
        <v>1117</v>
      </c>
      <c r="G538">
        <v>39.2392757321667</v>
      </c>
      <c r="H538" s="28">
        <v>145.579567779961</v>
      </c>
      <c r="I538" s="14">
        <f>H538/G538</f>
        <v>3.7100472693134</v>
      </c>
      <c r="J538" s="4">
        <v>3.96</v>
      </c>
      <c r="K538" s="4">
        <v>48.5118</v>
      </c>
      <c r="Q538" s="33">
        <v>1.24</v>
      </c>
      <c r="R538" s="4">
        <f>B538</f>
        <v>0.79</v>
      </c>
      <c r="S538" s="18">
        <f>B538/Q538-1</f>
        <v>-0.362903225806452</v>
      </c>
      <c r="T538" s="14">
        <v>0</v>
      </c>
      <c r="U538" s="14">
        <v>0</v>
      </c>
      <c r="V538" s="14">
        <v>0</v>
      </c>
      <c r="W538" s="90" t="s">
        <v>1117</v>
      </c>
      <c r="X538" s="4">
        <v>-1.25</v>
      </c>
      <c r="AD538" s="6">
        <v>0</v>
      </c>
      <c r="AE538" s="4">
        <v>0</v>
      </c>
    </row>
    <row r="539" ht="15" hidden="1" spans="1:31">
      <c r="A539" s="38">
        <v>726</v>
      </c>
      <c r="B539" s="4">
        <v>0.28</v>
      </c>
      <c r="C539" s="4">
        <v>0.11</v>
      </c>
      <c r="D539" s="4">
        <v>1.32</v>
      </c>
      <c r="E539" s="13">
        <v>3062900000</v>
      </c>
      <c r="F539" s="46" t="s">
        <v>340</v>
      </c>
      <c r="G539">
        <v>0</v>
      </c>
      <c r="H539" s="28">
        <v>92.8640308582449</v>
      </c>
      <c r="I539" s="17" t="e">
        <f>H539/G539</f>
        <v>#DIV/0!</v>
      </c>
      <c r="J539" s="4">
        <v>2.84</v>
      </c>
      <c r="K539" s="4">
        <v>334.615384615384</v>
      </c>
      <c r="L539" s="4"/>
      <c r="M539" s="4"/>
      <c r="N539" s="4"/>
      <c r="O539" s="4"/>
      <c r="P539" s="4"/>
      <c r="Q539" s="4">
        <v>0.445</v>
      </c>
      <c r="R539" s="4">
        <f>B539</f>
        <v>0.28</v>
      </c>
      <c r="S539" s="18">
        <f>B539/Q539-1</f>
        <v>-0.370786516853932</v>
      </c>
      <c r="T539" s="14">
        <v>-0.435957696827262</v>
      </c>
      <c r="U539" s="14">
        <v>-0.150319713883169</v>
      </c>
      <c r="V539" s="14">
        <v>0.173724489795918</v>
      </c>
      <c r="W539" s="31" t="s">
        <v>340</v>
      </c>
      <c r="X539" s="4">
        <v>-3.45</v>
      </c>
      <c r="Y539" s="4"/>
      <c r="Z539" s="4"/>
      <c r="AA539" s="4"/>
      <c r="AB539" s="4"/>
      <c r="AC539" s="4"/>
      <c r="AD539" s="6">
        <v>0.714285714285714</v>
      </c>
      <c r="AE539" s="4">
        <v>1</v>
      </c>
    </row>
    <row r="540" ht="15" hidden="1" spans="1:24">
      <c r="A540" s="38">
        <v>1557</v>
      </c>
      <c r="B540" s="4">
        <v>1.12</v>
      </c>
      <c r="C540" s="4">
        <v>1.15</v>
      </c>
      <c r="D540" s="4">
        <v>2.24</v>
      </c>
      <c r="E540" s="13">
        <v>460000000</v>
      </c>
      <c r="F540" s="50" t="s">
        <v>1118</v>
      </c>
      <c r="G540">
        <v>12.5032811269577</v>
      </c>
      <c r="H540" s="49">
        <v>100</v>
      </c>
      <c r="I540" s="14">
        <f>H540/G540</f>
        <v>7.99790062981106</v>
      </c>
      <c r="J540" s="4">
        <v>4.28</v>
      </c>
      <c r="K540" s="4">
        <v>14.4265</v>
      </c>
      <c r="L540" s="4"/>
      <c r="M540" s="4"/>
      <c r="N540" s="4"/>
      <c r="O540" s="4"/>
      <c r="P540" s="4"/>
      <c r="Q540" s="4">
        <v>1.78</v>
      </c>
      <c r="R540" s="61">
        <f>B540</f>
        <v>1.12</v>
      </c>
      <c r="S540" s="18">
        <f>B540/Q540-1</f>
        <v>-0.370786516853932</v>
      </c>
      <c r="T540" s="14">
        <v>0</v>
      </c>
      <c r="U540" s="14">
        <v>0</v>
      </c>
      <c r="V540" s="14">
        <v>0</v>
      </c>
      <c r="W540" s="31" t="s">
        <v>1118</v>
      </c>
      <c r="X540" s="4">
        <v>0</v>
      </c>
    </row>
    <row r="541" s="10" customFormat="1" ht="15" hidden="1" spans="1:31">
      <c r="A541" s="38">
        <v>3336</v>
      </c>
      <c r="B541" s="4">
        <v>2.43</v>
      </c>
      <c r="C541" s="4">
        <v>2.58</v>
      </c>
      <c r="D541" s="4">
        <v>5.72</v>
      </c>
      <c r="E541" s="13">
        <v>2957000000</v>
      </c>
      <c r="F541" s="59" t="s">
        <v>1119</v>
      </c>
      <c r="G541">
        <v>11.5200849407185</v>
      </c>
      <c r="H541" s="56">
        <v>80.2451333813987</v>
      </c>
      <c r="I541" s="14">
        <f>H541/G541</f>
        <v>6.96567202362956</v>
      </c>
      <c r="J541" s="4">
        <v>0.67</v>
      </c>
      <c r="K541" s="4">
        <v>0.480484920165582</v>
      </c>
      <c r="L541" s="4">
        <v>4.9921</v>
      </c>
      <c r="M541" s="4">
        <v>5.072</v>
      </c>
      <c r="N541" s="4"/>
      <c r="O541" s="4"/>
      <c r="P541" s="4"/>
      <c r="Q541" s="4">
        <v>3.92</v>
      </c>
      <c r="R541" s="61">
        <f>B541</f>
        <v>2.43</v>
      </c>
      <c r="S541" s="18">
        <f>B541/Q541-1</f>
        <v>-0.380102040816326</v>
      </c>
      <c r="T541" s="14">
        <v>-0.283796740172579</v>
      </c>
      <c r="U541" s="14">
        <v>-0.473572938689218</v>
      </c>
      <c r="V541" s="14">
        <v>-0.36144578313253</v>
      </c>
      <c r="W541" s="31" t="s">
        <v>1119</v>
      </c>
      <c r="X541" s="4">
        <v>0.41</v>
      </c>
      <c r="Y541" s="4"/>
      <c r="Z541" s="4"/>
      <c r="AA541" s="4"/>
      <c r="AB541" s="4"/>
      <c r="AC541" s="4"/>
      <c r="AD541" s="4"/>
      <c r="AE541" s="4"/>
    </row>
    <row r="542" s="10" customFormat="1" ht="15" hidden="1" spans="1:31">
      <c r="A542" s="38">
        <v>8007</v>
      </c>
      <c r="B542" s="4">
        <v>0.204</v>
      </c>
      <c r="C542" s="4">
        <v>0.047</v>
      </c>
      <c r="D542" s="4">
        <v>1.3</v>
      </c>
      <c r="E542" s="13">
        <v>1391100000</v>
      </c>
      <c r="F542" s="46" t="s">
        <v>1120</v>
      </c>
      <c r="G542">
        <v>38.2353849479633</v>
      </c>
      <c r="H542" s="27">
        <v>81.3729935612587</v>
      </c>
      <c r="I542" s="14">
        <f>H542/G542</f>
        <v>2.12821169897998</v>
      </c>
      <c r="J542" s="4">
        <v>10.31</v>
      </c>
      <c r="K542" s="4">
        <v>4.17322834645669</v>
      </c>
      <c r="L542" s="4"/>
      <c r="M542" s="4"/>
      <c r="N542" s="4"/>
      <c r="O542" s="4"/>
      <c r="P542" s="4"/>
      <c r="Q542" s="32">
        <v>0.33</v>
      </c>
      <c r="R542" s="6">
        <f>B542</f>
        <v>0.204</v>
      </c>
      <c r="S542" s="19">
        <f>B542/Q542-1</f>
        <v>-0.381818181818182</v>
      </c>
      <c r="T542" s="14">
        <v>0.343715869823403</v>
      </c>
      <c r="U542" s="14">
        <v>0.391431979284474</v>
      </c>
      <c r="V542" s="14">
        <v>-0.76726523324554</v>
      </c>
      <c r="W542" s="31" t="s">
        <v>1120</v>
      </c>
      <c r="X542" s="4">
        <v>-1.923</v>
      </c>
      <c r="Y542" s="4"/>
      <c r="Z542" s="4"/>
      <c r="AA542" s="6"/>
      <c r="AB542" s="6"/>
      <c r="AC542" s="4"/>
      <c r="AD542" s="4">
        <v>-0.00540540540540541</v>
      </c>
      <c r="AE542" s="4">
        <v>0.45945945945946</v>
      </c>
    </row>
    <row r="543" ht="15" spans="1:31">
      <c r="A543" s="37">
        <v>1165</v>
      </c>
      <c r="B543" s="6">
        <v>0.7</v>
      </c>
      <c r="C543" s="6">
        <v>1.12</v>
      </c>
      <c r="D543" s="6">
        <v>10.5</v>
      </c>
      <c r="E543" s="15">
        <v>3753000000</v>
      </c>
      <c r="F543" s="47" t="s">
        <v>107</v>
      </c>
      <c r="G543">
        <v>8.57560797220698</v>
      </c>
      <c r="H543" s="23">
        <v>271.47102526003</v>
      </c>
      <c r="I543" s="16">
        <f>H543/G543</f>
        <v>31.656184160919</v>
      </c>
      <c r="J543" s="6">
        <v>0.48</v>
      </c>
      <c r="K543" s="6">
        <v>0.398214911890361</v>
      </c>
      <c r="L543" s="6">
        <v>2.9458</v>
      </c>
      <c r="M543" s="6">
        <v>1.614</v>
      </c>
      <c r="N543" s="6"/>
      <c r="O543" s="6"/>
      <c r="P543" s="6"/>
      <c r="Q543" s="6">
        <v>1.15</v>
      </c>
      <c r="R543" s="4">
        <f>B543</f>
        <v>0.7</v>
      </c>
      <c r="S543" s="19">
        <f>B543/Q543-1</f>
        <v>-0.391304347826087</v>
      </c>
      <c r="T543" s="16">
        <v>0.548043020947527</v>
      </c>
      <c r="U543" s="14">
        <v>2.12181831218183</v>
      </c>
      <c r="V543" s="14">
        <v>-0.736579007808911</v>
      </c>
      <c r="W543" s="5" t="s">
        <v>107</v>
      </c>
      <c r="X543" s="4">
        <v>0</v>
      </c>
      <c r="Y543" s="6" t="s">
        <v>879</v>
      </c>
      <c r="Z543" s="6"/>
      <c r="AA543" s="6"/>
      <c r="AB543" s="6"/>
      <c r="AC543" s="6"/>
      <c r="AD543" s="4">
        <v>0.415</v>
      </c>
      <c r="AE543" s="4">
        <v>0.63</v>
      </c>
    </row>
    <row r="544" ht="15" hidden="1" spans="1:24">
      <c r="A544" s="43">
        <v>710</v>
      </c>
      <c r="B544" s="4">
        <v>3.17</v>
      </c>
      <c r="C544" s="4">
        <v>4.73</v>
      </c>
      <c r="D544" s="4">
        <v>8.06</v>
      </c>
      <c r="E544" s="13">
        <v>2293000000</v>
      </c>
      <c r="F544" s="46" t="s">
        <v>1121</v>
      </c>
      <c r="G544">
        <v>5.67817392944727</v>
      </c>
      <c r="H544" s="28">
        <v>106.31318341242</v>
      </c>
      <c r="I544" s="14">
        <f>H544/G544</f>
        <v>18.7231290787123</v>
      </c>
      <c r="J544" s="4">
        <v>0.95</v>
      </c>
      <c r="K544" s="4">
        <v>0.722606120434353</v>
      </c>
      <c r="L544" s="4">
        <v>6.0496</v>
      </c>
      <c r="M544" s="4">
        <v>6.808</v>
      </c>
      <c r="Q544" s="4">
        <v>5.46</v>
      </c>
      <c r="R544" s="4">
        <f>B544</f>
        <v>3.17</v>
      </c>
      <c r="S544" s="18">
        <f>B544/Q544-1</f>
        <v>-0.419413919413919</v>
      </c>
      <c r="T544" s="14">
        <v>-0.0691318327974277</v>
      </c>
      <c r="U544" s="14">
        <v>-0.134529147982063</v>
      </c>
      <c r="V544" s="14">
        <v>1.26904663212435</v>
      </c>
      <c r="W544" s="31" t="s">
        <v>1121</v>
      </c>
      <c r="X544" s="4">
        <v>-0.63</v>
      </c>
    </row>
    <row r="545" ht="15" hidden="1" spans="1:31">
      <c r="A545" s="38">
        <v>1262</v>
      </c>
      <c r="B545" s="4">
        <v>0.47</v>
      </c>
      <c r="C545" s="4">
        <v>0.53</v>
      </c>
      <c r="D545" s="4">
        <v>1.73</v>
      </c>
      <c r="E545" s="13">
        <v>618000000</v>
      </c>
      <c r="F545" s="47" t="s">
        <v>346</v>
      </c>
      <c r="G545">
        <v>13.9784946236559</v>
      </c>
      <c r="H545" s="28">
        <v>104.290091930541</v>
      </c>
      <c r="I545" s="17">
        <f>H545/G545</f>
        <v>7.46075273041565</v>
      </c>
      <c r="J545" s="4">
        <v>0.43</v>
      </c>
      <c r="K545" s="4">
        <v>0.630678805204074</v>
      </c>
      <c r="L545" s="4">
        <v>77.461</v>
      </c>
      <c r="M545" s="4">
        <v>65.854</v>
      </c>
      <c r="Q545" s="4">
        <v>0.81</v>
      </c>
      <c r="R545" s="4">
        <f>B545</f>
        <v>0.47</v>
      </c>
      <c r="S545" s="60">
        <f>B545/Q545-1</f>
        <v>-0.419753086419753</v>
      </c>
      <c r="T545" s="16">
        <v>-0.142265193370166</v>
      </c>
      <c r="U545" s="14">
        <v>-0.474174428450466</v>
      </c>
      <c r="V545" s="14">
        <v>-0.597423510466989</v>
      </c>
      <c r="W545" s="31" t="s">
        <v>346</v>
      </c>
      <c r="X545" s="4">
        <v>0</v>
      </c>
      <c r="AD545" s="4">
        <v>0.289855072463768</v>
      </c>
      <c r="AE545" s="4">
        <v>0.449275362318841</v>
      </c>
    </row>
    <row r="546" ht="15" hidden="1" spans="1:31">
      <c r="A546" s="38">
        <v>8239</v>
      </c>
      <c r="B546" s="4">
        <v>0.216</v>
      </c>
      <c r="C546" s="4">
        <v>0.24</v>
      </c>
      <c r="D546" s="4">
        <v>0.85</v>
      </c>
      <c r="E546" s="13">
        <v>281100000</v>
      </c>
      <c r="F546" s="46" t="s">
        <v>344</v>
      </c>
      <c r="G546">
        <v>53.7037037037037</v>
      </c>
      <c r="H546" s="25">
        <v>87.5011718823243</v>
      </c>
      <c r="I546" s="17">
        <f>H546/G546</f>
        <v>1.62933216608466</v>
      </c>
      <c r="J546" s="4">
        <v>1.48</v>
      </c>
      <c r="K546" s="14">
        <v>1.78135675939482</v>
      </c>
      <c r="P546" s="6"/>
      <c r="Q546" s="4">
        <v>0.375</v>
      </c>
      <c r="R546" s="4">
        <f>B546</f>
        <v>0.216</v>
      </c>
      <c r="S546" s="18">
        <f>B546/Q546-1</f>
        <v>-0.424</v>
      </c>
      <c r="T546" s="14">
        <v>-0.264705882352941</v>
      </c>
      <c r="U546" s="14">
        <v>-0.669117647058823</v>
      </c>
      <c r="V546" s="14">
        <v>-0.811111111111111</v>
      </c>
      <c r="W546" s="31" t="s">
        <v>344</v>
      </c>
      <c r="X546" s="4">
        <v>-0.461</v>
      </c>
      <c r="AA546" s="6"/>
      <c r="AB546" s="6"/>
      <c r="AD546" s="4">
        <v>0.120689655172414</v>
      </c>
      <c r="AE546" s="4">
        <v>0.482758620689655</v>
      </c>
    </row>
    <row r="547" ht="15" spans="1:31">
      <c r="A547" s="37">
        <v>419</v>
      </c>
      <c r="B547" s="6">
        <v>0.455</v>
      </c>
      <c r="C547" s="6">
        <v>0.43</v>
      </c>
      <c r="D547" s="6">
        <v>1.98</v>
      </c>
      <c r="E547" s="15">
        <v>7154000000</v>
      </c>
      <c r="F547" s="47" t="s">
        <v>251</v>
      </c>
      <c r="G547">
        <v>6.59356056006501</v>
      </c>
      <c r="H547" s="27">
        <v>84.6142485277014</v>
      </c>
      <c r="I547" s="16">
        <f>H547/G547</f>
        <v>12.8328613587295</v>
      </c>
      <c r="J547" s="6">
        <v>2.31</v>
      </c>
      <c r="K547" s="6">
        <v>40.7035175879397</v>
      </c>
      <c r="L547" s="6">
        <v>97.7744</v>
      </c>
      <c r="M547" s="6">
        <v>73.832</v>
      </c>
      <c r="N547" s="6"/>
      <c r="O547" s="6"/>
      <c r="P547" s="6"/>
      <c r="Q547" s="6">
        <v>0.79</v>
      </c>
      <c r="R547" s="4">
        <f>B547</f>
        <v>0.455</v>
      </c>
      <c r="S547" s="19">
        <f>B547/Q547-1</f>
        <v>-0.424050632911392</v>
      </c>
      <c r="T547" s="14">
        <v>-0.191701664252441</v>
      </c>
      <c r="U547" s="14">
        <v>-0.287263955892488</v>
      </c>
      <c r="V547" s="16">
        <v>-0.688642209286585</v>
      </c>
      <c r="W547" s="5" t="s">
        <v>251</v>
      </c>
      <c r="X547" s="6">
        <v>0</v>
      </c>
      <c r="Y547" s="61" t="s">
        <v>1122</v>
      </c>
      <c r="Z547" s="6">
        <v>1</v>
      </c>
      <c r="AA547" s="4">
        <v>80000</v>
      </c>
      <c r="AB547" s="4">
        <v>0.96</v>
      </c>
      <c r="AC547" s="4"/>
      <c r="AD547" s="4">
        <v>0</v>
      </c>
      <c r="AE547" s="4">
        <v>0</v>
      </c>
    </row>
    <row r="548" ht="15" hidden="1" spans="1:31">
      <c r="A548" s="38">
        <v>8369</v>
      </c>
      <c r="B548" s="4">
        <v>0.178</v>
      </c>
      <c r="C548" s="4">
        <v>0.23</v>
      </c>
      <c r="D548" s="4">
        <v>14.88</v>
      </c>
      <c r="E548" s="13">
        <v>233000000</v>
      </c>
      <c r="F548" s="46" t="s">
        <v>339</v>
      </c>
      <c r="G548">
        <v>21.3484029793225</v>
      </c>
      <c r="H548" s="25">
        <v>220.225438708851</v>
      </c>
      <c r="I548" s="14">
        <f>H548/G548</f>
        <v>10.3157804788562</v>
      </c>
      <c r="J548" s="4">
        <v>4.32</v>
      </c>
      <c r="K548" s="14">
        <v>2.32018561484918</v>
      </c>
      <c r="L548" s="4">
        <v>15.8331</v>
      </c>
      <c r="Q548" s="4">
        <v>0.31</v>
      </c>
      <c r="R548" s="4">
        <f>B548</f>
        <v>0.178</v>
      </c>
      <c r="S548" s="18">
        <f>B548/Q548-1</f>
        <v>-0.425806451612903</v>
      </c>
      <c r="T548" s="14">
        <v>-0.587846763540291</v>
      </c>
      <c r="U548" s="16">
        <v>-0.775377969762419</v>
      </c>
      <c r="V548" s="14">
        <v>0.0384615384615385</v>
      </c>
      <c r="W548" s="31" t="s">
        <v>339</v>
      </c>
      <c r="X548" s="6">
        <v>-2.198</v>
      </c>
      <c r="AD548" s="4">
        <v>0</v>
      </c>
      <c r="AE548" s="4">
        <v>0</v>
      </c>
    </row>
    <row r="549" ht="15" hidden="1" spans="1:31">
      <c r="A549" s="37">
        <v>75</v>
      </c>
      <c r="B549" s="6">
        <v>3.25</v>
      </c>
      <c r="C549" s="6">
        <v>2.2</v>
      </c>
      <c r="D549" s="6">
        <v>6.3</v>
      </c>
      <c r="E549" s="15">
        <v>4142000000</v>
      </c>
      <c r="F549" s="53" t="s">
        <v>217</v>
      </c>
      <c r="G549">
        <v>18.4605348988911</v>
      </c>
      <c r="H549" s="23">
        <v>135.072872590503</v>
      </c>
      <c r="I549" s="16">
        <f>H549/G549</f>
        <v>7.31684500640428</v>
      </c>
      <c r="J549" s="6">
        <v>0.71</v>
      </c>
      <c r="K549" s="6">
        <v>20.5701912666907</v>
      </c>
      <c r="L549" s="6">
        <v>9.4504</v>
      </c>
      <c r="M549" s="6">
        <v>9.451</v>
      </c>
      <c r="N549" s="6"/>
      <c r="O549" s="6"/>
      <c r="P549" s="6"/>
      <c r="Q549" s="6">
        <v>5.7</v>
      </c>
      <c r="R549" s="6">
        <f>B549</f>
        <v>3.25</v>
      </c>
      <c r="S549" s="19">
        <f>B549/Q549-1</f>
        <v>-0.429824561403509</v>
      </c>
      <c r="T549" s="14">
        <v>0.101006820396233</v>
      </c>
      <c r="U549" s="14">
        <v>-0.149736644093303</v>
      </c>
      <c r="V549" s="14">
        <v>-0.517699115044248</v>
      </c>
      <c r="W549" s="31" t="s">
        <v>217</v>
      </c>
      <c r="X549" s="4">
        <v>-5.25</v>
      </c>
      <c r="Y549" s="4"/>
      <c r="Z549" s="4"/>
      <c r="AA549" s="4"/>
      <c r="AB549" s="4"/>
      <c r="AC549" s="4"/>
      <c r="AD549" s="6">
        <v>0.00361010830324902</v>
      </c>
      <c r="AE549" s="4">
        <v>0.0108303249097472</v>
      </c>
    </row>
    <row r="550" ht="15" hidden="1" spans="1:24">
      <c r="A550" s="43">
        <v>273</v>
      </c>
      <c r="B550" s="4">
        <v>0.175</v>
      </c>
      <c r="C550" s="4">
        <v>0.06</v>
      </c>
      <c r="D550" s="4">
        <v>0.88</v>
      </c>
      <c r="E550" s="13">
        <v>4701500000</v>
      </c>
      <c r="F550" s="46" t="s">
        <v>1123</v>
      </c>
      <c r="G550">
        <v>7.42883591761166</v>
      </c>
      <c r="H550" s="49">
        <v>197.14149878172</v>
      </c>
      <c r="I550" s="14">
        <f>H550/G550</f>
        <v>26.5373338391219</v>
      </c>
      <c r="J550" s="4">
        <v>1.68</v>
      </c>
      <c r="K550" s="4">
        <v>29.7297297297297</v>
      </c>
      <c r="L550" s="4">
        <v>14.1966</v>
      </c>
      <c r="M550" s="4">
        <v>13.75</v>
      </c>
      <c r="N550" s="4"/>
      <c r="O550" s="4"/>
      <c r="P550" s="4"/>
      <c r="Q550" s="4">
        <v>0.315</v>
      </c>
      <c r="R550" s="61">
        <f>B550</f>
        <v>0.175</v>
      </c>
      <c r="S550" s="18">
        <f>B550/Q550-1</f>
        <v>-0.444444444444445</v>
      </c>
      <c r="T550" s="14">
        <v>-0.452122480771103</v>
      </c>
      <c r="U550" s="14">
        <v>0.140273556231003</v>
      </c>
      <c r="V550" s="14">
        <v>-0.760095961615354</v>
      </c>
      <c r="W550" s="31" t="s">
        <v>1123</v>
      </c>
      <c r="X550" s="4">
        <v>0.575</v>
      </c>
    </row>
    <row r="551" ht="14.25" hidden="1" spans="1:24">
      <c r="A551" s="38">
        <v>61</v>
      </c>
      <c r="B551" s="4">
        <v>0.019</v>
      </c>
      <c r="C551" s="4">
        <v>0.023</v>
      </c>
      <c r="D551" s="4">
        <v>0.41</v>
      </c>
      <c r="E551" s="13">
        <v>1231900000</v>
      </c>
      <c r="F551" s="46" t="s">
        <v>1124</v>
      </c>
      <c r="G551">
        <v>21.0528393346333</v>
      </c>
      <c r="H551" s="56">
        <v>247.366958454912</v>
      </c>
      <c r="I551" s="14">
        <f>H551/G551</f>
        <v>11.7498145747959</v>
      </c>
      <c r="J551" s="4">
        <v>0.69</v>
      </c>
      <c r="K551" s="4">
        <v>10.9375</v>
      </c>
      <c r="Q551" s="4">
        <v>0.035</v>
      </c>
      <c r="R551" s="61">
        <f>B551</f>
        <v>0.019</v>
      </c>
      <c r="S551" s="18">
        <f>B551/Q551-1</f>
        <v>-0.457142857142857</v>
      </c>
      <c r="T551" s="14">
        <v>0.463689710276133</v>
      </c>
      <c r="U551" s="14">
        <v>2.30597846268102</v>
      </c>
      <c r="V551" s="14">
        <v>-0.930248230933393</v>
      </c>
      <c r="W551" s="31" t="s">
        <v>1124</v>
      </c>
      <c r="X551" s="4">
        <v>-5</v>
      </c>
    </row>
    <row r="552" ht="14.25" hidden="1" spans="1:24">
      <c r="A552" s="38">
        <v>399</v>
      </c>
      <c r="B552" s="4">
        <v>0.59</v>
      </c>
      <c r="C552" s="4">
        <v>0.5</v>
      </c>
      <c r="D552" s="4">
        <v>1.46</v>
      </c>
      <c r="E552" s="13">
        <v>776000000</v>
      </c>
      <c r="F552" s="46" t="s">
        <v>1125</v>
      </c>
      <c r="G552">
        <v>17.796958487464</v>
      </c>
      <c r="H552" s="56">
        <v>123.713646532438</v>
      </c>
      <c r="I552" s="14">
        <f>H552/G552</f>
        <v>6.95139265619914</v>
      </c>
      <c r="J552" s="4">
        <v>2.16</v>
      </c>
      <c r="K552" s="4">
        <v>36.5448504983388</v>
      </c>
      <c r="Q552" s="4">
        <v>1.1</v>
      </c>
      <c r="R552" s="61">
        <f>B552</f>
        <v>0.59</v>
      </c>
      <c r="S552" s="18">
        <f>B552/Q552-1</f>
        <v>-0.463636363636364</v>
      </c>
      <c r="T552" s="14">
        <v>1.78382168985255</v>
      </c>
      <c r="U552" s="14">
        <v>27.8679245283019</v>
      </c>
      <c r="V552" s="14">
        <v>-0.679575163398693</v>
      </c>
      <c r="W552" s="31" t="s">
        <v>1125</v>
      </c>
      <c r="X552" s="4">
        <v>-6.35</v>
      </c>
    </row>
    <row r="553" ht="15" hidden="1" spans="1:31">
      <c r="A553" s="48">
        <v>8143</v>
      </c>
      <c r="B553" s="6">
        <v>0.375</v>
      </c>
      <c r="C553" s="6">
        <v>0.36</v>
      </c>
      <c r="D553" s="6">
        <v>1.96</v>
      </c>
      <c r="E553" s="15">
        <v>837200000</v>
      </c>
      <c r="F553" s="52" t="s">
        <v>478</v>
      </c>
      <c r="G553">
        <v>11.9997183990989</v>
      </c>
      <c r="H553" s="27">
        <v>238.661609319967</v>
      </c>
      <c r="I553" s="16">
        <f>H553/G553</f>
        <v>19.8889341718127</v>
      </c>
      <c r="J553" s="6">
        <v>4.68</v>
      </c>
      <c r="K553" s="16">
        <v>0.838968194340095</v>
      </c>
      <c r="L553" s="6"/>
      <c r="M553" s="6"/>
      <c r="N553" s="6"/>
      <c r="O553" s="6"/>
      <c r="P553" s="6"/>
      <c r="Q553" s="6">
        <v>0.7</v>
      </c>
      <c r="R553" s="6">
        <f>B553</f>
        <v>0.375</v>
      </c>
      <c r="S553" s="19">
        <f>B553/Q553-1</f>
        <v>-0.464285714285714</v>
      </c>
      <c r="T553" s="14">
        <v>-0.63265306122449</v>
      </c>
      <c r="U553" s="14">
        <v>-0.480769230769231</v>
      </c>
      <c r="V553" s="14">
        <v>1.58333333333333</v>
      </c>
      <c r="W553" s="5" t="s">
        <v>478</v>
      </c>
      <c r="X553" s="6">
        <v>4.167</v>
      </c>
      <c r="Y553" s="4"/>
      <c r="Z553" s="4"/>
      <c r="AA553" s="6"/>
      <c r="AB553" s="6"/>
      <c r="AC553" s="4"/>
      <c r="AD553" s="6">
        <v>0.365384615384615</v>
      </c>
      <c r="AE553" s="6">
        <v>0.903846153846154</v>
      </c>
    </row>
    <row r="554" ht="15" spans="1:31">
      <c r="A554" s="43">
        <v>1063</v>
      </c>
      <c r="B554" s="4">
        <v>0.072</v>
      </c>
      <c r="C554" s="4">
        <v>0.065</v>
      </c>
      <c r="D554" s="4">
        <v>1.56</v>
      </c>
      <c r="E554" s="13">
        <v>1171600000</v>
      </c>
      <c r="F554" s="47" t="s">
        <v>1126</v>
      </c>
      <c r="G554">
        <v>9.72203414312669</v>
      </c>
      <c r="H554" s="28">
        <v>168.05339623653</v>
      </c>
      <c r="I554" s="14">
        <f>H554/G554</f>
        <v>17.2858265834564</v>
      </c>
      <c r="J554" s="4">
        <v>4.1</v>
      </c>
      <c r="K554" s="4">
        <v>7.47474747474747</v>
      </c>
      <c r="L554" s="4"/>
      <c r="M554" s="4"/>
      <c r="N554" s="4"/>
      <c r="O554" s="4"/>
      <c r="P554" s="4"/>
      <c r="Q554" s="33">
        <v>0.135</v>
      </c>
      <c r="R554" s="4">
        <f>B554</f>
        <v>0.072</v>
      </c>
      <c r="S554" s="18">
        <f>B554/Q554-1</f>
        <v>-0.466666666666667</v>
      </c>
      <c r="T554" s="14">
        <v>0.459121692382881</v>
      </c>
      <c r="U554" s="14">
        <v>0.694799797263051</v>
      </c>
      <c r="V554" s="14">
        <v>-0.590291401502464</v>
      </c>
      <c r="W554" s="34" t="s">
        <v>1126</v>
      </c>
      <c r="X554" s="4">
        <v>-2.703</v>
      </c>
      <c r="Y554" s="4" t="s">
        <v>1127</v>
      </c>
      <c r="Z554" s="4"/>
      <c r="AA554" s="4"/>
      <c r="AB554" s="4"/>
      <c r="AC554" s="4"/>
      <c r="AD554" s="4">
        <v>0.598173515981735</v>
      </c>
      <c r="AE554" s="6">
        <v>0.849315068493151</v>
      </c>
    </row>
    <row r="555" ht="15" hidden="1" spans="1:31">
      <c r="A555" s="38">
        <v>1182</v>
      </c>
      <c r="B555" s="4">
        <v>0.3</v>
      </c>
      <c r="C555" s="4">
        <v>0.19</v>
      </c>
      <c r="D555" s="4">
        <v>1.49</v>
      </c>
      <c r="E555" s="13">
        <v>871500000</v>
      </c>
      <c r="F555" s="45" t="s">
        <v>1128</v>
      </c>
      <c r="G555">
        <v>6.66417771140564</v>
      </c>
      <c r="H555" s="28">
        <v>383.325277912035</v>
      </c>
      <c r="I555" s="14">
        <f>H555/G555</f>
        <v>57.5202664922905</v>
      </c>
      <c r="J555" s="4">
        <v>5.05</v>
      </c>
      <c r="K555" s="4">
        <v>5.41259982253771</v>
      </c>
      <c r="Q555" s="33">
        <v>0.57</v>
      </c>
      <c r="R555" s="4">
        <f>B555</f>
        <v>0.3</v>
      </c>
      <c r="S555" s="18">
        <f>B555/Q555-1</f>
        <v>-0.473684210526316</v>
      </c>
      <c r="T555" s="14">
        <v>-0.445733222866611</v>
      </c>
      <c r="U555" s="14">
        <v>-0.594545454545455</v>
      </c>
      <c r="V555" s="14">
        <v>10.2071748878924</v>
      </c>
      <c r="W555" s="34" t="s">
        <v>1128</v>
      </c>
      <c r="X555" s="4">
        <v>-11.76</v>
      </c>
      <c r="AD555" s="4">
        <v>0.724137931034483</v>
      </c>
      <c r="AE555" s="6">
        <v>0.586206896551724</v>
      </c>
    </row>
    <row r="556" ht="15" hidden="1" spans="1:31">
      <c r="A556" s="38">
        <v>1293</v>
      </c>
      <c r="B556" s="4">
        <v>2.38</v>
      </c>
      <c r="C556" s="4">
        <v>2.1</v>
      </c>
      <c r="D556" s="4">
        <v>7.28</v>
      </c>
      <c r="E556" s="13">
        <v>6342000000</v>
      </c>
      <c r="F556" s="46" t="s">
        <v>230</v>
      </c>
      <c r="G556">
        <v>7.56147162137179</v>
      </c>
      <c r="H556" s="25">
        <v>118.483722962639</v>
      </c>
      <c r="I556" s="17">
        <f>H556/G556</f>
        <v>15.6693999389955</v>
      </c>
      <c r="J556" s="4">
        <v>1.72</v>
      </c>
      <c r="K556" s="4">
        <v>0.329570249011504</v>
      </c>
      <c r="L556" s="4">
        <v>13.2845</v>
      </c>
      <c r="M556" s="4">
        <v>13.198</v>
      </c>
      <c r="N556" s="4"/>
      <c r="O556" s="4"/>
      <c r="P556" s="4"/>
      <c r="Q556" s="4">
        <v>4.56</v>
      </c>
      <c r="R556" s="4">
        <f>B556</f>
        <v>2.38</v>
      </c>
      <c r="S556" s="18">
        <f>B556/Q556-1</f>
        <v>-0.478070175438596</v>
      </c>
      <c r="T556" s="14">
        <v>-0.318290012377416</v>
      </c>
      <c r="U556" s="14">
        <v>-0.570833458207211</v>
      </c>
      <c r="V556" s="14">
        <v>-0.509427374301676</v>
      </c>
      <c r="W556" s="5" t="s">
        <v>230</v>
      </c>
      <c r="X556" s="4">
        <v>0.85</v>
      </c>
      <c r="Y556" s="6"/>
      <c r="Z556" s="6">
        <v>0</v>
      </c>
      <c r="AA556" s="6">
        <v>4500</v>
      </c>
      <c r="AB556" s="6">
        <v>4</v>
      </c>
      <c r="AC556" s="6"/>
      <c r="AD556" s="6">
        <v>0.171348314606742</v>
      </c>
      <c r="AE556" s="4">
        <v>0.219101123595506</v>
      </c>
    </row>
    <row r="557" ht="15" hidden="1" spans="1:31">
      <c r="A557" s="43">
        <v>1622</v>
      </c>
      <c r="B557" s="4">
        <v>2.81</v>
      </c>
      <c r="C557" s="4">
        <v>3.18</v>
      </c>
      <c r="D557" s="4">
        <v>6.15</v>
      </c>
      <c r="E557" s="13">
        <v>10300000000</v>
      </c>
      <c r="F557" s="46" t="s">
        <v>218</v>
      </c>
      <c r="G557">
        <v>1.06846062524733</v>
      </c>
      <c r="H557" s="28">
        <v>6.75776662752215</v>
      </c>
      <c r="I557" s="17">
        <f>H557/G557</f>
        <v>6.32476898805499</v>
      </c>
      <c r="J557" s="4">
        <v>3.12</v>
      </c>
      <c r="K557" s="4">
        <v>2.07638671660544</v>
      </c>
      <c r="L557" s="4">
        <v>22.0062</v>
      </c>
      <c r="M557" s="4">
        <v>19.581</v>
      </c>
      <c r="Q557" s="4">
        <v>5.42</v>
      </c>
      <c r="R557" s="4">
        <f>B557</f>
        <v>2.81</v>
      </c>
      <c r="S557" s="18">
        <f>B557/Q557-1</f>
        <v>-0.481549815498155</v>
      </c>
      <c r="T557" s="14">
        <v>-0.432775778107135</v>
      </c>
      <c r="U557" s="14">
        <v>-0.728653904588271</v>
      </c>
      <c r="V557" s="16">
        <v>-0.109742441209406</v>
      </c>
      <c r="W557" s="31" t="s">
        <v>218</v>
      </c>
      <c r="X557" s="4">
        <v>0</v>
      </c>
      <c r="AA557" s="6"/>
      <c r="AB557" s="6"/>
      <c r="AD557" s="6">
        <v>0.11264367816092</v>
      </c>
      <c r="AE557" s="4">
        <v>0.181609195402299</v>
      </c>
    </row>
    <row r="558" ht="15" hidden="1" spans="1:31">
      <c r="A558" s="38">
        <v>648</v>
      </c>
      <c r="B558" s="4">
        <v>0.058</v>
      </c>
      <c r="C558" s="4">
        <v>0.08</v>
      </c>
      <c r="D558" s="4">
        <v>0.574</v>
      </c>
      <c r="E558" s="13">
        <v>321000000</v>
      </c>
      <c r="F558" s="47" t="s">
        <v>1129</v>
      </c>
      <c r="G558">
        <v>6.89619857178769</v>
      </c>
      <c r="H558" s="26">
        <v>215.517132580299</v>
      </c>
      <c r="I558" s="14">
        <f>H558/G558</f>
        <v>31.2515845268694</v>
      </c>
      <c r="J558" s="4">
        <v>0.4</v>
      </c>
      <c r="K558" s="4">
        <v>2.11397058823529</v>
      </c>
      <c r="L558" s="4"/>
      <c r="M558" s="4"/>
      <c r="N558" s="4"/>
      <c r="O558" s="4"/>
      <c r="P558" s="4"/>
      <c r="Q558" s="32">
        <v>0.112</v>
      </c>
      <c r="R558" s="6">
        <f>B558</f>
        <v>0.058</v>
      </c>
      <c r="S558" s="19">
        <f>B558/Q558-1</f>
        <v>-0.482142857142857</v>
      </c>
      <c r="T558" s="14">
        <v>0.130360485468981</v>
      </c>
      <c r="U558" s="14">
        <v>0.126485488516358</v>
      </c>
      <c r="V558" s="14">
        <v>-0.270388770229465</v>
      </c>
      <c r="W558" s="31" t="s">
        <v>1129</v>
      </c>
      <c r="X558" s="6">
        <v>-3.333</v>
      </c>
      <c r="Y558" s="4"/>
      <c r="Z558" s="4"/>
      <c r="AA558" s="4"/>
      <c r="AB558" s="4"/>
      <c r="AC558" s="6"/>
      <c r="AD558" s="4">
        <v>0.390977443609022</v>
      </c>
      <c r="AE558" s="4">
        <v>0.639097744360902</v>
      </c>
    </row>
    <row r="559" ht="14.25" hidden="1" spans="1:24">
      <c r="A559" s="38">
        <v>1150</v>
      </c>
      <c r="B559" s="4">
        <v>0.4</v>
      </c>
      <c r="C559" s="4">
        <v>0.47</v>
      </c>
      <c r="D559" s="4">
        <v>2.6</v>
      </c>
      <c r="E559" s="13">
        <v>353900000</v>
      </c>
      <c r="F559" s="50" t="s">
        <v>1130</v>
      </c>
      <c r="G559">
        <v>7.50161872167237</v>
      </c>
      <c r="H559" s="56">
        <v>230.03300330033</v>
      </c>
      <c r="I559" s="14">
        <f>H559/G559</f>
        <v>30.6644488123288</v>
      </c>
      <c r="J559" s="4">
        <v>2.27</v>
      </c>
      <c r="K559" s="4">
        <v>1.50745257452574</v>
      </c>
      <c r="Q559" s="4">
        <v>0.8</v>
      </c>
      <c r="R559" s="61">
        <f>B559</f>
        <v>0.4</v>
      </c>
      <c r="S559" s="18">
        <f>B559/Q559-1</f>
        <v>-0.5</v>
      </c>
      <c r="T559" s="14">
        <v>-0.314917127071823</v>
      </c>
      <c r="U559" s="14">
        <v>-0.4337899543379</v>
      </c>
      <c r="V559" s="14">
        <v>-0.745967741935484</v>
      </c>
      <c r="W559" s="31" t="s">
        <v>1130</v>
      </c>
      <c r="X559" s="4">
        <v>1.27</v>
      </c>
    </row>
    <row r="560" ht="14.25" hidden="1" spans="1:24">
      <c r="A560" s="38">
        <v>8129</v>
      </c>
      <c r="B560" s="4">
        <v>0.089</v>
      </c>
      <c r="C560" s="4">
        <v>0.1</v>
      </c>
      <c r="D560" s="4">
        <v>0.39</v>
      </c>
      <c r="E560" s="13">
        <v>238300000</v>
      </c>
      <c r="F560" s="46" t="s">
        <v>1131</v>
      </c>
      <c r="G560">
        <v>8.98914240468888</v>
      </c>
      <c r="H560" s="56">
        <v>175.277341921986</v>
      </c>
      <c r="I560" s="14">
        <f>H560/G560</f>
        <v>19.4987835358531</v>
      </c>
      <c r="J560" s="4">
        <v>13.98</v>
      </c>
      <c r="K560" s="4">
        <v>59.6666666666666</v>
      </c>
      <c r="L560" s="4"/>
      <c r="M560" s="4"/>
      <c r="N560" s="4"/>
      <c r="O560" s="4"/>
      <c r="P560" s="4"/>
      <c r="Q560" s="4">
        <v>0.179</v>
      </c>
      <c r="R560" s="61">
        <f>B560</f>
        <v>0.089</v>
      </c>
      <c r="S560" s="18">
        <f>B560/Q560-1</f>
        <v>-0.502793296089385</v>
      </c>
      <c r="T560" s="14">
        <v>1.78145695364238</v>
      </c>
      <c r="U560" s="14">
        <v>19</v>
      </c>
      <c r="V560" s="14">
        <v>-0.867857142857143</v>
      </c>
      <c r="W560" s="31" t="s">
        <v>1131</v>
      </c>
      <c r="X560" s="4">
        <v>-2.198</v>
      </c>
    </row>
    <row r="561" ht="15" hidden="1" spans="1:31">
      <c r="A561" s="37">
        <v>209</v>
      </c>
      <c r="B561" s="6">
        <v>0.237</v>
      </c>
      <c r="C561" s="6">
        <v>0.18</v>
      </c>
      <c r="D561" s="6">
        <v>2.4</v>
      </c>
      <c r="E561" s="15">
        <v>464700000</v>
      </c>
      <c r="F561" s="54" t="s">
        <v>146</v>
      </c>
      <c r="G561">
        <v>29.9577645320128</v>
      </c>
      <c r="H561" s="27">
        <v>262.871035633936</v>
      </c>
      <c r="I561" s="16">
        <f>H561/G561</f>
        <v>8.77472133653471</v>
      </c>
      <c r="J561" s="6">
        <v>2.76</v>
      </c>
      <c r="K561" s="6">
        <v>8.04597701149425</v>
      </c>
      <c r="L561" s="6"/>
      <c r="M561" s="6"/>
      <c r="N561" s="6"/>
      <c r="O561" s="6"/>
      <c r="P561" s="6"/>
      <c r="Q561" s="6">
        <v>0.48</v>
      </c>
      <c r="R561" s="6">
        <f>B561</f>
        <v>0.237</v>
      </c>
      <c r="S561" s="19">
        <f>B561/Q561-1</f>
        <v>-0.50625</v>
      </c>
      <c r="T561" s="14">
        <v>1.16548463356974</v>
      </c>
      <c r="U561" s="14">
        <v>1.91672109732201</v>
      </c>
      <c r="V561" s="14">
        <v>-0.894524689284515</v>
      </c>
      <c r="W561" s="31" t="s">
        <v>146</v>
      </c>
      <c r="X561" s="4">
        <v>-5.2</v>
      </c>
      <c r="Y561" s="4"/>
      <c r="Z561" s="4"/>
      <c r="AA561" s="4"/>
      <c r="AB561" s="4"/>
      <c r="AC561" s="6"/>
      <c r="AD561" s="4">
        <v>0.196078431372549</v>
      </c>
      <c r="AE561" s="4">
        <v>0.352941176470588</v>
      </c>
    </row>
    <row r="562" ht="15" hidden="1" spans="1:31">
      <c r="A562" s="38">
        <v>1239</v>
      </c>
      <c r="B562" s="4">
        <v>0.143</v>
      </c>
      <c r="C562" s="4">
        <v>0.03</v>
      </c>
      <c r="D562" s="4">
        <v>0.68</v>
      </c>
      <c r="E562" s="13">
        <v>1621800000</v>
      </c>
      <c r="F562" s="46" t="s">
        <v>164</v>
      </c>
      <c r="G562">
        <v>2.09803902372164</v>
      </c>
      <c r="H562" s="25">
        <v>137.761240162629</v>
      </c>
      <c r="I562" s="17">
        <f>H562/G562</f>
        <v>65.6619055246448</v>
      </c>
      <c r="J562" s="4">
        <v>11.42</v>
      </c>
      <c r="K562" s="4">
        <v>12.0188023802202</v>
      </c>
      <c r="L562" s="4">
        <v>164.4747</v>
      </c>
      <c r="M562" s="4">
        <v>161.111</v>
      </c>
      <c r="N562" s="4"/>
      <c r="O562" s="4"/>
      <c r="P562" s="4"/>
      <c r="Q562" s="4">
        <v>0.29</v>
      </c>
      <c r="R562" s="4">
        <f>B562</f>
        <v>0.143</v>
      </c>
      <c r="S562" s="18">
        <f>B562/Q562-1</f>
        <v>-0.506896551724138</v>
      </c>
      <c r="T562" s="16">
        <v>0.775300171526587</v>
      </c>
      <c r="U562" s="14">
        <v>0.635071090047393</v>
      </c>
      <c r="V562" s="14">
        <v>-0.504347826086956</v>
      </c>
      <c r="W562" s="31" t="s">
        <v>164</v>
      </c>
      <c r="X562" s="6">
        <v>-4.027</v>
      </c>
      <c r="Y562" s="4"/>
      <c r="Z562" s="4"/>
      <c r="AA562" s="6"/>
      <c r="AB562" s="6"/>
      <c r="AC562" s="6"/>
      <c r="AD562" s="6">
        <v>0.5</v>
      </c>
      <c r="AE562" s="6">
        <v>0.762820512820513</v>
      </c>
    </row>
    <row r="563" ht="15" spans="1:31">
      <c r="A563" s="38">
        <v>8220</v>
      </c>
      <c r="B563" s="4">
        <v>0.145</v>
      </c>
      <c r="C563" s="4">
        <v>0.178</v>
      </c>
      <c r="D563" s="4">
        <v>0.475</v>
      </c>
      <c r="E563" s="13">
        <v>506400000</v>
      </c>
      <c r="F563" s="45" t="s">
        <v>1132</v>
      </c>
      <c r="G563">
        <v>5.51686996286813</v>
      </c>
      <c r="H563" s="26">
        <v>151.724311534008</v>
      </c>
      <c r="I563" s="14">
        <f>H563/G563</f>
        <v>27.5018828711215</v>
      </c>
      <c r="J563" s="4">
        <v>6.5</v>
      </c>
      <c r="K563" s="4">
        <v>14.9732620320855</v>
      </c>
      <c r="L563" s="4"/>
      <c r="M563" s="4"/>
      <c r="N563" s="4"/>
      <c r="O563" s="4"/>
      <c r="P563" s="4"/>
      <c r="Q563" s="32">
        <v>0.295</v>
      </c>
      <c r="R563" s="6">
        <f>B563</f>
        <v>0.145</v>
      </c>
      <c r="S563" s="19">
        <f>B563/Q563-1</f>
        <v>-0.508474576271186</v>
      </c>
      <c r="T563" s="14">
        <v>-0.441860465116279</v>
      </c>
      <c r="U563" s="14">
        <v>-0.703703703703704</v>
      </c>
      <c r="V563" s="16">
        <v>1</v>
      </c>
      <c r="W563" s="31" t="s">
        <v>1132</v>
      </c>
      <c r="X563" s="4">
        <v>-1.361</v>
      </c>
      <c r="Y563" s="61" t="s">
        <v>1133</v>
      </c>
      <c r="Z563" s="6"/>
      <c r="AA563" s="4"/>
      <c r="AB563" s="4"/>
      <c r="AC563" s="6"/>
      <c r="AD563" s="6">
        <v>0.175</v>
      </c>
      <c r="AE563" s="6">
        <v>0.1625</v>
      </c>
    </row>
    <row r="564" ht="15" spans="1:31">
      <c r="A564" s="65">
        <v>2298</v>
      </c>
      <c r="B564" s="6">
        <v>3</v>
      </c>
      <c r="C564" s="6">
        <v>3.45</v>
      </c>
      <c r="D564" s="6">
        <v>9.48</v>
      </c>
      <c r="E564" s="15">
        <v>6615000000</v>
      </c>
      <c r="F564" s="47" t="s">
        <v>717</v>
      </c>
      <c r="G564">
        <v>8.66745821536213</v>
      </c>
      <c r="H564" s="51">
        <v>158.665287118469</v>
      </c>
      <c r="I564" s="16">
        <f>H564/G564</f>
        <v>18.3058612082204</v>
      </c>
      <c r="J564" s="6">
        <v>4.2</v>
      </c>
      <c r="K564" s="6">
        <v>2.25201070707945</v>
      </c>
      <c r="L564" s="6">
        <v>23.0552</v>
      </c>
      <c r="M564" s="6">
        <v>20.682</v>
      </c>
      <c r="N564" s="6"/>
      <c r="O564" s="6"/>
      <c r="P564" s="6"/>
      <c r="Q564" s="6">
        <v>6.43</v>
      </c>
      <c r="R564" s="6">
        <f>B564</f>
        <v>3</v>
      </c>
      <c r="S564" s="19">
        <f>B564/Q564-1</f>
        <v>-0.53343701399689</v>
      </c>
      <c r="T564" s="14">
        <v>-0.29977728285078</v>
      </c>
      <c r="U564" s="14">
        <v>-0.608077786088257</v>
      </c>
      <c r="V564" s="16">
        <v>-0.66030534351145</v>
      </c>
      <c r="W564" s="31" t="s">
        <v>717</v>
      </c>
      <c r="X564" s="4">
        <v>-0.66</v>
      </c>
      <c r="Y564" s="6" t="s">
        <v>1134</v>
      </c>
      <c r="Z564" s="6"/>
      <c r="AC564" s="6"/>
      <c r="AD564" s="4">
        <v>0.0921052631578947</v>
      </c>
      <c r="AE564" s="4">
        <v>0.131578947368421</v>
      </c>
    </row>
    <row r="565" ht="14.25" hidden="1" spans="1:31">
      <c r="A565" s="38">
        <v>139</v>
      </c>
      <c r="B565" s="4">
        <v>0.183</v>
      </c>
      <c r="C565" s="4">
        <v>0.16</v>
      </c>
      <c r="D565" s="4">
        <v>4.35</v>
      </c>
      <c r="E565" s="13">
        <v>1748200000</v>
      </c>
      <c r="F565" s="46" t="s">
        <v>78</v>
      </c>
      <c r="G565">
        <v>3.27884708385724</v>
      </c>
      <c r="H565" s="25">
        <v>277.045471683885</v>
      </c>
      <c r="I565" s="14">
        <f>H565/G565</f>
        <v>84.4947826471884</v>
      </c>
      <c r="J565" s="4">
        <v>2.71</v>
      </c>
      <c r="K565" s="4">
        <v>23.8505747126436</v>
      </c>
      <c r="L565" s="4"/>
      <c r="M565" s="4"/>
      <c r="N565" s="4"/>
      <c r="O565" s="4"/>
      <c r="P565" s="4"/>
      <c r="Q565" s="4">
        <v>0.41</v>
      </c>
      <c r="R565" s="4">
        <f>B565</f>
        <v>0.183</v>
      </c>
      <c r="S565" s="18">
        <f>B565/Q565-1</f>
        <v>-0.553658536585366</v>
      </c>
      <c r="T565" s="14">
        <v>-0.0145168212266527</v>
      </c>
      <c r="U565" s="14">
        <v>-0.201858778193358</v>
      </c>
      <c r="V565" s="14">
        <v>-0.252485089463221</v>
      </c>
      <c r="W565" s="31" t="s">
        <v>78</v>
      </c>
      <c r="X565" s="4">
        <v>-1.613</v>
      </c>
      <c r="Y565" s="6"/>
      <c r="Z565" s="6"/>
      <c r="AA565" s="4"/>
      <c r="AB565" s="4"/>
      <c r="AC565" s="6"/>
      <c r="AD565" s="6">
        <v>0.75</v>
      </c>
      <c r="AE565" s="6">
        <v>0.925</v>
      </c>
    </row>
    <row r="566" ht="15" hidden="1" spans="1:24">
      <c r="A566" s="38">
        <v>109</v>
      </c>
      <c r="B566" s="4">
        <v>0.4</v>
      </c>
      <c r="C566" s="4">
        <v>0.37</v>
      </c>
      <c r="D566" s="4">
        <v>6.21</v>
      </c>
      <c r="E566" s="13">
        <v>3098000000</v>
      </c>
      <c r="F566" s="59" t="s">
        <v>1135</v>
      </c>
      <c r="G566">
        <v>9.99909999099991</v>
      </c>
      <c r="H566" s="49">
        <v>482.4111822947</v>
      </c>
      <c r="I566" s="14">
        <f>H566/G566</f>
        <v>48.2454603643241</v>
      </c>
      <c r="J566" s="4">
        <v>2.24</v>
      </c>
      <c r="K566" s="4">
        <v>41.1214953271028</v>
      </c>
      <c r="L566" s="4">
        <v>470.2597</v>
      </c>
      <c r="M566" s="4">
        <v>120.548</v>
      </c>
      <c r="N566" s="4"/>
      <c r="O566" s="4"/>
      <c r="P566" s="4"/>
      <c r="Q566" s="4">
        <v>0.9</v>
      </c>
      <c r="R566" s="61">
        <f>B566</f>
        <v>0.4</v>
      </c>
      <c r="S566" s="18">
        <f>B566/Q566-1</f>
        <v>-0.555555555555556</v>
      </c>
      <c r="T566" s="14">
        <v>-0.240133071223348</v>
      </c>
      <c r="U566" s="14">
        <v>-0.44407567208762</v>
      </c>
      <c r="V566" s="14">
        <v>0.373134328358209</v>
      </c>
      <c r="W566" s="31" t="s">
        <v>1135</v>
      </c>
      <c r="X566" s="4">
        <v>0</v>
      </c>
    </row>
    <row r="567" ht="15" hidden="1" spans="1:31">
      <c r="A567" s="38">
        <v>261</v>
      </c>
      <c r="B567" s="4">
        <v>0.011</v>
      </c>
      <c r="C567" s="4">
        <v>0.01</v>
      </c>
      <c r="D567" s="4">
        <v>0.083</v>
      </c>
      <c r="E567" s="13">
        <v>2014200000</v>
      </c>
      <c r="F567" s="46" t="s">
        <v>162</v>
      </c>
      <c r="G567">
        <v>0</v>
      </c>
      <c r="H567" s="25">
        <v>272.731000037273</v>
      </c>
      <c r="I567" s="14" t="e">
        <f>H567/G567</f>
        <v>#DIV/0!</v>
      </c>
      <c r="J567" s="4">
        <v>4.26</v>
      </c>
      <c r="K567" s="4">
        <v>2.04724409448818</v>
      </c>
      <c r="L567" s="4"/>
      <c r="M567" s="4"/>
      <c r="N567" s="4"/>
      <c r="O567" s="4"/>
      <c r="P567" s="4"/>
      <c r="Q567" s="4">
        <v>0.025</v>
      </c>
      <c r="R567" s="4">
        <f>B567</f>
        <v>0.011</v>
      </c>
      <c r="S567" s="60">
        <f>B567/Q567-1</f>
        <v>-0.56</v>
      </c>
      <c r="T567" s="16">
        <v>-0.208875469878016</v>
      </c>
      <c r="U567" s="14">
        <v>0.481733404384896</v>
      </c>
      <c r="V567" s="14">
        <v>-0.38265674410002</v>
      </c>
      <c r="W567" s="31" t="s">
        <v>162</v>
      </c>
      <c r="X567" s="4">
        <v>-8.333</v>
      </c>
      <c r="Y567" s="6"/>
      <c r="Z567" s="6"/>
      <c r="AA567" s="6"/>
      <c r="AB567" s="6"/>
      <c r="AC567" s="4"/>
      <c r="AD567" s="4">
        <v>0.333333333333333</v>
      </c>
      <c r="AE567" s="6">
        <v>0.611111111111111</v>
      </c>
    </row>
    <row r="568" ht="15" hidden="1" spans="1:31">
      <c r="A568" s="38">
        <v>967</v>
      </c>
      <c r="B568" s="4">
        <v>2.98</v>
      </c>
      <c r="C568" s="4">
        <v>5.1</v>
      </c>
      <c r="D568" s="4">
        <v>9.47</v>
      </c>
      <c r="E568" s="13">
        <v>4488000000</v>
      </c>
      <c r="F568" s="46" t="s">
        <v>100</v>
      </c>
      <c r="G568">
        <v>91.6107382550336</v>
      </c>
      <c r="H568" s="28">
        <v>2.35414534288639</v>
      </c>
      <c r="I568" s="17">
        <f>H568/G568</f>
        <v>0.0256972641824228</v>
      </c>
      <c r="J568" s="4">
        <v>1.82</v>
      </c>
      <c r="K568" s="4">
        <v>2.16960675139964</v>
      </c>
      <c r="L568" s="4">
        <v>16.7654</v>
      </c>
      <c r="M568" s="4">
        <v>15.909</v>
      </c>
      <c r="Q568" s="4">
        <v>7</v>
      </c>
      <c r="R568" s="4">
        <f>B568</f>
        <v>2.98</v>
      </c>
      <c r="S568" s="18">
        <f>B568/Q568-1</f>
        <v>-0.574285714285714</v>
      </c>
      <c r="T568" s="14">
        <v>0</v>
      </c>
      <c r="U568" s="14">
        <v>0</v>
      </c>
      <c r="V568" s="14">
        <v>0</v>
      </c>
      <c r="W568" s="31" t="s">
        <v>100</v>
      </c>
      <c r="X568" s="4">
        <v>0</v>
      </c>
      <c r="AD568" s="6">
        <v>0</v>
      </c>
      <c r="AE568" s="4">
        <v>0</v>
      </c>
    </row>
    <row r="569" ht="15" hidden="1" spans="1:24">
      <c r="A569" s="38">
        <v>1217</v>
      </c>
      <c r="B569" s="4">
        <v>0.042</v>
      </c>
      <c r="C569" s="4">
        <v>0.031</v>
      </c>
      <c r="D569" s="4">
        <v>0.2</v>
      </c>
      <c r="E569" s="13">
        <v>601700000</v>
      </c>
      <c r="F569" s="46" t="s">
        <v>1136</v>
      </c>
      <c r="G569">
        <v>7.14259183597667</v>
      </c>
      <c r="H569" s="28">
        <v>183.334277780926</v>
      </c>
      <c r="I569" s="14">
        <f>H569/G569</f>
        <v>25.6677522657091</v>
      </c>
      <c r="J569" s="4">
        <v>1.73</v>
      </c>
      <c r="K569" s="4">
        <v>326.666666666666</v>
      </c>
      <c r="Q569" s="4">
        <v>0.099</v>
      </c>
      <c r="R569" s="4">
        <f>B569</f>
        <v>0.042</v>
      </c>
      <c r="S569" s="18">
        <f>B569/Q569-1</f>
        <v>-0.575757575757576</v>
      </c>
      <c r="T569" s="14">
        <v>0.817938745746232</v>
      </c>
      <c r="U569" s="14">
        <v>0.910344827586207</v>
      </c>
      <c r="V569" s="14">
        <v>-0.686321700762134</v>
      </c>
      <c r="W569" s="72" t="s">
        <v>1136</v>
      </c>
      <c r="X569" s="4">
        <v>-4.545</v>
      </c>
    </row>
    <row r="570" ht="15" hidden="1" spans="1:31">
      <c r="A570" s="38">
        <v>2223</v>
      </c>
      <c r="B570" s="4">
        <v>1.32</v>
      </c>
      <c r="C570" s="4">
        <v>1.03</v>
      </c>
      <c r="D570" s="4">
        <v>11.8</v>
      </c>
      <c r="E570" s="13">
        <v>362000000</v>
      </c>
      <c r="F570" s="46" t="s">
        <v>111</v>
      </c>
      <c r="G570">
        <v>15.9098553649512</v>
      </c>
      <c r="H570" s="23">
        <v>218.167356029271</v>
      </c>
      <c r="I570" s="14">
        <f>H570/G570</f>
        <v>13.7127177478863</v>
      </c>
      <c r="J570" s="4">
        <v>2.36</v>
      </c>
      <c r="K570" s="4">
        <v>2.33670780751629</v>
      </c>
      <c r="L570" s="4">
        <v>68.2911</v>
      </c>
      <c r="M570" s="4">
        <v>51.496</v>
      </c>
      <c r="Q570" s="4">
        <v>3.27</v>
      </c>
      <c r="R570" s="4">
        <f>B570</f>
        <v>1.32</v>
      </c>
      <c r="S570" s="18">
        <f>B570/Q570-1</f>
        <v>-0.596330275229358</v>
      </c>
      <c r="T570" s="16">
        <v>-0.182978723404255</v>
      </c>
      <c r="U570" s="16">
        <v>3.26666666666667</v>
      </c>
      <c r="V570" s="14">
        <v>0</v>
      </c>
      <c r="W570" s="31" t="s">
        <v>111</v>
      </c>
      <c r="X570" s="4">
        <v>-2.22</v>
      </c>
      <c r="AA570" s="6"/>
      <c r="AB570" s="6"/>
      <c r="AD570" s="4">
        <v>1.1875</v>
      </c>
      <c r="AE570" s="4">
        <v>1.03125</v>
      </c>
    </row>
    <row r="571" ht="15" spans="1:31">
      <c r="A571" s="37">
        <v>3773</v>
      </c>
      <c r="B571" s="6">
        <v>0.88</v>
      </c>
      <c r="C571" s="6">
        <v>1.04</v>
      </c>
      <c r="D571" s="6">
        <v>2.49</v>
      </c>
      <c r="E571" s="15">
        <v>407000000</v>
      </c>
      <c r="F571" s="52" t="s">
        <v>40</v>
      </c>
      <c r="G571">
        <v>11.363233469243</v>
      </c>
      <c r="H571" s="23">
        <v>182.965478211658</v>
      </c>
      <c r="I571" s="16">
        <f>H571/G571</f>
        <v>16.1015329577529</v>
      </c>
      <c r="J571" s="6">
        <v>4.42</v>
      </c>
      <c r="K571" s="16">
        <v>24.7329</v>
      </c>
      <c r="L571" s="6"/>
      <c r="M571" s="6"/>
      <c r="N571" s="6"/>
      <c r="O571" s="6"/>
      <c r="P571" s="6"/>
      <c r="Q571" s="6">
        <v>2.2</v>
      </c>
      <c r="R571" s="6">
        <f>B571</f>
        <v>0.88</v>
      </c>
      <c r="S571" s="19">
        <f>B571/Q571-1</f>
        <v>-0.6</v>
      </c>
      <c r="T571" s="14">
        <v>-0.290263876251137</v>
      </c>
      <c r="U571" s="16">
        <v>-0.413092550790068</v>
      </c>
      <c r="V571" s="14">
        <v>0</v>
      </c>
      <c r="W571" s="31" t="s">
        <v>40</v>
      </c>
      <c r="X571" s="4">
        <v>1.15</v>
      </c>
      <c r="Y571" s="61" t="s">
        <v>1137</v>
      </c>
      <c r="Z571" s="4"/>
      <c r="AA571" s="6"/>
      <c r="AB571" s="6"/>
      <c r="AC571" s="4"/>
      <c r="AD571" s="4">
        <v>0</v>
      </c>
      <c r="AE571" s="4">
        <v>0</v>
      </c>
    </row>
    <row r="572" ht="15" spans="1:31">
      <c r="A572" s="37">
        <v>8156</v>
      </c>
      <c r="B572" s="6">
        <v>0.31</v>
      </c>
      <c r="C572" s="6">
        <v>0.55</v>
      </c>
      <c r="D572" s="6">
        <v>1.65</v>
      </c>
      <c r="E572" s="15">
        <v>1339200000</v>
      </c>
      <c r="F572" s="52" t="s">
        <v>235</v>
      </c>
      <c r="G572">
        <v>43.2269785397979</v>
      </c>
      <c r="H572" s="27">
        <v>270.919881305638</v>
      </c>
      <c r="I572" s="51">
        <f>H572/G572</f>
        <v>6.26737954993106</v>
      </c>
      <c r="J572" s="6">
        <v>8.57</v>
      </c>
      <c r="K572" s="16">
        <v>39.3162393162393</v>
      </c>
      <c r="L572" s="6">
        <v>154.9769</v>
      </c>
      <c r="M572" s="6">
        <v>146.667</v>
      </c>
      <c r="N572" s="6"/>
      <c r="O572" s="6"/>
      <c r="P572" s="6"/>
      <c r="Q572" s="6">
        <v>0.88</v>
      </c>
      <c r="R572" s="6">
        <f>B572</f>
        <v>0.31</v>
      </c>
      <c r="S572" s="19">
        <f>B572/Q572-1</f>
        <v>-0.647727272727273</v>
      </c>
      <c r="T572" s="16">
        <v>-0.366871165644172</v>
      </c>
      <c r="U572" s="16">
        <v>-0.280334728033473</v>
      </c>
      <c r="V572" s="14">
        <v>0.563953488372093</v>
      </c>
      <c r="W572" s="31" t="s">
        <v>235</v>
      </c>
      <c r="X572" s="4">
        <v>0</v>
      </c>
      <c r="Y572" s="6" t="s">
        <v>1138</v>
      </c>
      <c r="AA572" s="6"/>
      <c r="AB572" s="6"/>
      <c r="AD572" s="4">
        <v>0.405797101449275</v>
      </c>
      <c r="AE572" s="6">
        <v>0.695652173913043</v>
      </c>
    </row>
    <row r="573" ht="15" hidden="1" spans="1:31">
      <c r="A573" s="37">
        <v>307</v>
      </c>
      <c r="B573" s="6">
        <v>0.129</v>
      </c>
      <c r="C573" s="6">
        <v>0.25</v>
      </c>
      <c r="D573" s="6">
        <v>1.17</v>
      </c>
      <c r="E573" s="15">
        <v>585500000</v>
      </c>
      <c r="F573" s="53" t="s">
        <v>323</v>
      </c>
      <c r="G573">
        <v>35.6590444081275</v>
      </c>
      <c r="H573" s="23">
        <v>295.350676049656</v>
      </c>
      <c r="I573" s="16">
        <f>H573/G573</f>
        <v>8.2826301419995</v>
      </c>
      <c r="J573" s="6">
        <v>0.21</v>
      </c>
      <c r="K573" s="6">
        <v>8.1081081081081</v>
      </c>
      <c r="L573" s="6"/>
      <c r="M573" s="6"/>
      <c r="N573" s="6"/>
      <c r="O573" s="6"/>
      <c r="P573" s="6"/>
      <c r="Q573" s="6">
        <v>0.37</v>
      </c>
      <c r="R573" s="6">
        <f>B573</f>
        <v>0.129</v>
      </c>
      <c r="S573" s="19">
        <f>B573/Q573-1</f>
        <v>-0.651351351351351</v>
      </c>
      <c r="T573" s="16">
        <v>0</v>
      </c>
      <c r="U573" s="16">
        <v>0</v>
      </c>
      <c r="V573" s="14">
        <v>0</v>
      </c>
      <c r="W573" s="31" t="s">
        <v>323</v>
      </c>
      <c r="X573" s="4">
        <v>0</v>
      </c>
      <c r="AD573" s="4">
        <v>0.12962962962963</v>
      </c>
      <c r="AE573" s="6">
        <v>0.277777777777778</v>
      </c>
    </row>
    <row r="574" ht="15" hidden="1" spans="1:31">
      <c r="A574" s="38">
        <v>8046</v>
      </c>
      <c r="B574" s="4">
        <v>0.092</v>
      </c>
      <c r="C574" s="4">
        <v>0.081</v>
      </c>
      <c r="D574" s="4">
        <v>0.35</v>
      </c>
      <c r="E574" s="13">
        <v>797200000</v>
      </c>
      <c r="F574" s="46" t="s">
        <v>237</v>
      </c>
      <c r="G574">
        <v>8.69581096380702</v>
      </c>
      <c r="H574" s="28">
        <v>280.430647492962</v>
      </c>
      <c r="I574" s="17">
        <f>H574/G574</f>
        <v>32.2489355691087</v>
      </c>
      <c r="J574" s="4">
        <v>3.04</v>
      </c>
      <c r="K574" s="14">
        <v>48.2142857142857</v>
      </c>
      <c r="L574" s="4"/>
      <c r="M574" s="4"/>
      <c r="N574" s="4"/>
      <c r="O574" s="4"/>
      <c r="P574" s="6"/>
      <c r="Q574" s="4">
        <v>0.265</v>
      </c>
      <c r="R574" s="4">
        <f>B574</f>
        <v>0.092</v>
      </c>
      <c r="S574" s="60">
        <f>B574/Q574-1</f>
        <v>-0.652830188679245</v>
      </c>
      <c r="T574" s="14">
        <v>0.695203777335984</v>
      </c>
      <c r="U574" s="14">
        <v>2.33651259476645</v>
      </c>
      <c r="V574" s="14">
        <v>0.0414913692003225</v>
      </c>
      <c r="W574" s="31" t="s">
        <v>237</v>
      </c>
      <c r="X574" s="6">
        <v>-7.071</v>
      </c>
      <c r="Y574" s="6"/>
      <c r="Z574" s="6"/>
      <c r="AA574" s="6"/>
      <c r="AB574" s="6"/>
      <c r="AC574" s="4"/>
      <c r="AD574" s="4">
        <v>0.353535353535354</v>
      </c>
      <c r="AE574" s="6">
        <v>0.434343434343434</v>
      </c>
    </row>
    <row r="575" ht="15" spans="1:31">
      <c r="A575" s="37">
        <v>530</v>
      </c>
      <c r="B575" s="6">
        <v>3.46</v>
      </c>
      <c r="C575" s="6">
        <v>2.83</v>
      </c>
      <c r="D575" s="6">
        <v>35.4</v>
      </c>
      <c r="E575" s="15">
        <v>26910000000</v>
      </c>
      <c r="F575" s="57" t="s">
        <v>379</v>
      </c>
      <c r="G575">
        <v>8.95848506919155</v>
      </c>
      <c r="H575" s="23">
        <v>530.119722747322</v>
      </c>
      <c r="I575" s="16">
        <f>H575/G575</f>
        <v>59.1751527912254</v>
      </c>
      <c r="J575" s="6">
        <v>7.2</v>
      </c>
      <c r="K575" s="6">
        <v>120.095124851367</v>
      </c>
      <c r="L575" s="6">
        <v>58.1319</v>
      </c>
      <c r="M575" s="6">
        <v>58.079</v>
      </c>
      <c r="N575" s="6"/>
      <c r="O575" s="6"/>
      <c r="P575" s="4"/>
      <c r="Q575" s="6">
        <v>10.1</v>
      </c>
      <c r="R575" s="4">
        <f>B575</f>
        <v>3.46</v>
      </c>
      <c r="S575" s="18">
        <f>B575/Q575-1</f>
        <v>-0.657425742574257</v>
      </c>
      <c r="T575" s="14">
        <v>0.0720344688299449</v>
      </c>
      <c r="U575" s="14">
        <v>0.228703703703704</v>
      </c>
      <c r="V575" s="14">
        <v>-0.122456669178598</v>
      </c>
      <c r="W575" s="5" t="s">
        <v>379</v>
      </c>
      <c r="X575" s="4">
        <v>-0.86</v>
      </c>
      <c r="Y575" s="4" t="s">
        <v>1139</v>
      </c>
      <c r="Z575" s="4"/>
      <c r="AA575" s="4"/>
      <c r="AB575" s="4"/>
      <c r="AC575" s="6"/>
      <c r="AD575" s="4">
        <v>0.15</v>
      </c>
      <c r="AE575" s="6">
        <v>0.23125</v>
      </c>
    </row>
    <row r="576" ht="15" spans="1:31">
      <c r="A576" s="22">
        <v>911</v>
      </c>
      <c r="B576" s="6">
        <v>0.154</v>
      </c>
      <c r="C576" s="6">
        <v>0.15</v>
      </c>
      <c r="D576" s="6">
        <v>1.02</v>
      </c>
      <c r="E576" s="15">
        <v>2736700000</v>
      </c>
      <c r="F576" s="57" t="s">
        <v>687</v>
      </c>
      <c r="G576">
        <v>35.0649350649351</v>
      </c>
      <c r="H576" s="27">
        <v>1743.99778720266</v>
      </c>
      <c r="I576" s="16">
        <f>H576/G576</f>
        <v>49.7362331905942</v>
      </c>
      <c r="J576" s="6">
        <v>6.64</v>
      </c>
      <c r="K576" s="6">
        <v>3.82848392036753</v>
      </c>
      <c r="L576" s="6">
        <v>49.7108</v>
      </c>
      <c r="M576" s="6">
        <v>43.59</v>
      </c>
      <c r="N576" s="6"/>
      <c r="O576" s="6"/>
      <c r="P576" s="6"/>
      <c r="Q576" s="6">
        <v>0.51</v>
      </c>
      <c r="R576" s="4">
        <f>B576</f>
        <v>0.154</v>
      </c>
      <c r="S576" s="19">
        <f>B576/Q576-1</f>
        <v>-0.698039215686274</v>
      </c>
      <c r="T576" s="14">
        <v>0.120327183472589</v>
      </c>
      <c r="U576" s="16">
        <v>-0.00777249603869569</v>
      </c>
      <c r="V576" s="14">
        <v>-0.34634974533107</v>
      </c>
      <c r="W576" s="31" t="s">
        <v>687</v>
      </c>
      <c r="X576" s="4">
        <v>0</v>
      </c>
      <c r="Y576" s="4" t="s">
        <v>1140</v>
      </c>
      <c r="Z576" s="4">
        <v>0</v>
      </c>
      <c r="AA576" s="4">
        <v>0</v>
      </c>
      <c r="AC576" s="6"/>
      <c r="AD576" s="4">
        <v>0.395918367346939</v>
      </c>
      <c r="AE576" s="4">
        <v>0.557142857142857</v>
      </c>
    </row>
    <row r="577" ht="15" spans="1:31">
      <c r="A577" s="41">
        <v>8207</v>
      </c>
      <c r="B577" s="6">
        <v>0.88</v>
      </c>
      <c r="C577" s="6">
        <v>0.67</v>
      </c>
      <c r="D577" s="6">
        <v>3.55</v>
      </c>
      <c r="E577" s="15">
        <v>18432000000</v>
      </c>
      <c r="F577" s="47" t="s">
        <v>477</v>
      </c>
      <c r="G577">
        <v>47.5010499790004</v>
      </c>
      <c r="H577" s="23">
        <v>18.1753722524226</v>
      </c>
      <c r="I577" s="16">
        <f>H577/G577</f>
        <v>0.38263095785162</v>
      </c>
      <c r="J577" s="6">
        <v>5.04</v>
      </c>
      <c r="K577" s="16">
        <v>16.1862475270938</v>
      </c>
      <c r="L577" s="6">
        <v>165.0934</v>
      </c>
      <c r="M577" s="6">
        <v>126.724</v>
      </c>
      <c r="N577" s="6"/>
      <c r="O577" s="6"/>
      <c r="P577" s="6"/>
      <c r="Q577" s="6">
        <v>2.94</v>
      </c>
      <c r="R577" s="6">
        <f>B577</f>
        <v>0.88</v>
      </c>
      <c r="S577" s="19">
        <f>B577/Q577-1</f>
        <v>-0.700680272108844</v>
      </c>
      <c r="T577" s="14">
        <v>-0.194831013916501</v>
      </c>
      <c r="U577" s="14">
        <v>0.0583047525722685</v>
      </c>
      <c r="V577" s="16">
        <v>-0.785185185185185</v>
      </c>
      <c r="W577" s="31" t="s">
        <v>477</v>
      </c>
      <c r="X577" s="6">
        <v>-1.12</v>
      </c>
      <c r="Y577" s="6" t="s">
        <v>1141</v>
      </c>
      <c r="Z577" s="6"/>
      <c r="AD577" s="6">
        <v>0.706896551724138</v>
      </c>
      <c r="AE577" s="6">
        <v>0.551724137931035</v>
      </c>
    </row>
    <row r="578" ht="15" hidden="1" spans="1:31">
      <c r="A578" s="38">
        <v>1321</v>
      </c>
      <c r="B578" s="4">
        <v>2.19</v>
      </c>
      <c r="C578" s="4">
        <v>1.54</v>
      </c>
      <c r="D578" s="4">
        <v>14</v>
      </c>
      <c r="E578" s="13">
        <v>3906000000</v>
      </c>
      <c r="F578" s="46" t="s">
        <v>363</v>
      </c>
      <c r="G578">
        <v>4.11352958097612</v>
      </c>
      <c r="H578" s="28">
        <v>439.665407447383</v>
      </c>
      <c r="I578" s="17">
        <f>H578/G578</f>
        <v>106.882763036568</v>
      </c>
      <c r="J578" s="4">
        <v>2.72</v>
      </c>
      <c r="K578" s="4">
        <v>19.5414333931479</v>
      </c>
      <c r="L578" s="4">
        <v>24.736</v>
      </c>
      <c r="M578" s="4">
        <v>21.232</v>
      </c>
      <c r="N578" s="4"/>
      <c r="O578" s="4"/>
      <c r="P578" s="4"/>
      <c r="Q578" s="4">
        <v>8.48</v>
      </c>
      <c r="R578" s="4">
        <f>B578</f>
        <v>2.19</v>
      </c>
      <c r="S578" s="18">
        <f>B578/Q578-1</f>
        <v>-0.741745283018868</v>
      </c>
      <c r="T578" s="16">
        <v>0.479591836734694</v>
      </c>
      <c r="U578" s="14">
        <v>2.08510638297872</v>
      </c>
      <c r="V578" s="16">
        <v>-0.793103448275862</v>
      </c>
      <c r="W578" s="31" t="s">
        <v>363</v>
      </c>
      <c r="X578" s="4">
        <v>-2.23</v>
      </c>
      <c r="Y578" s="4"/>
      <c r="Z578" s="4"/>
      <c r="AA578" s="6"/>
      <c r="AB578" s="6"/>
      <c r="AC578" s="6"/>
      <c r="AD578" s="4">
        <v>0.039426523297491</v>
      </c>
      <c r="AE578" s="4">
        <v>0.086021505376344</v>
      </c>
    </row>
    <row r="579" ht="15" spans="1:31">
      <c r="A579" s="38">
        <v>8282</v>
      </c>
      <c r="B579" s="4">
        <v>0.96</v>
      </c>
      <c r="C579" s="4">
        <v>2.5</v>
      </c>
      <c r="D579" s="4">
        <v>6.6</v>
      </c>
      <c r="E579" s="13">
        <v>155000000</v>
      </c>
      <c r="F579" s="45" t="s">
        <v>31</v>
      </c>
      <c r="G579">
        <v>35.4172048566262</v>
      </c>
      <c r="H579" s="51">
        <v>783.392226148411</v>
      </c>
      <c r="I579" s="17">
        <f>H579/G579</f>
        <v>22.118973795919</v>
      </c>
      <c r="J579" s="4">
        <v>13.29</v>
      </c>
      <c r="K579" s="14">
        <v>144.67</v>
      </c>
      <c r="L579" s="4"/>
      <c r="M579" s="4"/>
      <c r="N579" s="4"/>
      <c r="O579" s="4"/>
      <c r="P579" s="4"/>
      <c r="Q579" s="4">
        <v>3.9</v>
      </c>
      <c r="R579" s="4">
        <f>B579</f>
        <v>0.96</v>
      </c>
      <c r="S579" s="68">
        <f>B579/Q579-1</f>
        <v>-0.753846153846154</v>
      </c>
      <c r="T579" s="14">
        <v>-0.541666666666667</v>
      </c>
      <c r="U579" s="14">
        <v>-0.476190476190476</v>
      </c>
      <c r="V579" s="14">
        <v>1</v>
      </c>
      <c r="W579" s="31" t="s">
        <v>31</v>
      </c>
      <c r="X579" s="4">
        <v>-3.03</v>
      </c>
      <c r="Y579" s="4" t="s">
        <v>1142</v>
      </c>
      <c r="Z579" s="4"/>
      <c r="AA579" s="4"/>
      <c r="AB579" s="4"/>
      <c r="AC579" s="4"/>
      <c r="AD579" s="4">
        <v>0</v>
      </c>
      <c r="AE579" s="4">
        <v>0.440944881889764</v>
      </c>
    </row>
    <row r="580" ht="15" spans="1:31">
      <c r="A580" s="22">
        <v>1831</v>
      </c>
      <c r="B580" s="6">
        <v>0.425</v>
      </c>
      <c r="C580" s="6">
        <v>0.41</v>
      </c>
      <c r="D580" s="6">
        <v>3.13</v>
      </c>
      <c r="E580" s="15">
        <v>572100000</v>
      </c>
      <c r="F580" s="53" t="s">
        <v>155</v>
      </c>
      <c r="G580">
        <v>8.23499183291427</v>
      </c>
      <c r="H580" s="23">
        <v>782.378893496868</v>
      </c>
      <c r="I580" s="16">
        <f>H580/G580</f>
        <v>95.0066386671804</v>
      </c>
      <c r="J580" s="6">
        <v>6.22</v>
      </c>
      <c r="K580" s="6">
        <v>14.6836409556113</v>
      </c>
      <c r="L580" s="6"/>
      <c r="M580" s="6"/>
      <c r="N580" s="6"/>
      <c r="O580" s="6"/>
      <c r="P580" s="6"/>
      <c r="Q580" s="6">
        <v>1.83</v>
      </c>
      <c r="R580" s="4">
        <f>B580</f>
        <v>0.425</v>
      </c>
      <c r="S580" s="19">
        <f>B580/Q580-1</f>
        <v>-0.76775956284153</v>
      </c>
      <c r="T580" s="14">
        <v>0.61731843575419</v>
      </c>
      <c r="U580" s="16">
        <v>0.782086795937211</v>
      </c>
      <c r="V580" s="14">
        <v>-0.803626943005181</v>
      </c>
      <c r="W580" s="72" t="s">
        <v>155</v>
      </c>
      <c r="X580" s="4">
        <v>-1.163</v>
      </c>
      <c r="Y580" s="61" t="s">
        <v>1143</v>
      </c>
      <c r="Z580" s="6">
        <v>0</v>
      </c>
      <c r="AA580" s="4">
        <v>11000</v>
      </c>
      <c r="AB580" s="4"/>
      <c r="AC580" s="4"/>
      <c r="AD580" s="4">
        <v>0.305084745762712</v>
      </c>
      <c r="AE580" s="4">
        <v>0.338983050847458</v>
      </c>
    </row>
    <row r="581" ht="15" spans="1:31">
      <c r="A581" s="38">
        <v>1459</v>
      </c>
      <c r="B581" s="4">
        <v>1.45</v>
      </c>
      <c r="C581" s="4">
        <v>1.42</v>
      </c>
      <c r="D581" s="4">
        <v>7.99</v>
      </c>
      <c r="E581" s="13">
        <v>837000000</v>
      </c>
      <c r="F581" s="45" t="s">
        <v>41</v>
      </c>
      <c r="G581">
        <v>5.5177626606198</v>
      </c>
      <c r="H581" s="27">
        <v>450.964187327824</v>
      </c>
      <c r="I581" s="17">
        <f>H581/G581</f>
        <v>81.729536963659</v>
      </c>
      <c r="J581" s="4">
        <v>3.08</v>
      </c>
      <c r="K581" s="4">
        <v>29.0748</v>
      </c>
      <c r="L581" s="4"/>
      <c r="M581" s="4"/>
      <c r="N581" s="4"/>
      <c r="O581" s="4"/>
      <c r="P581" s="4"/>
      <c r="Q581" s="4">
        <v>6.35</v>
      </c>
      <c r="R581" s="4">
        <f>B581</f>
        <v>1.45</v>
      </c>
      <c r="S581" s="18">
        <f>B581/Q581-1</f>
        <v>-0.771653543307087</v>
      </c>
      <c r="T581" s="14">
        <v>-0.413461538461538</v>
      </c>
      <c r="U581" s="16">
        <v>-0.344086021505376</v>
      </c>
      <c r="V581" s="14">
        <v>0.00546448087431694</v>
      </c>
      <c r="W581" s="5" t="s">
        <v>41</v>
      </c>
      <c r="X581" s="4">
        <v>0.69</v>
      </c>
      <c r="Y581" s="4" t="s">
        <v>1144</v>
      </c>
      <c r="Z581" s="4"/>
      <c r="AA581" s="4"/>
      <c r="AB581" s="4"/>
      <c r="AC581" s="4"/>
      <c r="AD581" s="4">
        <v>0</v>
      </c>
      <c r="AE581" s="4">
        <v>0</v>
      </c>
    </row>
    <row r="582" ht="15" hidden="1" spans="1:31">
      <c r="A582" s="38">
        <v>2322</v>
      </c>
      <c r="B582" s="4">
        <v>0.93</v>
      </c>
      <c r="C582" s="4">
        <v>0.48</v>
      </c>
      <c r="D582" s="4">
        <v>5.85</v>
      </c>
      <c r="E582" s="13">
        <v>3386000000</v>
      </c>
      <c r="F582" s="46" t="s">
        <v>1145</v>
      </c>
      <c r="G582">
        <v>26.4489555751692</v>
      </c>
      <c r="H582" s="27">
        <v>52.9051987767584</v>
      </c>
      <c r="I582" s="14">
        <f>H582/G582</f>
        <v>2.00027553550836</v>
      </c>
      <c r="J582" s="4">
        <v>6.63</v>
      </c>
      <c r="K582" s="4">
        <v>2.00281096275474</v>
      </c>
      <c r="L582" s="4">
        <v>347.0981</v>
      </c>
      <c r="M582" s="4">
        <v>168.354</v>
      </c>
      <c r="Q582" s="32">
        <v>5.59</v>
      </c>
      <c r="R582" s="6">
        <f>B582</f>
        <v>0.93</v>
      </c>
      <c r="S582" s="19">
        <f>B582/Q582-1</f>
        <v>-0.833631484794276</v>
      </c>
      <c r="T582" s="14">
        <v>-0.288135593220339</v>
      </c>
      <c r="U582" s="14">
        <v>1.8</v>
      </c>
      <c r="V582" s="14">
        <v>-0.214285714285714</v>
      </c>
      <c r="W582" s="31" t="s">
        <v>1145</v>
      </c>
      <c r="X582" s="6">
        <v>-5.1</v>
      </c>
      <c r="AA582" s="6"/>
      <c r="AB582" s="6"/>
      <c r="AD582" s="4">
        <v>0.4</v>
      </c>
      <c r="AE582" s="4">
        <v>0.9</v>
      </c>
    </row>
    <row r="583" ht="15" hidden="1" spans="1:31">
      <c r="A583" s="37">
        <v>2211</v>
      </c>
      <c r="B583" s="6">
        <v>0.365</v>
      </c>
      <c r="C583" s="6">
        <v>2.31</v>
      </c>
      <c r="D583" s="6">
        <v>5.58</v>
      </c>
      <c r="E583" s="15">
        <v>912000000</v>
      </c>
      <c r="F583" s="47" t="s">
        <v>496</v>
      </c>
      <c r="G583">
        <v>15.0685396884714</v>
      </c>
      <c r="H583" s="27">
        <v>771.23192193762</v>
      </c>
      <c r="I583" s="16">
        <f>H583/G583</f>
        <v>51.1815967493965</v>
      </c>
      <c r="J583" s="6">
        <v>1.45</v>
      </c>
      <c r="K583" s="6">
        <v>0.766987806427853</v>
      </c>
      <c r="L583" s="6">
        <v>8.3574</v>
      </c>
      <c r="M583" s="6">
        <v>8.311</v>
      </c>
      <c r="N583" s="6"/>
      <c r="O583" s="6"/>
      <c r="P583" s="6"/>
      <c r="Q583" s="6">
        <v>2.47</v>
      </c>
      <c r="R583" s="6">
        <f>B583</f>
        <v>0.365</v>
      </c>
      <c r="S583" s="63">
        <f>B583/Q583-1</f>
        <v>-0.852226720647773</v>
      </c>
      <c r="T583" s="16">
        <v>-0.22628540005499</v>
      </c>
      <c r="U583" s="16">
        <v>-0.584379523232801</v>
      </c>
      <c r="V583" s="14">
        <v>-0.423312011371713</v>
      </c>
      <c r="W583" s="31" t="s">
        <v>496</v>
      </c>
      <c r="X583" s="6">
        <v>2.817</v>
      </c>
      <c r="AD583" s="4">
        <v>0.142384105960265</v>
      </c>
      <c r="AE583" s="4">
        <v>0.211920529801325</v>
      </c>
    </row>
    <row r="584" ht="15" spans="1:31">
      <c r="A584" s="77">
        <v>1027</v>
      </c>
      <c r="B584" s="10">
        <v>0.187</v>
      </c>
      <c r="C584" s="10">
        <v>0.05</v>
      </c>
      <c r="D584" s="10">
        <v>3.3</v>
      </c>
      <c r="E584" s="20">
        <v>16500000000</v>
      </c>
      <c r="F584" s="91" t="s">
        <v>675</v>
      </c>
      <c r="G584">
        <v>2.67355737880425</v>
      </c>
      <c r="H584" s="51">
        <v>97.8591638471736</v>
      </c>
      <c r="I584" s="81">
        <f>H584/G584</f>
        <v>36.6026046880435</v>
      </c>
      <c r="J584" s="41">
        <v>43.62</v>
      </c>
      <c r="K584" s="10">
        <v>25.7853480285259</v>
      </c>
      <c r="L584" s="10">
        <v>242.6514</v>
      </c>
      <c r="M584" s="10">
        <v>242.623</v>
      </c>
      <c r="N584" s="10"/>
      <c r="O584" s="10"/>
      <c r="P584" s="10"/>
      <c r="Q584" s="10">
        <v>1.48</v>
      </c>
      <c r="R584" s="10">
        <f>B584</f>
        <v>0.187</v>
      </c>
      <c r="S584" s="82">
        <f>B584/Q584-1</f>
        <v>-0.873648648648649</v>
      </c>
      <c r="T584" s="12">
        <v>-0.623616236162362</v>
      </c>
      <c r="U584" s="83">
        <v>-0.286713286713287</v>
      </c>
      <c r="V584" s="12">
        <v>-0.627450980392157</v>
      </c>
      <c r="W584" s="95" t="s">
        <v>675</v>
      </c>
      <c r="X584" s="10">
        <v>0</v>
      </c>
      <c r="Y584" s="10" t="s">
        <v>1146</v>
      </c>
      <c r="Z584" s="10"/>
      <c r="AA584" s="86"/>
      <c r="AB584" s="86"/>
      <c r="AC584" s="10"/>
      <c r="AD584" s="10">
        <v>0.37</v>
      </c>
      <c r="AE584" s="10">
        <v>0.66</v>
      </c>
    </row>
    <row r="585" ht="14.25" hidden="1" spans="1:31">
      <c r="A585" s="38">
        <v>362</v>
      </c>
      <c r="B585" s="4">
        <v>0.071</v>
      </c>
      <c r="C585" s="4">
        <v>0.25</v>
      </c>
      <c r="D585" s="4">
        <v>1.23</v>
      </c>
      <c r="E585" s="13">
        <v>238600000</v>
      </c>
      <c r="F585" s="46" t="s">
        <v>337</v>
      </c>
      <c r="G585">
        <v>7.32417078301808</v>
      </c>
      <c r="H585" s="25">
        <v>826.097425449157</v>
      </c>
      <c r="I585" s="17">
        <f>H585/G585</f>
        <v>112.790573830495</v>
      </c>
      <c r="J585" s="4">
        <v>0.8</v>
      </c>
      <c r="K585" s="4">
        <v>19.6132596685082</v>
      </c>
      <c r="Q585" s="4">
        <v>0.69</v>
      </c>
      <c r="R585" s="4">
        <f>B585</f>
        <v>0.071</v>
      </c>
      <c r="S585" s="18">
        <f>B585/Q585-1</f>
        <v>-0.897101449275362</v>
      </c>
      <c r="T585" s="16">
        <v>-0.262368693191096</v>
      </c>
      <c r="U585" s="16">
        <v>-0.302747337552091</v>
      </c>
      <c r="V585" s="14">
        <v>-0.598339789706696</v>
      </c>
      <c r="W585" s="31" t="s">
        <v>337</v>
      </c>
      <c r="X585" s="6">
        <v>-1.389</v>
      </c>
      <c r="AA585" s="6"/>
      <c r="AB585" s="6"/>
      <c r="AD585" s="4">
        <v>0</v>
      </c>
      <c r="AE585" s="4">
        <v>0</v>
      </c>
    </row>
    <row r="586" ht="15" hidden="1" spans="1:31">
      <c r="A586" s="38">
        <v>2999</v>
      </c>
      <c r="B586" s="4">
        <v>0.035</v>
      </c>
      <c r="C586" s="4">
        <v>0.97</v>
      </c>
      <c r="D586" s="4">
        <v>2.36</v>
      </c>
      <c r="E586" s="13">
        <v>0</v>
      </c>
      <c r="F586" s="45" t="s">
        <v>486</v>
      </c>
      <c r="G586">
        <v>65.7143248979144</v>
      </c>
      <c r="H586" s="25">
        <v>42.8571428571429</v>
      </c>
      <c r="I586" s="17">
        <f>H586/G586</f>
        <v>0.652173524170269</v>
      </c>
      <c r="J586" s="4">
        <v>5.15</v>
      </c>
      <c r="K586" s="14">
        <v>13.616206438889</v>
      </c>
      <c r="L586" s="4">
        <v>222.951</v>
      </c>
      <c r="M586" s="4"/>
      <c r="N586" s="4"/>
      <c r="O586" s="4"/>
      <c r="P586" s="4"/>
      <c r="Q586" s="4">
        <v>1.71</v>
      </c>
      <c r="R586" s="4">
        <f>B586</f>
        <v>0.035</v>
      </c>
      <c r="S586" s="18">
        <f>B586/Q586-1</f>
        <v>-0.97953216374269</v>
      </c>
      <c r="T586" s="14">
        <v>0</v>
      </c>
      <c r="U586" s="14">
        <v>0</v>
      </c>
      <c r="V586" s="14">
        <v>0</v>
      </c>
      <c r="W586" s="96" t="s">
        <v>486</v>
      </c>
      <c r="X586" s="6">
        <v>0</v>
      </c>
      <c r="Y586" s="6"/>
      <c r="Z586" s="6"/>
      <c r="AA586" s="6"/>
      <c r="AB586" s="6"/>
      <c r="AC586" s="4"/>
      <c r="AD586" s="4">
        <v>0</v>
      </c>
      <c r="AE586" s="4">
        <v>0.265151515151515</v>
      </c>
    </row>
    <row r="587" ht="15" hidden="1" spans="1:31">
      <c r="A587" s="22">
        <v>1143</v>
      </c>
      <c r="B587" s="6">
        <v>0.133</v>
      </c>
      <c r="C587" s="6">
        <v>0.6</v>
      </c>
      <c r="D587" s="6">
        <v>11.84</v>
      </c>
      <c r="E587" s="15">
        <v>678900000</v>
      </c>
      <c r="F587" s="57" t="s">
        <v>69</v>
      </c>
      <c r="G587">
        <v>23.3081784158537</v>
      </c>
      <c r="H587" s="26">
        <v>790.234131576604</v>
      </c>
      <c r="I587" s="16">
        <f>H587/G587</f>
        <v>33.9037275876996</v>
      </c>
      <c r="J587" s="6">
        <v>8.39</v>
      </c>
      <c r="K587" s="6">
        <v>2.48189459216577</v>
      </c>
      <c r="L587" s="6">
        <v>8064.1896</v>
      </c>
      <c r="M587" s="6">
        <v>5707.143</v>
      </c>
      <c r="N587" s="6"/>
      <c r="O587" s="6"/>
      <c r="P587" s="6"/>
      <c r="Q587" s="6">
        <v>7.99</v>
      </c>
      <c r="R587" s="6">
        <f>B587</f>
        <v>0.133</v>
      </c>
      <c r="S587" s="63">
        <f>B587/Q587-1</f>
        <v>-0.983354192740926</v>
      </c>
      <c r="T587" s="16">
        <v>-0.0987740805604203</v>
      </c>
      <c r="U587" s="16">
        <v>-0.553608605135323</v>
      </c>
      <c r="V587" s="16">
        <v>-0.802565099106102</v>
      </c>
      <c r="W587" s="31" t="s">
        <v>69</v>
      </c>
      <c r="X587" s="6">
        <v>-2.206</v>
      </c>
      <c r="Y587" s="6"/>
      <c r="Z587" s="6"/>
      <c r="AA587" s="6"/>
      <c r="AB587" s="6"/>
      <c r="AD587" s="4">
        <v>0</v>
      </c>
      <c r="AE587" s="4">
        <v>0</v>
      </c>
    </row>
    <row r="588" ht="15" hidden="1" spans="1:31">
      <c r="A588" s="38">
        <v>2964</v>
      </c>
      <c r="B588" s="4">
        <v>0.01</v>
      </c>
      <c r="C588" s="4">
        <v>0.37</v>
      </c>
      <c r="D588" s="4">
        <v>14.6</v>
      </c>
      <c r="E588" s="13">
        <v>0</v>
      </c>
      <c r="F588" s="46" t="s">
        <v>184</v>
      </c>
      <c r="G588">
        <v>0</v>
      </c>
      <c r="H588" s="28">
        <v>0</v>
      </c>
      <c r="I588" s="17" t="e">
        <f>H588/G588</f>
        <v>#DIV/0!</v>
      </c>
      <c r="J588" s="4">
        <v>0</v>
      </c>
      <c r="K588" s="4"/>
      <c r="L588" s="4"/>
      <c r="M588" s="4"/>
      <c r="N588" s="4"/>
      <c r="O588" s="4"/>
      <c r="P588" s="6"/>
      <c r="Q588" s="4">
        <v>14.7</v>
      </c>
      <c r="R588" s="4">
        <f>B588</f>
        <v>0.01</v>
      </c>
      <c r="S588" s="18">
        <f>B588/Q588-1</f>
        <v>-0.999319727891156</v>
      </c>
      <c r="T588" s="14">
        <v>0</v>
      </c>
      <c r="U588" s="14">
        <v>0</v>
      </c>
      <c r="V588" s="14">
        <v>0</v>
      </c>
      <c r="W588" s="31" t="s">
        <v>184</v>
      </c>
      <c r="X588" s="6">
        <v>0</v>
      </c>
      <c r="Y588" s="4"/>
      <c r="Z588" s="4"/>
      <c r="AA588" s="4"/>
      <c r="AB588" s="4"/>
      <c r="AC588" s="4"/>
      <c r="AD588" s="6">
        <v>0</v>
      </c>
      <c r="AE588" s="4">
        <v>0</v>
      </c>
    </row>
    <row r="589" ht="15" hidden="1" spans="1:31">
      <c r="A589" s="43">
        <v>1638</v>
      </c>
      <c r="B589" s="4">
        <v>0</v>
      </c>
      <c r="C589" s="4">
        <v>1.38</v>
      </c>
      <c r="D589" s="4">
        <v>3.26</v>
      </c>
      <c r="E589" s="13">
        <v>8011000000</v>
      </c>
      <c r="F589" s="46" t="s">
        <v>1147</v>
      </c>
      <c r="G589">
        <v>0</v>
      </c>
      <c r="H589" s="29">
        <v>0</v>
      </c>
      <c r="I589" s="14" t="e">
        <f>H589/G589</f>
        <v>#DIV/0!</v>
      </c>
      <c r="J589" s="4">
        <v>0.33</v>
      </c>
      <c r="K589" s="4">
        <v>0.452584426796166</v>
      </c>
      <c r="L589" s="4">
        <v>2.1893</v>
      </c>
      <c r="M589" s="4">
        <v>2.096</v>
      </c>
      <c r="N589" s="4"/>
      <c r="O589" s="4"/>
      <c r="P589" s="4"/>
      <c r="Q589" s="32">
        <v>1.56</v>
      </c>
      <c r="R589" s="37">
        <f>B589</f>
        <v>0</v>
      </c>
      <c r="S589" s="19">
        <f>B589/Q589-1</f>
        <v>-1</v>
      </c>
      <c r="T589" s="14">
        <v>0</v>
      </c>
      <c r="U589" s="14">
        <v>0</v>
      </c>
      <c r="V589" s="14">
        <v>0</v>
      </c>
      <c r="W589" s="31" t="s">
        <v>1147</v>
      </c>
      <c r="X589" s="4">
        <v>0</v>
      </c>
      <c r="Y589" s="6"/>
      <c r="Z589" s="6"/>
      <c r="AA589" s="4"/>
      <c r="AB589" s="4"/>
      <c r="AC589" s="6"/>
      <c r="AD589" s="4">
        <v>0</v>
      </c>
      <c r="AE589" s="4">
        <v>0</v>
      </c>
    </row>
    <row r="590" ht="15" hidden="1" spans="1:24">
      <c r="A590" s="38">
        <v>1483</v>
      </c>
      <c r="B590" s="4">
        <v>0</v>
      </c>
      <c r="C590" s="4">
        <v>0.34</v>
      </c>
      <c r="D590" s="4">
        <v>0.91</v>
      </c>
      <c r="E590" s="13">
        <v>609000000</v>
      </c>
      <c r="F590" s="46" t="s">
        <v>1148</v>
      </c>
      <c r="G590">
        <v>0</v>
      </c>
      <c r="H590" s="49">
        <v>0</v>
      </c>
      <c r="I590" s="14" t="e">
        <f>H590/G590</f>
        <v>#DIV/0!</v>
      </c>
      <c r="J590" s="4">
        <v>3.61</v>
      </c>
      <c r="K590" s="4">
        <v>0.870473537604456</v>
      </c>
      <c r="L590" s="4">
        <v>16.2747</v>
      </c>
      <c r="M590" s="4">
        <v>13.812</v>
      </c>
      <c r="Q590" s="4">
        <v>0.77</v>
      </c>
      <c r="R590" s="61">
        <f>B590</f>
        <v>0</v>
      </c>
      <c r="S590" s="18">
        <f>B590/Q590-1</f>
        <v>-1</v>
      </c>
      <c r="T590" s="14">
        <v>-0.30644111906311</v>
      </c>
      <c r="U590" s="14">
        <v>0.017175572519084</v>
      </c>
      <c r="V590" s="14">
        <v>-1</v>
      </c>
      <c r="W590" s="62" t="s">
        <v>1148</v>
      </c>
      <c r="X590" s="4">
        <v>0</v>
      </c>
    </row>
    <row r="591" ht="15" spans="1:31">
      <c r="A591" s="43">
        <v>1395</v>
      </c>
      <c r="B591" s="4">
        <v>0</v>
      </c>
      <c r="C591" s="4">
        <v>0.37</v>
      </c>
      <c r="D591" s="4">
        <v>1.52</v>
      </c>
      <c r="E591" s="13">
        <v>476000000</v>
      </c>
      <c r="F591" s="53" t="s">
        <v>1149</v>
      </c>
      <c r="G591">
        <v>0</v>
      </c>
      <c r="H591" s="27">
        <v>0</v>
      </c>
      <c r="I591" s="14" t="e">
        <f>H591/G591</f>
        <v>#DIV/0!</v>
      </c>
      <c r="J591" s="4">
        <v>0.83</v>
      </c>
      <c r="K591" s="4">
        <v>2.54188330444829</v>
      </c>
      <c r="L591" s="4">
        <v>45.2013</v>
      </c>
      <c r="M591" s="4">
        <v>26.761</v>
      </c>
      <c r="N591" s="4"/>
      <c r="O591" s="4"/>
      <c r="P591" s="4"/>
      <c r="Q591" s="32">
        <v>0.46</v>
      </c>
      <c r="R591" s="6">
        <f>B591</f>
        <v>0</v>
      </c>
      <c r="S591" s="19">
        <f>B591/Q591-1</f>
        <v>-1</v>
      </c>
      <c r="T591" s="14">
        <v>-0.892307692307692</v>
      </c>
      <c r="U591" s="14">
        <v>-0.959770114942529</v>
      </c>
      <c r="V591" s="14">
        <v>-1</v>
      </c>
      <c r="W591" s="31" t="s">
        <v>1149</v>
      </c>
      <c r="X591" s="4">
        <v>0</v>
      </c>
      <c r="Y591" s="6" t="s">
        <v>1150</v>
      </c>
      <c r="Z591" s="6"/>
      <c r="AA591" s="4"/>
      <c r="AB591" s="4"/>
      <c r="AC591" s="4"/>
      <c r="AD591" s="4">
        <v>0.236397748592871</v>
      </c>
      <c r="AE591" s="4">
        <v>0.380863039399625</v>
      </c>
    </row>
    <row r="592" ht="15" hidden="1" spans="1:31">
      <c r="A592" s="37">
        <v>327</v>
      </c>
      <c r="B592" s="6">
        <v>0</v>
      </c>
      <c r="C592" s="6">
        <v>5.57</v>
      </c>
      <c r="D592" s="6">
        <v>14.2</v>
      </c>
      <c r="E592" s="15">
        <v>6243000000</v>
      </c>
      <c r="F592" s="53" t="s">
        <v>85</v>
      </c>
      <c r="G592">
        <v>0</v>
      </c>
      <c r="H592" s="27">
        <v>0</v>
      </c>
      <c r="I592" s="16" t="e">
        <f>H592/G592</f>
        <v>#DIV/0!</v>
      </c>
      <c r="J592" s="6">
        <v>2.69</v>
      </c>
      <c r="K592" s="6">
        <v>3.36081778292106</v>
      </c>
      <c r="L592" s="6">
        <v>19.7821</v>
      </c>
      <c r="M592" s="6">
        <v>18.054</v>
      </c>
      <c r="N592" s="6"/>
      <c r="O592" s="6"/>
      <c r="P592" s="6"/>
      <c r="Q592" s="6">
        <v>6.55</v>
      </c>
      <c r="R592" s="4">
        <f>B592</f>
        <v>0</v>
      </c>
      <c r="S592" s="19">
        <f>B592/Q592-1</f>
        <v>-1</v>
      </c>
      <c r="T592" s="14">
        <v>0.61617704687199</v>
      </c>
      <c r="U592" s="14">
        <v>1.0324755055504</v>
      </c>
      <c r="V592" s="14">
        <v>-1</v>
      </c>
      <c r="W592" s="31" t="s">
        <v>85</v>
      </c>
      <c r="X592" s="4">
        <v>0</v>
      </c>
      <c r="Y592" s="4"/>
      <c r="Z592" s="4"/>
      <c r="AA592" s="4"/>
      <c r="AB592" s="4"/>
      <c r="AC592" s="4"/>
      <c r="AD592" s="6">
        <v>0.0587677725118483</v>
      </c>
      <c r="AE592" s="4">
        <v>0.174407582938389</v>
      </c>
    </row>
    <row r="593" ht="15" hidden="1" spans="1:31">
      <c r="A593" s="38">
        <v>848</v>
      </c>
      <c r="B593" s="4">
        <v>0</v>
      </c>
      <c r="C593" s="4">
        <v>0.77</v>
      </c>
      <c r="D593" s="4">
        <v>2</v>
      </c>
      <c r="E593" s="13">
        <v>3805000000</v>
      </c>
      <c r="F593" s="45" t="s">
        <v>1151</v>
      </c>
      <c r="G593">
        <v>0</v>
      </c>
      <c r="H593" s="29">
        <v>0</v>
      </c>
      <c r="I593" s="14" t="e">
        <f>H593/G593</f>
        <v>#DIV/0!</v>
      </c>
      <c r="J593" s="4">
        <v>0.45</v>
      </c>
      <c r="K593" s="4">
        <v>0.792414006299784</v>
      </c>
      <c r="L593" s="4">
        <v>2.5612</v>
      </c>
      <c r="M593" s="4">
        <v>2.406</v>
      </c>
      <c r="N593" s="4"/>
      <c r="O593" s="4"/>
      <c r="P593" s="4"/>
      <c r="Q593" s="32">
        <v>0.84</v>
      </c>
      <c r="R593" s="6">
        <f>B593</f>
        <v>0</v>
      </c>
      <c r="S593" s="19">
        <f>B593/Q593-1</f>
        <v>-1</v>
      </c>
      <c r="T593" s="14">
        <v>-0.21679748822606</v>
      </c>
      <c r="U593" s="14">
        <v>0.3208895949166</v>
      </c>
      <c r="V593" s="16">
        <v>-1</v>
      </c>
      <c r="W593" s="31" t="s">
        <v>1151</v>
      </c>
      <c r="X593" s="4">
        <v>0</v>
      </c>
      <c r="Y593" s="6"/>
      <c r="Z593" s="6"/>
      <c r="AA593" s="4"/>
      <c r="AB593" s="4"/>
      <c r="AC593" s="4"/>
      <c r="AD593" s="4">
        <v>0.301384451544196</v>
      </c>
      <c r="AE593" s="6">
        <v>0.35356762513312</v>
      </c>
    </row>
    <row r="594" ht="15" spans="1:31">
      <c r="A594" s="37">
        <v>1250</v>
      </c>
      <c r="B594" s="6">
        <v>0</v>
      </c>
      <c r="C594" s="6">
        <v>0.11</v>
      </c>
      <c r="D594" s="6">
        <v>1.92</v>
      </c>
      <c r="E594" s="15">
        <v>6795200000</v>
      </c>
      <c r="F594" s="52" t="s">
        <v>360</v>
      </c>
      <c r="G594">
        <v>0</v>
      </c>
      <c r="H594" s="27">
        <v>0</v>
      </c>
      <c r="I594" s="16" t="e">
        <f>H594/G594</f>
        <v>#DIV/0!</v>
      </c>
      <c r="J594" s="6">
        <v>5.57</v>
      </c>
      <c r="K594" s="6">
        <v>31.6139893807466</v>
      </c>
      <c r="L594" s="6">
        <v>256.3053</v>
      </c>
      <c r="M594" s="6">
        <v>47.222</v>
      </c>
      <c r="N594" s="6"/>
      <c r="O594" s="6"/>
      <c r="P594" s="4"/>
      <c r="Q594" s="6">
        <v>0.425</v>
      </c>
      <c r="R594" s="4">
        <f>B594</f>
        <v>0</v>
      </c>
      <c r="S594" s="60">
        <f>B594/Q594-1</f>
        <v>-1</v>
      </c>
      <c r="T594" s="16">
        <v>-0.123518687329079</v>
      </c>
      <c r="U594" s="14">
        <v>-0.459527824620573</v>
      </c>
      <c r="V594" s="16">
        <v>-1</v>
      </c>
      <c r="W594" s="5" t="s">
        <v>360</v>
      </c>
      <c r="X594" s="6">
        <v>0</v>
      </c>
      <c r="Y594" s="61" t="s">
        <v>1152</v>
      </c>
      <c r="Z594" s="4"/>
      <c r="AA594" s="4"/>
      <c r="AB594" s="4"/>
      <c r="AC594" s="6"/>
      <c r="AD594" s="6">
        <v>0.633802816901408</v>
      </c>
      <c r="AE594" s="4">
        <v>1.02816901408451</v>
      </c>
    </row>
    <row r="595" ht="15" spans="1:31">
      <c r="A595" s="37">
        <v>218</v>
      </c>
      <c r="B595" s="6">
        <v>0</v>
      </c>
      <c r="C595" s="6">
        <v>2.24</v>
      </c>
      <c r="D595" s="6">
        <v>9.75</v>
      </c>
      <c r="E595" s="15">
        <v>3455000000</v>
      </c>
      <c r="F595" s="47" t="s">
        <v>238</v>
      </c>
      <c r="G595">
        <v>0</v>
      </c>
      <c r="H595" s="29">
        <v>0</v>
      </c>
      <c r="I595" s="16" t="e">
        <f>H595/G595</f>
        <v>#DIV/0!</v>
      </c>
      <c r="J595" s="6">
        <v>1.17</v>
      </c>
      <c r="K595" s="6">
        <v>2.72602111060119</v>
      </c>
      <c r="L595" s="6">
        <v>25.1723</v>
      </c>
      <c r="M595" s="6">
        <v>21.148</v>
      </c>
      <c r="N595" s="6"/>
      <c r="O595" s="6"/>
      <c r="P595" s="6"/>
      <c r="Q595" s="6">
        <v>2.8</v>
      </c>
      <c r="R595" s="6">
        <f>B595</f>
        <v>0</v>
      </c>
      <c r="S595" s="19">
        <f>B595/Q595-1</f>
        <v>-1</v>
      </c>
      <c r="T595" s="16">
        <v>-0.516138213696135</v>
      </c>
      <c r="U595" s="14">
        <v>-0.306122448979592</v>
      </c>
      <c r="V595" s="14">
        <v>-1</v>
      </c>
      <c r="W595" s="5" t="s">
        <v>238</v>
      </c>
      <c r="X595" s="4">
        <v>0</v>
      </c>
      <c r="Y595" s="4">
        <v>9.7</v>
      </c>
      <c r="Z595" s="4"/>
      <c r="AA595" s="4"/>
      <c r="AB595" s="4"/>
      <c r="AC595" s="4"/>
      <c r="AD595" s="6">
        <v>0.301587301587302</v>
      </c>
      <c r="AE595" s="4">
        <v>0.479365079365079</v>
      </c>
    </row>
    <row r="596" ht="14.25" hidden="1" spans="1:31">
      <c r="A596" s="37">
        <v>1328</v>
      </c>
      <c r="B596" s="6">
        <v>0</v>
      </c>
      <c r="C596" s="6">
        <v>0.148</v>
      </c>
      <c r="D596" s="6">
        <v>1.13</v>
      </c>
      <c r="E596" s="15">
        <v>2270900000</v>
      </c>
      <c r="F596" s="57" t="s">
        <v>568</v>
      </c>
      <c r="G596">
        <v>0</v>
      </c>
      <c r="H596" s="23">
        <v>0</v>
      </c>
      <c r="I596" s="16" t="e">
        <f>H596/G596</f>
        <v>#DIV/0!</v>
      </c>
      <c r="J596" s="6">
        <v>2.76</v>
      </c>
      <c r="K596" s="6">
        <v>7.18446601941747</v>
      </c>
      <c r="L596" s="6">
        <v>45.302</v>
      </c>
      <c r="M596" s="6">
        <v>45.306</v>
      </c>
      <c r="N596" s="6"/>
      <c r="O596" s="6"/>
      <c r="P596" s="6"/>
      <c r="Q596" s="6">
        <v>0.222</v>
      </c>
      <c r="R596" s="6">
        <f>B596</f>
        <v>0</v>
      </c>
      <c r="S596" s="19">
        <f>B596/Q596-1</f>
        <v>-1</v>
      </c>
      <c r="T596" s="16">
        <v>-0.201438848920863</v>
      </c>
      <c r="U596" s="16">
        <v>-0.63</v>
      </c>
      <c r="V596" s="14">
        <v>-1</v>
      </c>
      <c r="W596" s="31" t="s">
        <v>568</v>
      </c>
      <c r="X596" s="4">
        <v>0</v>
      </c>
      <c r="Y596" s="6"/>
      <c r="Z596" s="6"/>
      <c r="AD596" s="4">
        <v>0.446428571428571</v>
      </c>
      <c r="AE596" s="4">
        <v>0.696428571428571</v>
      </c>
    </row>
    <row r="597" ht="15" hidden="1" spans="1:31">
      <c r="A597" s="38">
        <v>2313</v>
      </c>
      <c r="B597" s="4">
        <v>0</v>
      </c>
      <c r="C597" s="4">
        <v>22.2</v>
      </c>
      <c r="D597" s="4">
        <v>44.55</v>
      </c>
      <c r="E597" s="13">
        <v>72258000000</v>
      </c>
      <c r="F597" s="45" t="s">
        <v>434</v>
      </c>
      <c r="G597">
        <v>0</v>
      </c>
      <c r="H597" s="25">
        <v>0</v>
      </c>
      <c r="I597" s="17" t="e">
        <f>H597/G597</f>
        <v>#DIV/0!</v>
      </c>
      <c r="J597" s="4">
        <v>3.68</v>
      </c>
      <c r="K597" s="4">
        <v>3.71773900758512</v>
      </c>
      <c r="L597" s="4">
        <v>21.2843</v>
      </c>
      <c r="M597" s="4">
        <v>20.608</v>
      </c>
      <c r="Q597" s="4">
        <v>38.05</v>
      </c>
      <c r="R597" s="4">
        <f>B597</f>
        <v>0</v>
      </c>
      <c r="S597" s="18">
        <f>B597/Q597-1</f>
        <v>-1</v>
      </c>
      <c r="T597" s="14">
        <v>-0.157100621877867</v>
      </c>
      <c r="U597" s="14">
        <v>-0.112656556875624</v>
      </c>
      <c r="V597" s="16">
        <v>-1</v>
      </c>
      <c r="W597" s="31" t="s">
        <v>434</v>
      </c>
      <c r="X597" s="4">
        <v>0</v>
      </c>
      <c r="Y597" s="6"/>
      <c r="Z597" s="6"/>
      <c r="AD597" s="4">
        <v>0.054628224582701</v>
      </c>
      <c r="AE597" s="6">
        <v>0.148710166919575</v>
      </c>
    </row>
    <row r="598" ht="15" hidden="1" spans="1:31">
      <c r="A598" s="38">
        <v>1044</v>
      </c>
      <c r="B598" s="4">
        <v>0</v>
      </c>
      <c r="C598" s="4">
        <v>64.5</v>
      </c>
      <c r="D598" s="4">
        <v>107.4</v>
      </c>
      <c r="E598" s="13">
        <v>76785000000</v>
      </c>
      <c r="F598" s="46" t="s">
        <v>105</v>
      </c>
      <c r="G598">
        <v>0</v>
      </c>
      <c r="H598" s="25">
        <v>0</v>
      </c>
      <c r="I598" s="17" t="e">
        <f>H598/G598</f>
        <v>#DIV/0!</v>
      </c>
      <c r="J598" s="4">
        <v>4.47</v>
      </c>
      <c r="K598" s="4">
        <v>3.1430166392239</v>
      </c>
      <c r="L598" s="4">
        <v>20.5306</v>
      </c>
      <c r="M598" s="4">
        <v>20.7</v>
      </c>
      <c r="Q598" s="4">
        <v>66</v>
      </c>
      <c r="R598" s="38">
        <f>B598</f>
        <v>0</v>
      </c>
      <c r="S598" s="18">
        <f>B598/Q598-1</f>
        <v>-1</v>
      </c>
      <c r="T598" s="14">
        <v>-0.102169205161706</v>
      </c>
      <c r="U598" s="16">
        <v>0.101911037891269</v>
      </c>
      <c r="V598" s="14">
        <v>-1</v>
      </c>
      <c r="W598" s="31" t="s">
        <v>105</v>
      </c>
      <c r="X598" s="6">
        <v>0</v>
      </c>
      <c r="AD598" s="4">
        <v>0.0428155399962825</v>
      </c>
      <c r="AE598" s="4">
        <v>0.064217113823657</v>
      </c>
    </row>
    <row r="599" ht="15" hidden="1" spans="1:31">
      <c r="A599" s="41">
        <v>2348</v>
      </c>
      <c r="B599" s="4">
        <v>0</v>
      </c>
      <c r="C599" s="4">
        <v>3.91</v>
      </c>
      <c r="D599" s="4">
        <v>8.13</v>
      </c>
      <c r="E599" s="13">
        <v>3977000000</v>
      </c>
      <c r="F599" s="46" t="s">
        <v>494</v>
      </c>
      <c r="G599">
        <v>0</v>
      </c>
      <c r="H599" s="28">
        <v>0</v>
      </c>
      <c r="I599" s="17" t="e">
        <f>H599/G599</f>
        <v>#DIV/0!</v>
      </c>
      <c r="J599" s="4">
        <v>2.51</v>
      </c>
      <c r="K599" s="4">
        <v>3.27211623039327</v>
      </c>
      <c r="L599" s="4">
        <v>16.002</v>
      </c>
      <c r="M599" s="4">
        <v>15.416</v>
      </c>
      <c r="Q599" s="4">
        <v>4.91</v>
      </c>
      <c r="R599" s="4">
        <f>B599</f>
        <v>0</v>
      </c>
      <c r="S599" s="18">
        <f>B599/Q599-1</f>
        <v>-1</v>
      </c>
      <c r="T599" s="14">
        <v>-0.179487179487179</v>
      </c>
      <c r="U599" s="14">
        <v>-0.111111111111111</v>
      </c>
      <c r="V599" s="14">
        <v>-1</v>
      </c>
      <c r="W599" s="31" t="s">
        <v>494</v>
      </c>
      <c r="X599" s="6">
        <v>0</v>
      </c>
      <c r="Y599" s="6"/>
      <c r="Z599" s="6"/>
      <c r="AD599" s="4">
        <v>0.142123287671233</v>
      </c>
      <c r="AE599" s="6">
        <v>0.232876712328767</v>
      </c>
    </row>
    <row r="600" ht="15" spans="1:31">
      <c r="A600" s="37">
        <v>8197</v>
      </c>
      <c r="B600" s="6">
        <v>0</v>
      </c>
      <c r="C600" s="6">
        <v>0.18</v>
      </c>
      <c r="D600" s="6">
        <v>2.6</v>
      </c>
      <c r="E600" s="15">
        <v>961000000</v>
      </c>
      <c r="F600" s="52" t="s">
        <v>242</v>
      </c>
      <c r="G600">
        <v>0</v>
      </c>
      <c r="H600" s="23">
        <v>0</v>
      </c>
      <c r="I600" s="16" t="e">
        <f>H600/G600</f>
        <v>#DIV/0!</v>
      </c>
      <c r="J600" s="6">
        <v>16.02</v>
      </c>
      <c r="K600" s="16">
        <v>47.602975051469</v>
      </c>
      <c r="L600" s="6"/>
      <c r="M600" s="6"/>
      <c r="N600" s="6"/>
      <c r="O600" s="6"/>
      <c r="P600" s="6"/>
      <c r="Q600" s="6">
        <v>1.75</v>
      </c>
      <c r="R600" s="6">
        <f>B600</f>
        <v>0</v>
      </c>
      <c r="S600" s="19">
        <f>B600/Q600-1</f>
        <v>-1</v>
      </c>
      <c r="T600" s="16">
        <v>-0.647058823529412</v>
      </c>
      <c r="U600" s="16">
        <v>-0.6</v>
      </c>
      <c r="V600" s="16">
        <v>-1</v>
      </c>
      <c r="W600" s="31" t="s">
        <v>242</v>
      </c>
      <c r="X600" s="6">
        <v>0</v>
      </c>
      <c r="Y600" s="4" t="s">
        <v>1153</v>
      </c>
      <c r="Z600" s="4"/>
      <c r="AA600" s="4"/>
      <c r="AB600" s="4"/>
      <c r="AC600" s="4"/>
      <c r="AD600" s="4">
        <v>0.553398058252427</v>
      </c>
      <c r="AE600" s="4">
        <v>0.820388349514563</v>
      </c>
    </row>
    <row r="601" ht="15" spans="1:31">
      <c r="A601" s="75">
        <v>493</v>
      </c>
      <c r="B601" s="6">
        <v>0</v>
      </c>
      <c r="C601" s="6">
        <v>0.96</v>
      </c>
      <c r="D601" s="6">
        <v>2.51</v>
      </c>
      <c r="E601" s="15">
        <v>22626000000</v>
      </c>
      <c r="F601" s="47" t="s">
        <v>556</v>
      </c>
      <c r="G601">
        <v>0</v>
      </c>
      <c r="H601" s="27">
        <v>0</v>
      </c>
      <c r="I601" s="16" t="e">
        <f>H601/G601</f>
        <v>#DIV/0!</v>
      </c>
      <c r="J601" s="6">
        <v>0.89</v>
      </c>
      <c r="K601" s="6">
        <v>0.236311219670734</v>
      </c>
      <c r="L601" s="6">
        <v>12.0834</v>
      </c>
      <c r="M601" s="6">
        <v>10.677</v>
      </c>
      <c r="N601" s="6"/>
      <c r="O601" s="6"/>
      <c r="P601" s="6"/>
      <c r="Q601" s="6">
        <v>1.01</v>
      </c>
      <c r="R601" s="4">
        <f>B601</f>
        <v>0</v>
      </c>
      <c r="S601" s="19">
        <f>B601/Q601-1</f>
        <v>-1</v>
      </c>
      <c r="T601" s="14">
        <v>0.137212920280092</v>
      </c>
      <c r="U601" s="14">
        <v>0.183303074693388</v>
      </c>
      <c r="V601" s="16">
        <v>-1</v>
      </c>
      <c r="W601" s="31" t="s">
        <v>556</v>
      </c>
      <c r="X601" s="6">
        <v>0</v>
      </c>
      <c r="Y601" s="61" t="s">
        <v>1154</v>
      </c>
      <c r="Z601" s="4"/>
      <c r="AA601" s="6"/>
      <c r="AB601" s="6"/>
      <c r="AC601" s="6"/>
      <c r="AD601" s="4">
        <v>0.188043705198692</v>
      </c>
      <c r="AE601" s="6">
        <v>0.256420070986151</v>
      </c>
    </row>
    <row r="602" ht="14.25" hidden="1" spans="2:24">
      <c r="B602" s="4">
        <v>0</v>
      </c>
      <c r="C602" s="4"/>
      <c r="D602" s="4"/>
      <c r="E602" s="4">
        <v>0</v>
      </c>
      <c r="F602" s="4"/>
      <c r="G602" s="14">
        <v>0</v>
      </c>
      <c r="H602">
        <v>0</v>
      </c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14">
        <v>0</v>
      </c>
      <c r="U602" s="14">
        <v>0</v>
      </c>
      <c r="V602" s="14">
        <v>0</v>
      </c>
      <c r="W602" s="4"/>
      <c r="X602" s="4">
        <v>0</v>
      </c>
    </row>
    <row r="603" hidden="1" spans="2:29">
      <c r="B603" s="4">
        <v>0</v>
      </c>
      <c r="E603" s="4">
        <v>0</v>
      </c>
      <c r="F603" s="4"/>
      <c r="G603" s="14">
        <v>0</v>
      </c>
      <c r="H603">
        <v>0</v>
      </c>
      <c r="I603" s="4"/>
      <c r="T603" s="14">
        <v>0</v>
      </c>
      <c r="U603" s="14">
        <v>0</v>
      </c>
      <c r="V603" s="14">
        <v>0</v>
      </c>
      <c r="X603" s="4">
        <v>0</v>
      </c>
      <c r="AB603" s="4" t="e">
        <f>SUMPRODUCT(#REF!,#REF!,#REF!)</f>
        <v>#REF!</v>
      </c>
      <c r="AC603" s="4" t="e">
        <f>SUMPRODUCT(#REF!,#REF!,#REF!)</f>
        <v>#REF!</v>
      </c>
    </row>
    <row r="604" hidden="1" spans="2:24">
      <c r="B604" s="4">
        <v>0</v>
      </c>
      <c r="C604" s="4"/>
      <c r="D604" s="4"/>
      <c r="E604" s="4">
        <v>0</v>
      </c>
      <c r="F604" s="4"/>
      <c r="G604" s="14">
        <v>0</v>
      </c>
      <c r="H604">
        <v>0</v>
      </c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14">
        <v>0</v>
      </c>
      <c r="U604" s="14">
        <v>0</v>
      </c>
      <c r="V604" s="14">
        <v>0</v>
      </c>
      <c r="W604" s="4"/>
      <c r="X604" s="4">
        <v>0</v>
      </c>
    </row>
    <row r="605" hidden="1" spans="2:24">
      <c r="B605" s="4">
        <v>0</v>
      </c>
      <c r="E605" s="4">
        <v>0</v>
      </c>
      <c r="F605" s="4"/>
      <c r="G605" s="14">
        <v>0</v>
      </c>
      <c r="H605">
        <v>0</v>
      </c>
      <c r="I605" s="4"/>
      <c r="T605" s="14">
        <v>0</v>
      </c>
      <c r="U605" s="14">
        <v>0</v>
      </c>
      <c r="V605" s="14">
        <v>0</v>
      </c>
      <c r="X605" s="4">
        <v>0</v>
      </c>
    </row>
    <row r="606" hidden="1" spans="2:24">
      <c r="B606" s="4">
        <v>0</v>
      </c>
      <c r="C606" s="4"/>
      <c r="D606" s="4"/>
      <c r="E606" s="4">
        <v>0</v>
      </c>
      <c r="F606" s="38"/>
      <c r="G606">
        <v>0</v>
      </c>
      <c r="H606" s="38">
        <v>0</v>
      </c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14">
        <v>0</v>
      </c>
      <c r="U606" s="14">
        <v>0</v>
      </c>
      <c r="V606" s="14">
        <v>0</v>
      </c>
      <c r="W606" s="4"/>
      <c r="X606" s="4">
        <v>0</v>
      </c>
    </row>
    <row r="607" hidden="1" spans="1:24">
      <c r="A607" s="38"/>
      <c r="B607" s="4">
        <v>0</v>
      </c>
      <c r="C607" s="4"/>
      <c r="D607" s="4"/>
      <c r="E607" s="4">
        <v>0</v>
      </c>
      <c r="F607" s="38"/>
      <c r="G607">
        <v>0</v>
      </c>
      <c r="H607" s="38">
        <v>0</v>
      </c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14">
        <v>0</v>
      </c>
      <c r="U607" s="14">
        <v>0</v>
      </c>
      <c r="V607" s="14">
        <v>0</v>
      </c>
      <c r="W607" s="4"/>
      <c r="X607" s="4">
        <v>0</v>
      </c>
    </row>
    <row r="608" ht="14.25" hidden="1" spans="1:24">
      <c r="A608" s="38"/>
      <c r="B608" s="4">
        <v>0</v>
      </c>
      <c r="E608" s="4">
        <v>0</v>
      </c>
      <c r="F608" s="46"/>
      <c r="G608">
        <v>0</v>
      </c>
      <c r="H608" s="92">
        <v>0</v>
      </c>
      <c r="T608" s="14">
        <v>0</v>
      </c>
      <c r="U608" s="14">
        <v>0</v>
      </c>
      <c r="V608" s="14">
        <v>0</v>
      </c>
      <c r="X608" s="4">
        <v>0</v>
      </c>
    </row>
    <row r="609" ht="15" hidden="1" spans="1:31">
      <c r="A609" s="77"/>
      <c r="B609" s="10">
        <v>0</v>
      </c>
      <c r="C609" s="10"/>
      <c r="D609" s="10"/>
      <c r="E609" s="10">
        <v>0</v>
      </c>
      <c r="F609" s="93"/>
      <c r="G609">
        <v>0</v>
      </c>
      <c r="H609" s="94">
        <v>0</v>
      </c>
      <c r="I609" s="12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2">
        <v>0</v>
      </c>
      <c r="U609" s="12">
        <v>0</v>
      </c>
      <c r="V609" s="12">
        <v>0</v>
      </c>
      <c r="W609" s="10"/>
      <c r="X609" s="10">
        <v>0</v>
      </c>
      <c r="Y609" s="10"/>
      <c r="Z609" s="10"/>
      <c r="AA609" s="10"/>
      <c r="AB609" s="10"/>
      <c r="AC609" s="10"/>
      <c r="AD609" s="86">
        <v>0</v>
      </c>
      <c r="AE609" s="10">
        <v>0</v>
      </c>
    </row>
    <row r="610" ht="15" hidden="1" spans="1:31">
      <c r="A610" s="38"/>
      <c r="B610" s="4">
        <v>0</v>
      </c>
      <c r="C610" s="4"/>
      <c r="D610" s="4"/>
      <c r="E610" s="4">
        <v>0</v>
      </c>
      <c r="F610" s="46"/>
      <c r="G610">
        <v>0</v>
      </c>
      <c r="H610" s="39">
        <v>0</v>
      </c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14">
        <v>0</v>
      </c>
      <c r="U610" s="14">
        <v>0</v>
      </c>
      <c r="V610" s="14">
        <v>0</v>
      </c>
      <c r="W610" s="38"/>
      <c r="X610" s="4">
        <v>0</v>
      </c>
      <c r="Y610" s="4"/>
      <c r="Z610" s="4"/>
      <c r="AA610" s="4"/>
      <c r="AB610" s="4"/>
      <c r="AC610" s="4"/>
      <c r="AD610" s="4">
        <v>0</v>
      </c>
      <c r="AE610" s="4">
        <v>0</v>
      </c>
    </row>
    <row r="611" ht="15" hidden="1" spans="1:24">
      <c r="A611" s="38"/>
      <c r="B611" s="4">
        <v>0</v>
      </c>
      <c r="C611" s="4"/>
      <c r="D611" s="4"/>
      <c r="E611" s="4">
        <v>0</v>
      </c>
      <c r="F611" s="46"/>
      <c r="G611">
        <v>0</v>
      </c>
      <c r="H611" s="92">
        <v>0</v>
      </c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14">
        <v>0</v>
      </c>
      <c r="U611" s="14">
        <v>0</v>
      </c>
      <c r="V611" s="14">
        <v>0</v>
      </c>
      <c r="W611" s="38"/>
      <c r="X611" s="4">
        <v>0</v>
      </c>
    </row>
    <row r="612" ht="15" hidden="1" spans="1:24">
      <c r="A612" s="43"/>
      <c r="B612" s="4">
        <v>0</v>
      </c>
      <c r="C612" s="4"/>
      <c r="D612" s="4"/>
      <c r="E612" s="4">
        <v>0</v>
      </c>
      <c r="F612" s="38"/>
      <c r="G612">
        <v>0</v>
      </c>
      <c r="H612" s="43">
        <v>0</v>
      </c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14">
        <v>0</v>
      </c>
      <c r="U612" s="14">
        <v>0</v>
      </c>
      <c r="V612" s="14">
        <v>0</v>
      </c>
      <c r="W612" s="38"/>
      <c r="X612" s="4">
        <v>0</v>
      </c>
    </row>
    <row r="613" ht="15" hidden="1" spans="1:24">
      <c r="A613" s="38"/>
      <c r="B613" s="4">
        <v>0</v>
      </c>
      <c r="E613" s="4">
        <v>0</v>
      </c>
      <c r="F613" s="38"/>
      <c r="G613">
        <v>0</v>
      </c>
      <c r="H613" s="43">
        <v>0</v>
      </c>
      <c r="I613" s="4"/>
      <c r="T613" s="14">
        <v>0</v>
      </c>
      <c r="U613" s="14">
        <v>0</v>
      </c>
      <c r="V613" s="14">
        <v>0</v>
      </c>
      <c r="X613" s="4">
        <v>0</v>
      </c>
    </row>
    <row r="614" ht="15" hidden="1" spans="1:24">
      <c r="A614" s="38"/>
      <c r="B614" s="4">
        <v>0</v>
      </c>
      <c r="C614" s="4"/>
      <c r="D614" s="4"/>
      <c r="E614" s="4">
        <v>0</v>
      </c>
      <c r="F614" s="43"/>
      <c r="G614">
        <v>0</v>
      </c>
      <c r="H614" s="38">
        <v>0</v>
      </c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14">
        <v>0</v>
      </c>
      <c r="U614" s="14">
        <v>0</v>
      </c>
      <c r="V614" s="14">
        <v>0</v>
      </c>
      <c r="W614" s="4"/>
      <c r="X614" s="4">
        <v>0</v>
      </c>
    </row>
    <row r="615" ht="15" hidden="1" spans="1:24">
      <c r="A615" s="38"/>
      <c r="B615" s="4">
        <v>0</v>
      </c>
      <c r="C615" s="4"/>
      <c r="D615" s="4"/>
      <c r="E615" s="4">
        <v>0</v>
      </c>
      <c r="F615" s="38"/>
      <c r="G615">
        <v>0</v>
      </c>
      <c r="H615" s="38">
        <v>0</v>
      </c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14">
        <v>0</v>
      </c>
      <c r="U615" s="14">
        <v>0</v>
      </c>
      <c r="V615" s="14">
        <v>0</v>
      </c>
      <c r="W615" s="38"/>
      <c r="X615" s="4">
        <v>0</v>
      </c>
    </row>
    <row r="616" ht="15" hidden="1" spans="1:24">
      <c r="A616" s="43"/>
      <c r="B616" s="4">
        <v>0</v>
      </c>
      <c r="E616" s="4">
        <v>0</v>
      </c>
      <c r="F616" s="38"/>
      <c r="G616">
        <v>0</v>
      </c>
      <c r="H616" s="38">
        <v>0</v>
      </c>
      <c r="I616" s="4"/>
      <c r="T616" s="14">
        <v>0</v>
      </c>
      <c r="U616" s="14">
        <v>0</v>
      </c>
      <c r="V616" s="14">
        <v>0</v>
      </c>
      <c r="X616" s="4">
        <v>0</v>
      </c>
    </row>
    <row r="617" ht="15" hidden="1" spans="2:24">
      <c r="B617" s="4">
        <v>0</v>
      </c>
      <c r="E617" s="4">
        <v>0</v>
      </c>
      <c r="F617" s="38"/>
      <c r="G617">
        <v>0</v>
      </c>
      <c r="H617" s="38">
        <v>0</v>
      </c>
      <c r="I617" s="4"/>
      <c r="T617" s="14">
        <v>0</v>
      </c>
      <c r="U617" s="14">
        <v>0</v>
      </c>
      <c r="V617" s="14">
        <v>0</v>
      </c>
      <c r="W617" s="38"/>
      <c r="X617" s="4">
        <v>0</v>
      </c>
    </row>
    <row r="618" ht="15" hidden="1" spans="1:24">
      <c r="A618" s="38"/>
      <c r="B618" s="4">
        <v>0</v>
      </c>
      <c r="C618" s="4"/>
      <c r="D618" s="4"/>
      <c r="E618" s="4">
        <v>0</v>
      </c>
      <c r="F618" s="43"/>
      <c r="G618">
        <v>0</v>
      </c>
      <c r="H618" s="38">
        <v>0</v>
      </c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14">
        <v>0</v>
      </c>
      <c r="U618" s="14">
        <v>0</v>
      </c>
      <c r="V618" s="14">
        <v>0</v>
      </c>
      <c r="W618" s="38"/>
      <c r="X618" s="4">
        <v>0</v>
      </c>
    </row>
    <row r="619" ht="15" hidden="1" spans="2:24">
      <c r="B619" s="4">
        <v>0</v>
      </c>
      <c r="E619" s="4">
        <v>0</v>
      </c>
      <c r="F619" s="38"/>
      <c r="G619">
        <v>0</v>
      </c>
      <c r="H619" s="38">
        <v>0</v>
      </c>
      <c r="I619" s="4"/>
      <c r="T619" s="14">
        <v>0</v>
      </c>
      <c r="U619" s="14">
        <v>0</v>
      </c>
      <c r="V619" s="14">
        <v>0</v>
      </c>
      <c r="W619" s="38"/>
      <c r="X619" s="4">
        <v>0</v>
      </c>
    </row>
    <row r="620" ht="15" hidden="1" spans="1:24">
      <c r="A620" s="38"/>
      <c r="B620" s="4">
        <v>0</v>
      </c>
      <c r="C620" s="4"/>
      <c r="D620" s="4"/>
      <c r="E620" s="4">
        <v>0</v>
      </c>
      <c r="F620" s="38"/>
      <c r="G620">
        <v>0</v>
      </c>
      <c r="H620" s="43">
        <v>0</v>
      </c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14">
        <v>0</v>
      </c>
      <c r="U620" s="14">
        <v>0</v>
      </c>
      <c r="V620" s="14">
        <v>0</v>
      </c>
      <c r="W620" s="4"/>
      <c r="X620" s="4">
        <v>0</v>
      </c>
    </row>
    <row r="621" ht="15" hidden="1" spans="1:24">
      <c r="A621" s="38"/>
      <c r="B621" s="4">
        <v>0</v>
      </c>
      <c r="C621" s="4"/>
      <c r="D621" s="4"/>
      <c r="E621" s="4">
        <v>0</v>
      </c>
      <c r="F621" s="43"/>
      <c r="G621">
        <v>0</v>
      </c>
      <c r="H621" s="38">
        <v>0</v>
      </c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14">
        <v>0</v>
      </c>
      <c r="U621" s="14">
        <v>0</v>
      </c>
      <c r="V621" s="14">
        <v>0</v>
      </c>
      <c r="W621" s="38"/>
      <c r="X621" s="4">
        <v>0</v>
      </c>
    </row>
    <row r="622" ht="15" hidden="1" spans="1:24">
      <c r="A622" s="38"/>
      <c r="B622" s="4">
        <v>0</v>
      </c>
      <c r="C622" s="4"/>
      <c r="D622" s="4"/>
      <c r="E622" s="4">
        <v>0</v>
      </c>
      <c r="F622" s="38"/>
      <c r="G622">
        <v>0</v>
      </c>
      <c r="H622" s="43">
        <v>0</v>
      </c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14">
        <v>0</v>
      </c>
      <c r="U622" s="14">
        <v>0</v>
      </c>
      <c r="V622" s="14">
        <v>0</v>
      </c>
      <c r="W622" s="38"/>
      <c r="X622" s="4">
        <v>0</v>
      </c>
    </row>
    <row r="623" ht="15" hidden="1" spans="1:24">
      <c r="A623" s="43"/>
      <c r="B623" s="4">
        <v>0</v>
      </c>
      <c r="C623" s="4"/>
      <c r="D623" s="4"/>
      <c r="E623" s="4">
        <v>0</v>
      </c>
      <c r="F623" s="43"/>
      <c r="G623">
        <v>0</v>
      </c>
      <c r="H623" s="38">
        <v>0</v>
      </c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14">
        <v>0</v>
      </c>
      <c r="U623" s="14">
        <v>0</v>
      </c>
      <c r="V623" s="14">
        <v>0</v>
      </c>
      <c r="W623" s="38"/>
      <c r="X623" s="4">
        <v>0</v>
      </c>
    </row>
    <row r="624" ht="15" hidden="1" spans="1:24">
      <c r="A624" s="43"/>
      <c r="B624" s="4">
        <v>0</v>
      </c>
      <c r="E624" s="4">
        <v>0</v>
      </c>
      <c r="F624" s="43"/>
      <c r="G624">
        <v>0</v>
      </c>
      <c r="H624" s="43">
        <v>0</v>
      </c>
      <c r="I624" s="4"/>
      <c r="T624" s="14">
        <v>0</v>
      </c>
      <c r="U624" s="14">
        <v>0</v>
      </c>
      <c r="V624" s="14">
        <v>0</v>
      </c>
      <c r="X624" s="4">
        <v>0</v>
      </c>
    </row>
    <row r="625" ht="15" hidden="1" spans="2:24">
      <c r="B625" s="4">
        <v>0</v>
      </c>
      <c r="C625" s="4"/>
      <c r="D625" s="4"/>
      <c r="E625" s="4">
        <v>0</v>
      </c>
      <c r="F625" s="38"/>
      <c r="G625">
        <v>0</v>
      </c>
      <c r="H625" s="38">
        <v>0</v>
      </c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14">
        <v>0</v>
      </c>
      <c r="U625" s="14">
        <v>0</v>
      </c>
      <c r="V625" s="14">
        <v>0</v>
      </c>
      <c r="W625" s="4"/>
      <c r="X625" s="4">
        <v>0</v>
      </c>
    </row>
    <row r="626" ht="15" hidden="1" spans="2:24">
      <c r="B626" s="4">
        <v>0</v>
      </c>
      <c r="C626" s="4"/>
      <c r="D626" s="4"/>
      <c r="E626" s="4">
        <v>0</v>
      </c>
      <c r="F626" s="43"/>
      <c r="G626">
        <v>0</v>
      </c>
      <c r="H626" s="38">
        <v>0</v>
      </c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14">
        <v>0</v>
      </c>
      <c r="U626" s="14">
        <v>0</v>
      </c>
      <c r="V626" s="14">
        <v>0</v>
      </c>
      <c r="W626" s="38"/>
      <c r="X626" s="4">
        <v>0</v>
      </c>
    </row>
    <row r="627" ht="15" hidden="1" spans="1:24">
      <c r="A627" s="38"/>
      <c r="B627" s="4">
        <v>0</v>
      </c>
      <c r="C627" s="4"/>
      <c r="D627" s="4"/>
      <c r="E627" s="4">
        <v>0</v>
      </c>
      <c r="F627" s="38"/>
      <c r="G627">
        <v>0</v>
      </c>
      <c r="H627" s="43">
        <v>0</v>
      </c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14">
        <v>0</v>
      </c>
      <c r="U627" s="14">
        <v>0</v>
      </c>
      <c r="V627" s="14">
        <v>0</v>
      </c>
      <c r="W627" s="38"/>
      <c r="X627" s="4">
        <v>0</v>
      </c>
    </row>
    <row r="628" ht="15" hidden="1" spans="1:24">
      <c r="A628" s="38"/>
      <c r="B628" s="4">
        <v>0</v>
      </c>
      <c r="C628" s="4"/>
      <c r="D628" s="4"/>
      <c r="E628" s="4">
        <v>0</v>
      </c>
      <c r="F628" s="38"/>
      <c r="G628">
        <v>0</v>
      </c>
      <c r="H628" s="43">
        <v>0</v>
      </c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14">
        <v>0</v>
      </c>
      <c r="U628" s="14">
        <v>0</v>
      </c>
      <c r="V628" s="14">
        <v>0</v>
      </c>
      <c r="W628" s="38"/>
      <c r="X628" s="4">
        <v>0</v>
      </c>
    </row>
    <row r="629" ht="15" hidden="1" spans="1:24">
      <c r="A629" s="38"/>
      <c r="B629" s="4">
        <v>0</v>
      </c>
      <c r="C629" s="4"/>
      <c r="D629" s="4"/>
      <c r="E629" s="4">
        <v>0</v>
      </c>
      <c r="F629" s="38"/>
      <c r="G629">
        <v>0</v>
      </c>
      <c r="H629" s="43">
        <v>0</v>
      </c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14">
        <v>0</v>
      </c>
      <c r="U629" s="14">
        <v>0</v>
      </c>
      <c r="V629" s="14">
        <v>0</v>
      </c>
      <c r="W629" s="4"/>
      <c r="X629" s="4">
        <v>0</v>
      </c>
    </row>
    <row r="630" ht="15" hidden="1" spans="1:24">
      <c r="A630" s="38"/>
      <c r="B630" s="4">
        <v>0</v>
      </c>
      <c r="C630" s="4"/>
      <c r="D630" s="4"/>
      <c r="E630" s="4">
        <v>0</v>
      </c>
      <c r="F630" s="38"/>
      <c r="G630">
        <v>0</v>
      </c>
      <c r="H630" s="43">
        <v>0</v>
      </c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14">
        <v>0</v>
      </c>
      <c r="U630" s="14">
        <v>0</v>
      </c>
      <c r="V630" s="14">
        <v>0</v>
      </c>
      <c r="W630" s="38"/>
      <c r="X630" s="4">
        <v>0</v>
      </c>
    </row>
    <row r="631" ht="15" hidden="1" spans="1:24">
      <c r="A631" s="38"/>
      <c r="B631" s="4">
        <v>0</v>
      </c>
      <c r="C631" s="4"/>
      <c r="D631" s="4"/>
      <c r="E631" s="4">
        <v>0</v>
      </c>
      <c r="F631" s="38"/>
      <c r="G631">
        <v>0</v>
      </c>
      <c r="H631" s="43">
        <v>0</v>
      </c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14">
        <v>0</v>
      </c>
      <c r="U631" s="14">
        <v>0</v>
      </c>
      <c r="V631" s="14">
        <v>0</v>
      </c>
      <c r="W631" s="38"/>
      <c r="X631" s="4">
        <v>0</v>
      </c>
    </row>
    <row r="632" ht="15" hidden="1" spans="1:24">
      <c r="A632" s="38"/>
      <c r="B632" s="4">
        <v>0</v>
      </c>
      <c r="E632" s="4">
        <v>0</v>
      </c>
      <c r="F632" s="38"/>
      <c r="G632">
        <v>0</v>
      </c>
      <c r="H632" s="43">
        <v>0</v>
      </c>
      <c r="I632" s="4"/>
      <c r="T632" s="14">
        <v>0</v>
      </c>
      <c r="U632" s="14">
        <v>0</v>
      </c>
      <c r="V632" s="14">
        <v>0</v>
      </c>
      <c r="W632" s="38"/>
      <c r="X632" s="4">
        <v>0</v>
      </c>
    </row>
    <row r="633" ht="15" hidden="1" spans="1:24">
      <c r="A633" s="38"/>
      <c r="B633" s="4">
        <v>0</v>
      </c>
      <c r="C633" s="4"/>
      <c r="D633" s="4"/>
      <c r="E633" s="4">
        <v>0</v>
      </c>
      <c r="F633" s="43"/>
      <c r="G633">
        <v>0</v>
      </c>
      <c r="H633" s="38">
        <v>0</v>
      </c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14">
        <v>0</v>
      </c>
      <c r="U633" s="14">
        <v>0</v>
      </c>
      <c r="V633" s="14">
        <v>0</v>
      </c>
      <c r="W633" s="38"/>
      <c r="X633" s="4">
        <v>0</v>
      </c>
    </row>
    <row r="634" ht="15" hidden="1" spans="2:24">
      <c r="B634" s="4">
        <v>0</v>
      </c>
      <c r="C634" s="4"/>
      <c r="D634" s="4"/>
      <c r="E634" s="4">
        <v>0</v>
      </c>
      <c r="F634" s="43"/>
      <c r="G634">
        <v>0</v>
      </c>
      <c r="H634" s="43">
        <v>0</v>
      </c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14">
        <v>0</v>
      </c>
      <c r="U634" s="14">
        <v>0</v>
      </c>
      <c r="V634" s="14">
        <v>0</v>
      </c>
      <c r="W634" s="38"/>
      <c r="X634" s="4">
        <v>0</v>
      </c>
    </row>
    <row r="635" ht="15" hidden="1" spans="1:24">
      <c r="A635" s="38"/>
      <c r="B635" s="4">
        <v>0</v>
      </c>
      <c r="C635" s="4"/>
      <c r="D635" s="4"/>
      <c r="E635" s="4">
        <v>0</v>
      </c>
      <c r="F635" s="4"/>
      <c r="G635">
        <v>0</v>
      </c>
      <c r="H635" s="43">
        <v>0</v>
      </c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14">
        <v>0</v>
      </c>
      <c r="U635" s="14">
        <v>0</v>
      </c>
      <c r="V635" s="14">
        <v>0</v>
      </c>
      <c r="W635" s="38"/>
      <c r="X635" s="4">
        <v>0</v>
      </c>
    </row>
    <row r="636" ht="15" hidden="1" spans="1:24">
      <c r="A636" s="38"/>
      <c r="B636" s="4">
        <v>0</v>
      </c>
      <c r="C636" s="4"/>
      <c r="D636" s="4"/>
      <c r="E636" s="4">
        <v>0</v>
      </c>
      <c r="F636" s="43"/>
      <c r="G636">
        <v>0</v>
      </c>
      <c r="H636" s="43">
        <v>0</v>
      </c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14">
        <v>0</v>
      </c>
      <c r="U636" s="14">
        <v>0</v>
      </c>
      <c r="V636" s="14">
        <v>0</v>
      </c>
      <c r="W636" s="38"/>
      <c r="X636" s="4">
        <v>0</v>
      </c>
    </row>
    <row r="637" ht="15" hidden="1" spans="2:24">
      <c r="B637" s="4">
        <v>0</v>
      </c>
      <c r="E637" s="4">
        <v>0</v>
      </c>
      <c r="F637" s="43"/>
      <c r="G637">
        <v>0</v>
      </c>
      <c r="H637" s="43">
        <v>0</v>
      </c>
      <c r="I637" s="4"/>
      <c r="T637" s="14">
        <v>0</v>
      </c>
      <c r="U637" s="14">
        <v>0</v>
      </c>
      <c r="V637" s="14">
        <v>0</v>
      </c>
      <c r="W637" s="38"/>
      <c r="X637" s="4">
        <v>0</v>
      </c>
    </row>
    <row r="638" ht="15" hidden="1" spans="1:24">
      <c r="A638" s="43"/>
      <c r="B638" s="4">
        <v>0</v>
      </c>
      <c r="C638" s="4"/>
      <c r="D638" s="4"/>
      <c r="E638" s="4">
        <v>0</v>
      </c>
      <c r="F638" s="38"/>
      <c r="G638">
        <v>0</v>
      </c>
      <c r="H638" s="43">
        <v>0</v>
      </c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14">
        <v>0</v>
      </c>
      <c r="U638" s="14">
        <v>0</v>
      </c>
      <c r="V638" s="14">
        <v>0</v>
      </c>
      <c r="W638" s="38"/>
      <c r="X638" s="4">
        <v>0</v>
      </c>
    </row>
    <row r="639" ht="15" hidden="1" spans="1:24">
      <c r="A639" s="38"/>
      <c r="B639" s="4">
        <v>0</v>
      </c>
      <c r="C639" s="4"/>
      <c r="D639" s="4"/>
      <c r="E639" s="4">
        <v>0</v>
      </c>
      <c r="F639" s="38"/>
      <c r="G639">
        <v>0</v>
      </c>
      <c r="H639" s="43">
        <v>0</v>
      </c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14">
        <v>0</v>
      </c>
      <c r="U639" s="14">
        <v>0</v>
      </c>
      <c r="V639" s="14">
        <v>0</v>
      </c>
      <c r="W639" s="38"/>
      <c r="X639" s="4">
        <v>0</v>
      </c>
    </row>
    <row r="640" ht="15" hidden="1" spans="1:24">
      <c r="A640" s="38"/>
      <c r="B640" s="4">
        <v>0</v>
      </c>
      <c r="C640" s="4"/>
      <c r="D640" s="4"/>
      <c r="E640" s="4">
        <v>0</v>
      </c>
      <c r="F640" s="38"/>
      <c r="G640">
        <v>0</v>
      </c>
      <c r="H640" s="43">
        <v>0</v>
      </c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14">
        <v>0</v>
      </c>
      <c r="U640" s="14">
        <v>0</v>
      </c>
      <c r="V640" s="14">
        <v>0</v>
      </c>
      <c r="W640" s="4"/>
      <c r="X640" s="4">
        <v>0</v>
      </c>
    </row>
    <row r="641" ht="15" hidden="1" spans="1:24">
      <c r="A641" s="43"/>
      <c r="B641" s="4">
        <v>0</v>
      </c>
      <c r="C641" s="4"/>
      <c r="D641" s="4"/>
      <c r="E641" s="4">
        <v>0</v>
      </c>
      <c r="F641" s="43"/>
      <c r="G641">
        <v>0</v>
      </c>
      <c r="H641" s="43">
        <v>0</v>
      </c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14">
        <v>0</v>
      </c>
      <c r="U641" s="14">
        <v>0</v>
      </c>
      <c r="V641" s="14">
        <v>0</v>
      </c>
      <c r="W641" s="38"/>
      <c r="X641" s="4">
        <v>0</v>
      </c>
    </row>
    <row r="642" ht="15" hidden="1" spans="1:24">
      <c r="A642" s="43"/>
      <c r="B642" s="4">
        <v>0</v>
      </c>
      <c r="C642" s="4"/>
      <c r="D642" s="4"/>
      <c r="E642" s="4">
        <v>0</v>
      </c>
      <c r="F642" s="38"/>
      <c r="G642">
        <v>0</v>
      </c>
      <c r="H642" s="38">
        <v>0</v>
      </c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14">
        <v>0</v>
      </c>
      <c r="U642" s="14">
        <v>0</v>
      </c>
      <c r="V642" s="14">
        <v>0</v>
      </c>
      <c r="W642" s="38"/>
      <c r="X642" s="4">
        <v>0</v>
      </c>
    </row>
    <row r="643" ht="15" hidden="1" spans="1:24">
      <c r="A643" s="43"/>
      <c r="B643" s="4">
        <v>0</v>
      </c>
      <c r="C643" s="4"/>
      <c r="D643" s="4"/>
      <c r="E643" s="4">
        <v>0</v>
      </c>
      <c r="F643" s="38"/>
      <c r="G643">
        <v>0</v>
      </c>
      <c r="H643" s="43">
        <v>0</v>
      </c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14">
        <v>0</v>
      </c>
      <c r="U643" s="14">
        <v>0</v>
      </c>
      <c r="V643" s="14">
        <v>0</v>
      </c>
      <c r="W643" s="38"/>
      <c r="X643" s="4">
        <v>0</v>
      </c>
    </row>
    <row r="644" ht="15" hidden="1" spans="2:24">
      <c r="B644" s="4">
        <v>0</v>
      </c>
      <c r="C644" s="4"/>
      <c r="D644" s="4"/>
      <c r="E644" s="4">
        <v>0</v>
      </c>
      <c r="F644" s="43"/>
      <c r="G644">
        <v>0</v>
      </c>
      <c r="H644" s="38">
        <v>0</v>
      </c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14">
        <v>0</v>
      </c>
      <c r="U644" s="14">
        <v>0</v>
      </c>
      <c r="V644" s="14">
        <v>0</v>
      </c>
      <c r="W644" s="38"/>
      <c r="X644" s="4">
        <v>0</v>
      </c>
    </row>
    <row r="645" ht="15" hidden="1" spans="2:24">
      <c r="B645" s="4">
        <v>0</v>
      </c>
      <c r="C645" s="4"/>
      <c r="D645" s="4"/>
      <c r="E645" s="4">
        <v>0</v>
      </c>
      <c r="F645" s="46"/>
      <c r="G645">
        <v>0</v>
      </c>
      <c r="H645" s="39">
        <v>0</v>
      </c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14">
        <v>0</v>
      </c>
      <c r="U645" s="14">
        <v>0</v>
      </c>
      <c r="V645" s="14">
        <v>0</v>
      </c>
      <c r="W645" s="38"/>
      <c r="X645" s="4">
        <v>0</v>
      </c>
    </row>
    <row r="646" ht="15" hidden="1" spans="1:24">
      <c r="A646" s="38"/>
      <c r="B646" s="4">
        <v>0</v>
      </c>
      <c r="C646" s="4"/>
      <c r="D646" s="4"/>
      <c r="E646" s="4">
        <v>0</v>
      </c>
      <c r="F646" s="46"/>
      <c r="G646">
        <v>0</v>
      </c>
      <c r="H646" s="39">
        <v>0</v>
      </c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14">
        <v>0</v>
      </c>
      <c r="U646" s="14">
        <v>0</v>
      </c>
      <c r="V646" s="14">
        <v>0</v>
      </c>
      <c r="W646" s="38"/>
      <c r="X646" s="4">
        <v>0</v>
      </c>
    </row>
    <row r="647" ht="15" hidden="1" spans="1:31">
      <c r="A647" s="77"/>
      <c r="B647" s="10">
        <v>0</v>
      </c>
      <c r="C647" s="10"/>
      <c r="D647" s="97"/>
      <c r="E647" s="10">
        <v>0</v>
      </c>
      <c r="F647" s="93"/>
      <c r="G647">
        <v>0</v>
      </c>
      <c r="H647" s="79">
        <v>0</v>
      </c>
      <c r="I647" s="12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2">
        <v>0</v>
      </c>
      <c r="U647" s="12">
        <v>0</v>
      </c>
      <c r="V647" s="12">
        <v>0</v>
      </c>
      <c r="W647" s="77"/>
      <c r="X647" s="10">
        <v>0</v>
      </c>
      <c r="Y647" s="10"/>
      <c r="Z647" s="10">
        <v>1</v>
      </c>
      <c r="AA647" s="10">
        <v>194957</v>
      </c>
      <c r="AB647" s="10"/>
      <c r="AC647" s="10">
        <f>AB647/AA647-1</f>
        <v>-1</v>
      </c>
      <c r="AD647" s="10">
        <v>0</v>
      </c>
      <c r="AE647" s="10">
        <v>0</v>
      </c>
    </row>
    <row r="648" ht="14.25" hidden="1" spans="2:24">
      <c r="B648" s="4">
        <v>0</v>
      </c>
      <c r="C648" s="4"/>
      <c r="D648" s="4"/>
      <c r="E648" s="4"/>
      <c r="F648" s="4"/>
      <c r="G648" s="14">
        <v>0</v>
      </c>
      <c r="H648">
        <v>0</v>
      </c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14">
        <v>0</v>
      </c>
      <c r="U648" s="14">
        <v>0</v>
      </c>
      <c r="V648" s="14">
        <v>0</v>
      </c>
      <c r="W648" s="4"/>
      <c r="X648" s="4">
        <v>0</v>
      </c>
    </row>
    <row r="649" hidden="1" spans="2:24">
      <c r="B649" s="4">
        <v>0</v>
      </c>
      <c r="G649" s="14">
        <v>0</v>
      </c>
      <c r="H649">
        <v>0</v>
      </c>
      <c r="T649" s="14">
        <v>0</v>
      </c>
      <c r="U649" s="14">
        <v>0</v>
      </c>
      <c r="V649" s="14">
        <v>0</v>
      </c>
      <c r="X649" s="4">
        <v>0</v>
      </c>
    </row>
    <row r="650" hidden="1" spans="2:24">
      <c r="B650" s="4">
        <v>0</v>
      </c>
      <c r="C650" s="4"/>
      <c r="D650" s="4"/>
      <c r="E650" s="4"/>
      <c r="F650" s="4"/>
      <c r="G650" s="14">
        <v>0</v>
      </c>
      <c r="H650">
        <v>0</v>
      </c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14">
        <v>0</v>
      </c>
      <c r="U650" s="14">
        <v>0</v>
      </c>
      <c r="V650" s="14">
        <v>0</v>
      </c>
      <c r="W650" s="4"/>
      <c r="X650" s="4">
        <v>0</v>
      </c>
    </row>
    <row r="651" hidden="1" spans="2:24">
      <c r="B651" s="4">
        <v>0</v>
      </c>
      <c r="F651" s="4"/>
      <c r="G651" s="14">
        <v>0</v>
      </c>
      <c r="H651">
        <v>0</v>
      </c>
      <c r="I651" s="4"/>
      <c r="T651" s="14">
        <v>0</v>
      </c>
      <c r="U651" s="14">
        <v>0</v>
      </c>
      <c r="V651" s="14">
        <v>0</v>
      </c>
      <c r="X651" s="4">
        <v>0</v>
      </c>
    </row>
    <row r="652" hidden="1" spans="2:24">
      <c r="B652" s="4">
        <v>0</v>
      </c>
      <c r="C652" s="4"/>
      <c r="D652" s="4"/>
      <c r="E652" s="4"/>
      <c r="F652" s="4"/>
      <c r="G652" s="14">
        <v>0</v>
      </c>
      <c r="H652">
        <v>0</v>
      </c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14">
        <v>0</v>
      </c>
      <c r="U652" s="14">
        <v>0</v>
      </c>
      <c r="V652" s="14">
        <v>0</v>
      </c>
      <c r="W652" s="4"/>
      <c r="X652" s="4">
        <v>0</v>
      </c>
    </row>
    <row r="653" hidden="1" spans="2:24">
      <c r="B653" s="4">
        <v>0</v>
      </c>
      <c r="C653" s="4"/>
      <c r="D653" s="4"/>
      <c r="E653" s="4"/>
      <c r="F653" s="4"/>
      <c r="G653" s="14">
        <v>0</v>
      </c>
      <c r="H653">
        <v>0</v>
      </c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14">
        <v>0</v>
      </c>
      <c r="U653" s="14">
        <v>0</v>
      </c>
      <c r="V653" s="14">
        <v>0</v>
      </c>
      <c r="W653" s="4"/>
      <c r="X653" s="4">
        <v>0</v>
      </c>
    </row>
    <row r="654" hidden="1" spans="2:29">
      <c r="B654" s="4">
        <v>0</v>
      </c>
      <c r="C654" s="4"/>
      <c r="D654" s="4"/>
      <c r="E654" s="4"/>
      <c r="F654" s="4"/>
      <c r="G654" s="14">
        <v>0</v>
      </c>
      <c r="H654">
        <v>0</v>
      </c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14">
        <v>0</v>
      </c>
      <c r="U654" s="14">
        <v>0</v>
      </c>
      <c r="V654" s="14">
        <v>0</v>
      </c>
      <c r="W654" s="4"/>
      <c r="X654" s="4">
        <v>0</v>
      </c>
      <c r="Y654" s="4"/>
      <c r="Z654" s="4"/>
      <c r="AA654" s="4"/>
      <c r="AB654" s="4"/>
      <c r="AC654" s="4" t="e">
        <f>SUMPRODUCT(Z462:Z650,AA462:AA650,AB462:AB650)</f>
        <v>#REF!</v>
      </c>
    </row>
    <row r="655" hidden="1" spans="2:24">
      <c r="B655" s="4">
        <v>0</v>
      </c>
      <c r="C655" s="4"/>
      <c r="D655" s="4"/>
      <c r="E655" s="4">
        <v>0</v>
      </c>
      <c r="F655" s="4"/>
      <c r="G655" s="14">
        <v>0</v>
      </c>
      <c r="H655">
        <v>0</v>
      </c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14">
        <v>0</v>
      </c>
      <c r="U655" s="14">
        <v>0</v>
      </c>
      <c r="V655" s="14">
        <v>0</v>
      </c>
      <c r="W655" s="4"/>
      <c r="X655" s="4">
        <v>0</v>
      </c>
    </row>
    <row r="656" hidden="1" spans="2:24">
      <c r="B656" s="4">
        <v>0</v>
      </c>
      <c r="C656" s="4"/>
      <c r="D656" s="4"/>
      <c r="E656" s="4">
        <v>0</v>
      </c>
      <c r="F656" s="4"/>
      <c r="G656" s="14">
        <v>0</v>
      </c>
      <c r="H656">
        <v>0</v>
      </c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14">
        <v>0</v>
      </c>
      <c r="U656" s="14">
        <v>0</v>
      </c>
      <c r="V656" s="14">
        <v>0</v>
      </c>
      <c r="W656" s="4"/>
      <c r="X656" s="4">
        <v>0</v>
      </c>
    </row>
    <row r="657" hidden="1" spans="2:24">
      <c r="B657" s="4">
        <v>0</v>
      </c>
      <c r="C657" s="4"/>
      <c r="D657" s="4"/>
      <c r="E657" s="4">
        <v>0</v>
      </c>
      <c r="F657" s="4"/>
      <c r="G657" s="14">
        <v>0</v>
      </c>
      <c r="H657">
        <v>0</v>
      </c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14">
        <v>0</v>
      </c>
      <c r="U657" s="14">
        <v>0</v>
      </c>
      <c r="V657" s="14">
        <v>0</v>
      </c>
      <c r="W657" s="4"/>
      <c r="X657" s="4">
        <v>0</v>
      </c>
    </row>
    <row r="658" hidden="1" spans="2:24">
      <c r="B658" s="4">
        <v>0</v>
      </c>
      <c r="C658" s="4"/>
      <c r="D658" s="4"/>
      <c r="E658" s="4">
        <v>0</v>
      </c>
      <c r="F658" s="4"/>
      <c r="G658" s="14">
        <v>0</v>
      </c>
      <c r="H658">
        <v>0</v>
      </c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14">
        <v>0</v>
      </c>
      <c r="U658" s="14">
        <v>0</v>
      </c>
      <c r="V658" s="14">
        <v>0</v>
      </c>
      <c r="W658" s="4"/>
      <c r="X658" s="4">
        <v>0</v>
      </c>
    </row>
    <row r="659" hidden="1" spans="2:24">
      <c r="B659" s="4">
        <v>0</v>
      </c>
      <c r="C659" s="4"/>
      <c r="D659" s="4"/>
      <c r="E659" s="4"/>
      <c r="F659" s="4"/>
      <c r="G659" s="14">
        <v>0</v>
      </c>
      <c r="H659">
        <v>0</v>
      </c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14">
        <v>0</v>
      </c>
      <c r="U659" s="14">
        <v>0</v>
      </c>
      <c r="V659" s="14">
        <v>0</v>
      </c>
      <c r="W659" s="4"/>
      <c r="X659" s="4">
        <v>0</v>
      </c>
    </row>
    <row r="660" hidden="1" spans="2:29">
      <c r="B660" s="4">
        <v>0</v>
      </c>
      <c r="C660" s="4"/>
      <c r="D660" s="4"/>
      <c r="E660" s="4"/>
      <c r="F660" s="4"/>
      <c r="G660" s="14">
        <v>0</v>
      </c>
      <c r="H660">
        <v>0</v>
      </c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14">
        <v>0</v>
      </c>
      <c r="U660" s="14">
        <v>0</v>
      </c>
      <c r="V660" s="14">
        <v>0</v>
      </c>
      <c r="W660" s="4"/>
      <c r="X660" s="4">
        <v>0</v>
      </c>
      <c r="Y660" s="4"/>
      <c r="Z660" s="4"/>
      <c r="AA660" s="4"/>
      <c r="AB660" s="4"/>
      <c r="AC660" s="4" t="e">
        <f>SUMPRODUCT(Z462:Z631,AA462:AA631,AB462:AB631)</f>
        <v>#REF!</v>
      </c>
    </row>
    <row r="661" hidden="1" spans="2:24">
      <c r="B661" s="4">
        <v>0</v>
      </c>
      <c r="C661" s="4"/>
      <c r="D661" s="4"/>
      <c r="E661" s="4"/>
      <c r="F661" s="4"/>
      <c r="G661" s="14">
        <v>0</v>
      </c>
      <c r="H661">
        <v>0</v>
      </c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14">
        <v>0</v>
      </c>
      <c r="U661" s="14">
        <v>0</v>
      </c>
      <c r="V661" s="14">
        <v>0</v>
      </c>
      <c r="W661" s="4"/>
      <c r="X661" s="4">
        <v>0</v>
      </c>
    </row>
    <row r="662" hidden="1" spans="2:29">
      <c r="B662" s="4">
        <v>0</v>
      </c>
      <c r="C662" s="4"/>
      <c r="D662" s="4"/>
      <c r="E662" s="4"/>
      <c r="F662" s="4"/>
      <c r="G662" s="14">
        <v>0</v>
      </c>
      <c r="H662">
        <v>0</v>
      </c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14">
        <v>0</v>
      </c>
      <c r="U662" s="14">
        <v>0</v>
      </c>
      <c r="V662" s="14">
        <v>0</v>
      </c>
      <c r="W662" s="4"/>
      <c r="X662" s="4">
        <v>0</v>
      </c>
      <c r="Y662" s="4"/>
      <c r="Z662" s="4">
        <v>1</v>
      </c>
      <c r="AA662" s="4"/>
      <c r="AB662" s="4"/>
      <c r="AC662" s="4" t="e">
        <f>SUMPRODUCT($AB$2:$AB$641,$AA$2:$AA$641,$Z$2:$Z$641)</f>
        <v>#REF!</v>
      </c>
    </row>
    <row r="663" hidden="1" spans="2:24">
      <c r="B663" s="4">
        <v>0</v>
      </c>
      <c r="C663" s="4"/>
      <c r="D663" s="4"/>
      <c r="E663" s="4"/>
      <c r="F663" s="4"/>
      <c r="G663" s="14">
        <v>0</v>
      </c>
      <c r="H663">
        <v>0</v>
      </c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14">
        <v>0</v>
      </c>
      <c r="U663" s="14">
        <v>0</v>
      </c>
      <c r="V663" s="14">
        <v>0</v>
      </c>
      <c r="W663" s="4"/>
      <c r="X663" s="4">
        <v>0</v>
      </c>
    </row>
    <row r="664" hidden="1" spans="2:29">
      <c r="B664" s="4">
        <v>0</v>
      </c>
      <c r="C664" s="4"/>
      <c r="D664" s="4"/>
      <c r="E664" s="4"/>
      <c r="F664" s="4"/>
      <c r="G664" s="14">
        <v>0</v>
      </c>
      <c r="H664">
        <v>0</v>
      </c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14">
        <v>0</v>
      </c>
      <c r="U664" s="14">
        <v>0</v>
      </c>
      <c r="V664" s="14">
        <v>0</v>
      </c>
      <c r="W664" s="4"/>
      <c r="X664" s="4">
        <v>0</v>
      </c>
      <c r="Y664" s="4"/>
      <c r="Z664" s="4"/>
      <c r="AA664" s="4"/>
      <c r="AB664" s="4"/>
      <c r="AC664" s="4">
        <f>SUMPRODUCT($R$2:$R$714,$AA$2:$AA$714,$Z$2:$Z$714)</f>
        <v>204680</v>
      </c>
    </row>
    <row r="665" hidden="1" spans="2:24">
      <c r="B665" s="4">
        <v>0</v>
      </c>
      <c r="G665" s="14">
        <v>0</v>
      </c>
      <c r="H665">
        <v>0</v>
      </c>
      <c r="T665" s="14">
        <v>0</v>
      </c>
      <c r="U665" s="14">
        <v>0</v>
      </c>
      <c r="V665" s="14">
        <v>0</v>
      </c>
      <c r="X665" s="4">
        <v>0</v>
      </c>
    </row>
    <row r="666" ht="14.25"/>
  </sheetData>
  <autoFilter ref="A1:AE665">
    <filterColumn colId="24">
      <customFilters>
        <customFilter operator="notEqual" val=""/>
      </customFilters>
    </filterColumn>
    <sortState ref="A2:AE665">
      <sortCondition ref="S1" descending="1"/>
    </sortState>
  </autoFilter>
  <hyperlinks>
    <hyperlink ref="W529" r:id="rId5" display="保发集团"/>
    <hyperlink ref="W433" r:id="rId6" display="中国能源建设"/>
    <hyperlink ref="W224" r:id="rId7" display="绿景中国地产"/>
    <hyperlink ref="W14" r:id="rId8" display="中达金融集团"/>
    <hyperlink ref="W481" r:id="rId9" display="宏峰太平洋"/>
    <hyperlink ref="W240" r:id="rId10" display="味千(中国)"/>
    <hyperlink ref="W264" r:id="rId11" display="鑫网易商"/>
    <hyperlink ref="W535" r:id="rId12" display="拉近网娱"/>
    <hyperlink ref="W546" r:id="rId13" display="首都金融控股"/>
    <hyperlink ref="W219" r:id="rId14" display="宏辉集团"/>
    <hyperlink ref="W196" r:id="rId15" display="华多利集团"/>
    <hyperlink ref="W346" r:id="rId16" display="中国创联教育"/>
    <hyperlink ref="W599" r:id="rId17" display="东瑞制药"/>
    <hyperlink ref="W145" r:id="rId18" display="滙能集团"/>
    <hyperlink ref="W48" r:id="rId19" display="滴达国际"/>
    <hyperlink ref="W325" r:id="rId20" display="彩星集团"/>
    <hyperlink ref="W154" r:id="rId21" display="天洁环境"/>
    <hyperlink ref="W450" r:id="rId22" display="荟萃国际(控股)"/>
    <hyperlink ref="W217" r:id="rId23" display="闽信集团"/>
    <hyperlink ref="W227" r:id="rId24" display="华南城"/>
    <hyperlink ref="W200" r:id="rId25" display="中国光电控股"/>
    <hyperlink ref="W168" r:id="rId26" display="皓天财经集团"/>
    <hyperlink ref="W359" r:id="rId27" display="朸濬国际"/>
    <hyperlink ref="W408" r:id="rId28" display="亨得利"/>
    <hyperlink ref="W257" r:id="rId29" display="财讯传媒"/>
    <hyperlink ref="W104" r:id="rId30" display="保华集团"/>
    <hyperlink ref="W136" r:id="rId31" display="长盈集团(控股)"/>
    <hyperlink ref="W496" r:id="rId32" display="华熙生物科技"/>
    <hyperlink ref="W66" r:id="rId33" display="飞尚非金属"/>
    <hyperlink ref="W182" r:id="rId34" display="YUGANG INT'L"/>
    <hyperlink ref="W237" r:id="rId35" display="天津港发展"/>
    <hyperlink ref="W142" r:id="rId36" display="粤海制革"/>
    <hyperlink ref="W243" r:id="rId37" display="文化传信"/>
    <hyperlink ref="W561" r:id="rId38" display="中国瀛晟娱乐"/>
    <hyperlink ref="W396" r:id="rId39" display="中盈盛达融资担保"/>
    <hyperlink ref="W412" r:id="rId40" display="天津创业环保股份"/>
    <hyperlink ref="W40" r:id="rId41" display="日东科技"/>
    <hyperlink ref="W246" r:id="rId42" display="华富国际"/>
    <hyperlink ref="W473" r:id="rId43" display="百信药业"/>
    <hyperlink ref="W138" r:id="rId44" display="先健科技"/>
    <hyperlink ref="W426" r:id="rId45" display="康宁医院"/>
    <hyperlink ref="W507" r:id="rId46" display="中国白银集团"/>
    <hyperlink ref="W400" r:id="rId47" display="中集集团"/>
    <hyperlink ref="W416" r:id="rId48" display="翠华控股"/>
    <hyperlink ref="W511" r:id="rId49" display="上置集团"/>
    <hyperlink ref="W177" r:id="rId50" display="远东发展"/>
    <hyperlink ref="W96" r:id="rId51" display="宝胜国际"/>
    <hyperlink ref="W330" r:id="rId52" display="联合医务"/>
    <hyperlink ref="W369" r:id="rId53" display="庄园牧场"/>
    <hyperlink ref="W204" r:id="rId54" display="洛阳玻璃股份"/>
    <hyperlink ref="W85" r:id="rId55" display="汇彩控股"/>
    <hyperlink ref="W38" r:id="rId56" display="亚洲煤业"/>
    <hyperlink ref="W390" r:id="rId57" display="新龙移动"/>
    <hyperlink ref="W504" r:id="rId58" display="IMAX"/>
    <hyperlink ref="W26" r:id="rId59" display="新锐医药"/>
    <hyperlink ref="W165" r:id="rId60" display="上海石油化工股份"/>
    <hyperlink ref="W94" r:id="rId61" display="天鸽互动"/>
    <hyperlink ref="W363" r:id="rId62" display="浩泽净水"/>
    <hyperlink ref="W215" r:id="rId63" display="同仁堂科技"/>
    <hyperlink ref="W117" r:id="rId64" display="宏基集团控股"/>
    <hyperlink ref="W27" r:id="rId65" display="锐康药业"/>
    <hyperlink ref="W423" r:id="rId66" display="第一视频"/>
    <hyperlink ref="W97" r:id="rId67" display="普华和顺"/>
    <hyperlink ref="W174" r:id="rId68" display="集一家居"/>
    <hyperlink ref="W228" r:id="rId69" display="盈富基金"/>
    <hyperlink ref="W420" r:id="rId70" display="中泛控股"/>
    <hyperlink ref="W556" r:id="rId71" display="宝信汽车"/>
    <hyperlink ref="W230" r:id="rId72" display="中国大冶有色金属"/>
    <hyperlink ref="W5" r:id="rId73" display="香港教育国际"/>
    <hyperlink ref="W580" r:id="rId74" display="十方控股"/>
    <hyperlink ref="W513" r:id="rId75" display="创达科技控股"/>
    <hyperlink ref="W106" r:id="rId76" display="李宁"/>
    <hyperlink ref="W587" r:id="rId77" display="中慧国际控股"/>
    <hyperlink ref="W261" r:id="rId78" display="农业银行"/>
    <hyperlink ref="W109" r:id="rId79" display="瑞声科技"/>
    <hyperlink ref="W208" r:id="rId80" display="中海油田服务"/>
    <hyperlink ref="W398" r:id="rId81" display="中国太平"/>
    <hyperlink ref="W430" r:id="rId82" display="伟俊矿业集团"/>
    <hyperlink ref="W457" r:id="rId83" display="中国电子"/>
    <hyperlink ref="W395" r:id="rId84" display="中广核电力"/>
    <hyperlink ref="W233" r:id="rId85" display="越秀交通基建"/>
    <hyperlink ref="W534" r:id="rId86" display="时间由你"/>
    <hyperlink ref="W476" r:id="rId87" display="新体育"/>
    <hyperlink ref="W307" r:id="rId88" display="金风科技"/>
    <hyperlink ref="W118" r:id="rId89" display="万达商业"/>
    <hyperlink ref="W80" r:id="rId90" display="博雅互动"/>
    <hyperlink ref="W139" r:id="rId91" display="龙光地产"/>
    <hyperlink ref="W354" r:id="rId92" display="中粮包装"/>
    <hyperlink ref="W591" r:id="rId93" display="强泰环保"/>
    <hyperlink ref="W429" r:id="rId94" display="粤运交通"/>
    <hyperlink ref="W514" r:id="rId95" display="超凡网络"/>
    <hyperlink ref="W444" r:id="rId96" display="北京控股"/>
    <hyperlink ref="W564" r:id="rId97" display="都市丽人"/>
    <hyperlink ref="W302" r:id="rId98" display="京能清洁能源"/>
    <hyperlink ref="W320" r:id="rId99" display="恩达集团控股"/>
    <hyperlink ref="W185" r:id="rId100" display="天能动力"/>
    <hyperlink ref="W438" r:id="rId101" display="JC GROUP HLDG"/>
    <hyperlink ref="W292" r:id="rId102" display="永嘉集团"/>
    <hyperlink ref="W101" r:id="rId103" display="中煤能源"/>
    <hyperlink ref="W239" r:id="rId104" display="金山软件"/>
    <hyperlink ref="W28" r:id="rId105" display="意马国际"/>
    <hyperlink ref="W594" r:id="rId106" display="北控清洁能源集团"/>
    <hyperlink ref="W223" r:id="rId107" display="恒生H股ETF"/>
    <hyperlink ref="W148" r:id="rId108" display="新福港"/>
    <hyperlink ref="W344" r:id="rId109" display="盈进集团"/>
    <hyperlink ref="W206" r:id="rId110" display="英裘控股"/>
    <hyperlink ref="W59" r:id="rId111" display="中国宏桥"/>
    <hyperlink ref="W415" r:id="rId112" display="中石化油服"/>
    <hyperlink ref="W250" r:id="rId113" display="银泰商业"/>
    <hyperlink ref="W342" r:id="rId114" display="兴业太阳能"/>
    <hyperlink ref="W231" r:id="rId115" display="中国光大国际"/>
    <hyperlink ref="W327" r:id="rId116" display="招商局置地"/>
    <hyperlink ref="W125" r:id="rId117" display="腾讯控股"/>
    <hyperlink ref="W280" r:id="rId118" display="中国远洋"/>
    <hyperlink ref="W270" r:id="rId119" display="复星国际"/>
    <hyperlink ref="W314" r:id="rId120" display="五龙电动车"/>
    <hyperlink ref="W378" r:id="rId121" display="信义光能"/>
    <hyperlink ref="W284" r:id="rId122" display="上海电气"/>
    <hyperlink ref="W210" r:id="rId123" display="大新银行集团"/>
    <hyperlink ref="W11" r:id="rId124" display="云裳衣"/>
    <hyperlink ref="W198" r:id="rId125" display="香港交易所"/>
    <hyperlink ref="W523" r:id="rId126" display="和谐汽车"/>
    <hyperlink ref="W127" r:id="rId127" display="海通国际"/>
    <hyperlink ref="W508" r:id="rId128" display="融众金融"/>
    <hyperlink ref="W234" r:id="rId129" display="恒隆地产"/>
    <hyperlink ref="W502" r:id="rId130" display="天下图控股"/>
    <hyperlink ref="W480" r:id="rId131" display="香港电视"/>
    <hyperlink ref="W274" r:id="rId132" display="广发证券"/>
    <hyperlink ref="W79" r:id="rId133" display="国泰君安国际"/>
    <hyperlink ref="W89" r:id="rId134" display="中国通信服务"/>
    <hyperlink ref="W583" r:id="rId135" display="大健康国际"/>
    <hyperlink ref="W596" r:id="rId136" display="精英国际"/>
    <hyperlink ref="W304" r:id="rId137" display="中金公司"/>
    <hyperlink ref="W272" r:id="rId138" display="万华媒体"/>
    <hyperlink ref="W505" r:id="rId139" display="联想集团"/>
    <hyperlink ref="W67" r:id="rId140" display="六福集团"/>
    <hyperlink ref="W574" r:id="rId141" display="恒芯中国"/>
    <hyperlink ref="W19" r:id="rId142" display="域高金融"/>
    <hyperlink ref="W112" r:id="rId143" display="紫金矿业"/>
    <hyperlink ref="W77" r:id="rId144" display="至卓国际"/>
    <hyperlink ref="W115" r:id="rId145" display="时富投资"/>
    <hyperlink ref="W553" r:id="rId146" display="华夏医疗"/>
    <hyperlink ref="W3" r:id="rId147" display="华泰瑞银"/>
    <hyperlink ref="W319" r:id="rId148" display="中国支付通"/>
    <hyperlink ref="W384" r:id="rId149" display="中国中药"/>
    <hyperlink ref="W143" r:id="rId150" display="北控水务集团"/>
    <hyperlink ref="W557" r:id="rId151" display="力高地产"/>
    <hyperlink ref="W251" r:id="rId152" display="恒大健康"/>
    <hyperlink ref="W16" r:id="rId153" display="丘钛科技"/>
    <hyperlink ref="W187" r:id="rId154" display="御濠娱乐"/>
    <hyperlink ref="W57" r:id="rId155" display="时富金融服务集团"/>
    <hyperlink ref="W394" r:id="rId156" display="复旦张江"/>
    <hyperlink ref="W340" r:id="rId157" display="中航科工"/>
    <hyperlink ref="W570" r:id="rId158" display="卡撒天娇"/>
    <hyperlink ref="W260" r:id="rId159" display="华电福新"/>
    <hyperlink ref="W133" r:id="rId160" display="中银香港"/>
    <hyperlink ref="W72" r:id="rId161" display="浙江世宝"/>
    <hyperlink ref="W448" r:id="rId162" display="火岩控股"/>
    <hyperlink ref="W242" r:id="rId163" display="粤丰环保"/>
    <hyperlink ref="W543" r:id="rId164" display="顺风清洁能源"/>
    <hyperlink ref="W479" r:id="rId165" display="三生制药"/>
    <hyperlink ref="W531" r:id="rId166" display="碧生源"/>
    <hyperlink ref="W121" r:id="rId167" display="科通芯城"/>
    <hyperlink ref="W268" r:id="rId168" display="亚美能源"/>
    <hyperlink ref="W277" r:id="rId169" display="彩生活"/>
    <hyperlink ref="W236" r:id="rId170" display="厦门港务"/>
    <hyperlink ref="W464" r:id="rId171" display="新明中国"/>
    <hyperlink ref="W194" r:id="rId172" display="万科企业"/>
    <hyperlink ref="W269" r:id="rId173" display="中国银行"/>
    <hyperlink ref="W545" r:id="rId174" display="蜡笔小新食品"/>
    <hyperlink ref="W413" r:id="rId175" display="星美控股"/>
    <hyperlink ref="W578" r:id="rId176" display="中国新城市"/>
    <hyperlink ref="W36" r:id="rId177" display="兴达国际"/>
    <hyperlink ref="W41" r:id="rId178" display="汇盈控股"/>
    <hyperlink ref="W579" r:id="rId179" display="智傲控股"/>
    <hyperlink ref="W113" r:id="rId180" display="中海物业"/>
    <hyperlink ref="W222" r:id="rId181" display="中国平安"/>
    <hyperlink ref="W467" r:id="rId182" display="酷派集团"/>
    <hyperlink ref="W558" r:id="rId183" display="中国华仁医疗"/>
    <hyperlink ref="W189" r:id="rId184" display="华能新能源"/>
    <hyperlink ref="W6" r:id="rId185" display="寰宇国际"/>
    <hyperlink ref="W588" r:id="rId186" display="万达商业地产股权"/>
    <hyperlink ref="W576" r:id="rId187" display="恒发洋参"/>
    <hyperlink ref="W22" r:id="rId188" display="万辉化工"/>
    <hyperlink ref="W42" r:id="rId189" display="良斯集团"/>
    <hyperlink ref="W119" r:id="rId190" display="应力控股"/>
    <hyperlink ref="W130" r:id="rId191" display="恒腾网络"/>
    <hyperlink ref="W69" r:id="rId192" display="KTL INT'L"/>
    <hyperlink ref="W184" r:id="rId193" display="百威国际"/>
    <hyperlink ref="W421" r:id="rId194" display="万科置业海外"/>
    <hyperlink ref="W516" r:id="rId195" display="品牌中国"/>
    <hyperlink ref="W352" r:id="rId196" display="广南(集团)"/>
    <hyperlink ref="W385" r:id="rId197" display="谭木匠"/>
    <hyperlink ref="W589" r:id="rId198" display="佳兆业集团"/>
    <hyperlink ref="W372" r:id="rId199" display="中国动物保健品"/>
    <hyperlink ref="W586" r:id="rId200" display="MONGOLMININGRTS"/>
    <hyperlink ref="W99" r:id="rId201" display="万科置业海外股权"/>
    <hyperlink ref="W47" r:id="rId202" display="中国新经济投资"/>
    <hyperlink ref="W181" r:id="rId203" display="环球医疗"/>
    <hyperlink ref="W300" r:id="rId204" display="锦胜集团(控股)"/>
    <hyperlink ref="W95" r:id="rId205" display="泰邦集团"/>
    <hyperlink ref="W332" r:id="rId206" display="中国资本"/>
    <hyperlink ref="W306" r:id="rId207" display="南华早报集团"/>
    <hyperlink ref="W190" r:id="rId208" display="富通科技"/>
    <hyperlink ref="W512" r:id="rId209" display="天马影视"/>
    <hyperlink ref="W153" r:id="rId210" display="华彩控股"/>
    <hyperlink ref="W39" r:id="rId211" display="前进控股集团"/>
    <hyperlink ref="W258" r:id="rId212" display="工商银行"/>
    <hyperlink ref="W548" r:id="rId213" display="立基工程控股"/>
    <hyperlink ref="W310" r:id="rId214" display="恒大地产"/>
    <hyperlink ref="W301" r:id="rId215" display="SOHO中国"/>
    <hyperlink ref="W401" r:id="rId216" display="光谷联合"/>
    <hyperlink ref="W120" r:id="rId217" display="中国银河"/>
    <hyperlink ref="W211" r:id="rId218" display="雨润食品"/>
    <hyperlink ref="W582" r:id="rId219" display="仁瑞投资"/>
    <hyperlink ref="W180" r:id="rId220" display="协鑫新能源"/>
    <hyperlink ref="W74" r:id="rId221" display="承达集团"/>
    <hyperlink ref="W368" r:id="rId222" display="中国资源交通"/>
    <hyperlink ref="W221" r:id="rId223" display="京西国际"/>
    <hyperlink ref="W225" r:id="rId224" display="金蝶国际"/>
    <hyperlink ref="W522" r:id="rId225" display="昌兴国际"/>
    <hyperlink ref="W424" r:id="rId226" display="金邦达宝嘉"/>
    <hyperlink ref="W128" r:id="rId227" display="中国粮油控股"/>
    <hyperlink ref="W597" r:id="rId228" display="申洲国际"/>
    <hyperlink ref="W490" r:id="rId229" display="绿叶制药"/>
    <hyperlink ref="W491" r:id="rId230" display="华能国际电力股份"/>
    <hyperlink ref="W71" r:id="rId231" display="兖州煤业股份"/>
    <hyperlink ref="W441" r:id="rId232" display="嘉年华国际"/>
    <hyperlink ref="W87" r:id="rId233" display="玖龙纸业"/>
    <hyperlink ref="W86" r:id="rId234" display="慧聪网"/>
    <hyperlink ref="W432" r:id="rId235" display="汇银智慧社区"/>
    <hyperlink ref="W195" r:id="rId236" display="招商银行"/>
    <hyperlink ref="W446" r:id="rId237" display="富智康集团"/>
    <hyperlink ref="W296" r:id="rId238" display="中船防务"/>
    <hyperlink ref="W585" r:id="rId239" display="中国天化工"/>
    <hyperlink ref="W92" r:id="rId240" display="超威动力"/>
    <hyperlink ref="W29" r:id="rId241" display="千里眼控股"/>
    <hyperlink ref="W381" r:id="rId242" display="中国育儿网络"/>
    <hyperlink ref="W238" r:id="rId243" display="中国信达"/>
    <hyperlink ref="W343" r:id="rId244" display="南南资源"/>
    <hyperlink ref="W135" r:id="rId245" display="英皇证券"/>
    <hyperlink ref="W73" r:id="rId246" display="耀才证券金融"/>
    <hyperlink ref="W201" r:id="rId247" display="中国金融投资管理"/>
    <hyperlink ref="W492" r:id="rId248" display="神州数码"/>
    <hyperlink ref="W577" r:id="rId249" display="中国信贷"/>
    <hyperlink ref="W371" r:id="rId250" display="中国动向"/>
    <hyperlink ref="W262" r:id="rId251" display="汇丰控股"/>
    <hyperlink ref="W149" r:id="rId252" display="新华保险"/>
    <hyperlink ref="W156" r:id="rId253" display="中海船舶"/>
    <hyperlink ref="W355" r:id="rId254" display="华宝国际"/>
    <hyperlink ref="W102" r:id="rId255" display="中国中铁"/>
    <hyperlink ref="W163" r:id="rId256" display="现代牧业"/>
    <hyperlink ref="W111" r:id="rId257" display="澳门励骏"/>
    <hyperlink ref="W308" r:id="rId258" display="惠理集团"/>
    <hyperlink ref="W123" r:id="rId259" display="复星医药"/>
    <hyperlink ref="W600" r:id="rId260" display="东北虎药业"/>
    <hyperlink ref="W341" r:id="rId261" display="重庆机电"/>
    <hyperlink ref="W537" r:id="rId262" display="玖源集团"/>
    <hyperlink ref="W463" r:id="rId263" display="锦江酒店"/>
    <hyperlink ref="W7" r:id="rId264" display="中国电力新能源"/>
    <hyperlink ref="W291" r:id="rId265" display="中国忠旺"/>
    <hyperlink ref="W305" r:id="rId266" display="中国生物制药"/>
    <hyperlink ref="W46" r:id="rId267" display="凤凰医疗"/>
    <hyperlink ref="W45" r:id="rId268" display="中国创新支付"/>
    <hyperlink ref="W406" r:id="rId269" display="汇源果汁"/>
    <hyperlink ref="W595" r:id="rId270" display="申万宏源"/>
    <hyperlink ref="W409" r:id="rId271" display="中国财险"/>
    <hyperlink ref="W497" r:id="rId272" display="大成糖业"/>
    <hyperlink ref="W443" r:id="rId273" display="阿里影业"/>
    <hyperlink ref="W197" r:id="rId274" display="城建设计"/>
    <hyperlink ref="W592" r:id="rId275" display="百富环球"/>
    <hyperlink ref="W519" r:id="rId276" display="金隅股份"/>
    <hyperlink ref="W348" r:id="rId277" display="中国人民保险集团"/>
    <hyperlink ref="W333" r:id="rId278" display="长城汽车"/>
    <hyperlink ref="W192" r:id="rId279" display="中国民生金融"/>
    <hyperlink ref="W132" r:id="rId280" display="福耀玻璃"/>
    <hyperlink ref="W573" r:id="rId281" display="优派能源发展"/>
    <hyperlink ref="W518" r:id="rId282" display="康宏金融"/>
    <hyperlink ref="W387" r:id="rId283" display="红星美凯龙"/>
    <hyperlink ref="W539" r:id="rId284" display="中民筑友科技"/>
    <hyperlink ref="W397" r:id="rId285" display="中国南方航空股份"/>
    <hyperlink ref="W499" r:id="rId286" display="百奥家庭互动"/>
    <hyperlink ref="W351" r:id="rId287" display="中国擎天软件"/>
    <hyperlink ref="W376" r:id="rId288" display="中国再保险"/>
    <hyperlink ref="W571" r:id="rId289" display="年年卡"/>
    <hyperlink ref="W199" r:id="rId290" display="安踏体育"/>
    <hyperlink ref="W279" r:id="rId291" display="中信银行"/>
    <hyperlink ref="W166" r:id="rId292" display="英皇娱乐酒店"/>
    <hyperlink ref="W44" r:id="rId293" display="金斯瑞生物科技"/>
    <hyperlink ref="W122" r:id="rId294" display="中联重科"/>
    <hyperlink ref="W76" r:id="rId295" display="洛阳钼业"/>
    <hyperlink ref="W141" r:id="rId296" display="灵宝黄金"/>
    <hyperlink ref="W169" r:id="rId297" display="TCL通讯"/>
    <hyperlink ref="W183" r:id="rId298" display="朗廷-SS"/>
    <hyperlink ref="W357" r:id="rId299" display="中广核新能源"/>
    <hyperlink ref="W575" r:id="rId300" display="高银金融"/>
    <hyperlink ref="W278" r:id="rId301" display="施伯乐策略控股"/>
    <hyperlink ref="W377" r:id="rId302" display="中国顺客隆"/>
    <hyperlink ref="W350" r:id="rId303" display="太平洋网络"/>
    <hyperlink ref="W598" r:id="rId304" display="恒安国际"/>
    <hyperlink ref="W547" r:id="rId305" display="中国9号健康"/>
    <hyperlink ref="W317" r:id="rId306" display="麦迪森酒业"/>
    <hyperlink ref="W316" r:id="rId307" display="中信国际电讯"/>
    <hyperlink ref="W601" r:id="rId308" display="国美电器"/>
    <hyperlink ref="W108" r:id="rId309" display="中国交通建设"/>
    <hyperlink ref="W362" r:id="rId310" display="贸易通"/>
    <hyperlink ref="W329" r:id="rId311" display="保利协鑫能源"/>
    <hyperlink ref="W155" r:id="rId312" display="海通证券"/>
    <hyperlink ref="W515" r:id="rId313" display="智城控股"/>
    <hyperlink ref="W267" r:id="rId314" display="郑州银行"/>
    <hyperlink ref="W129" r:id="rId315" display="新城发展控股"/>
    <hyperlink ref="W273" r:id="rId316" display="联合光伏"/>
    <hyperlink ref="W347" r:id="rId317" display="绿色动力环保"/>
    <hyperlink ref="W475" r:id="rId318" display="MEGAEXPO HLDG"/>
    <hyperlink ref="W451" r:id="rId319" display="俊知集团"/>
    <hyperlink ref="W159" r:id="rId320" display="同仁堂国药"/>
    <hyperlink ref="W287" r:id="rId321" display="中海集运"/>
    <hyperlink ref="W418" r:id="rId322" display="中天国际"/>
    <hyperlink ref="W324" r:id="rId323" display="超智能控股"/>
    <hyperlink ref="W528" r:id="rId324" display="远大中国"/>
    <hyperlink ref="W100" r:id="rId325" display="青岛港"/>
    <hyperlink ref="W134" r:id="rId326" display="泛海集团"/>
    <hyperlink ref="W8" r:id="rId327" display="中播控股"/>
    <hyperlink ref="W290" r:id="rId328" display="嘉里建设"/>
    <hyperlink ref="W173" r:id="rId329" display="比亚迪股份"/>
    <hyperlink ref="W373" r:id="rId330" display="中国中车"/>
    <hyperlink ref="W509" r:id="rId331" display="幸福控股"/>
    <hyperlink ref="W339" r:id="rId332" display="中国金茂"/>
    <hyperlink ref="W249" r:id="rId333" display="元征科技"/>
    <hyperlink ref="W482" r:id="rId334" display="联想控股"/>
    <hyperlink ref="W68" r:id="rId335" display="比亚迪电子"/>
    <hyperlink ref="W140" r:id="rId336" display="美克国际"/>
    <hyperlink ref="W124" r:id="rId337" display="中国软件国际"/>
    <hyperlink ref="W65" r:id="rId338" display="达力集团"/>
    <hyperlink ref="W150" r:id="rId339" display="时代地产"/>
    <hyperlink ref="W487" r:id="rId340" display="威胜集团"/>
    <hyperlink ref="W486" r:id="rId341" display="楼东俊安资源"/>
    <hyperlink ref="W252" r:id="rId342" display="香港信贷"/>
    <hyperlink ref="W17" r:id="rId343" display="华荣能源"/>
    <hyperlink ref="W53" r:id="rId344" display="IGG"/>
    <hyperlink ref="W64" r:id="rId345" display="中国置业投资"/>
    <hyperlink ref="W449" r:id="rId346" display="招商局国际"/>
    <hyperlink ref="W98" r:id="rId347" display="中国民航信息网络"/>
    <hyperlink ref="W495" r:id="rId348" display="神州租车"/>
    <hyperlink ref="W375" r:id="rId349" display="合景泰富"/>
    <hyperlink ref="W276" r:id="rId350" display="中国消防"/>
    <hyperlink ref="W488" r:id="rId351" display="泰凌医药"/>
    <hyperlink ref="W299" r:id="rId352" display="北京首都机场股份"/>
    <hyperlink ref="W572" r:id="rId353" display="众彩股份"/>
    <hyperlink ref="W315" r:id="rId354" display="光启科学"/>
    <hyperlink ref="W81" r:id="rId355" display="中国先锋医药"/>
    <hyperlink ref="W186" r:id="rId356" display="周大福"/>
    <hyperlink ref="W158" r:id="rId357" display="阜丰集团"/>
    <hyperlink ref="W435" r:id="rId358" display="TCL多媒体"/>
    <hyperlink ref="W458" r:id="rId359" display="绿地香港"/>
    <hyperlink ref="W209" r:id="rId360" display="GLOBAL"/>
    <hyperlink ref="W171" r:id="rId361" display="中外运航运"/>
    <hyperlink ref="W144" r:id="rId362" display="合生元"/>
    <hyperlink ref="W336" r:id="rId363" display="天津发展"/>
    <hyperlink ref="W285" r:id="rId364" display="合和公路基建"/>
    <hyperlink ref="W266" r:id="rId365" display="福莱特玻璃"/>
    <hyperlink ref="W202" r:id="rId366" display="广深铁路股份"/>
    <hyperlink ref="W137" r:id="rId367" display="中州证券"/>
    <hyperlink ref="W383" r:id="rId368" display="中国数码文化"/>
    <hyperlink ref="W532" r:id="rId369" display="智美体育"/>
    <hyperlink ref="W33" r:id="rId370" display="中国家居"/>
    <hyperlink ref="W116" r:id="rId371" display="广汽集团"/>
    <hyperlink ref="W477" r:id="rId372" display="中国再生医学"/>
    <hyperlink ref="W90" r:id="rId373" display="中国通号"/>
    <hyperlink ref="W469" r:id="rId374" display="瑞东集团"/>
    <hyperlink ref="W286" r:id="rId375" display="华耐控股"/>
    <hyperlink ref="W216" r:id="rId376" display="融创中国"/>
    <hyperlink ref="W24" r:id="rId377" display="中国3D数码"/>
    <hyperlink ref="W407" r:id="rId378" display="环球能源资源"/>
    <hyperlink ref="W37" r:id="rId379" display="家梦控股"/>
    <hyperlink ref="W365" r:id="rId380" display="研祥智能"/>
    <hyperlink ref="W294" r:id="rId381" display="中国华融"/>
    <hyperlink ref="W245" r:id="rId382" display="航天控股"/>
    <hyperlink ref="W414" r:id="rId383" display="高银地产"/>
    <hyperlink ref="W193" r:id="rId384" display="花样年控股"/>
    <hyperlink ref="W58" r:id="rId385" display="民众金服"/>
    <hyperlink ref="W367" r:id="rId386" display="康师傅控股"/>
    <hyperlink ref="W30" r:id="rId387" display="盈信控股"/>
    <hyperlink ref="W483" r:id="rId388" display="先丰服务集团"/>
    <hyperlink ref="W164" r:id="rId389" display="网龙"/>
    <hyperlink ref="W88" r:id="rId390" display="安东油田服务"/>
    <hyperlink ref="W191" r:id="rId391" display="新焦点"/>
    <hyperlink ref="W91" r:id="rId392" display="数字王国"/>
    <hyperlink ref="W462" r:id="rId393" display="中国电力"/>
    <hyperlink ref="W103" r:id="rId394" display="招金矿业"/>
    <hyperlink ref="W498" r:id="rId395" display="飞鱼科技"/>
    <hyperlink ref="W567" r:id="rId396" display="中建置地"/>
    <hyperlink ref="W425" r:id="rId397" display="西证国际证券"/>
    <hyperlink ref="W358" r:id="rId398" display="阿里健康"/>
    <hyperlink ref="W370" r:id="rId399" display="金榜集团"/>
    <hyperlink ref="W501" r:id="rId400" display="蓝港互动"/>
    <hyperlink ref="W427" r:id="rId401" display="泰坦能源技术"/>
    <hyperlink ref="W107" r:id="rId402" display="上海集优"/>
    <hyperlink ref="W437" r:id="rId403" display="中集安瑞科"/>
    <hyperlink ref="W440" r:id="rId404" display="华星控股"/>
    <hyperlink ref="W275" r:id="rId405" display="BBI生命科技"/>
    <hyperlink ref="W353" r:id="rId406" display="统一企业中国"/>
    <hyperlink ref="W203" r:id="rId407" display="中国动力控股"/>
    <hyperlink ref="W283" r:id="rId408" display="亚洲果业"/>
    <hyperlink ref="W82" r:id="rId409" display="中国水务"/>
    <hyperlink ref="W255" r:id="rId410" display="高阳科技"/>
    <hyperlink ref="W63" r:id="rId411" display="丰展控股"/>
    <hyperlink ref="W78" r:id="rId412" display="通达集团"/>
    <hyperlink ref="W581" r:id="rId413" display="巨匠建设"/>
    <hyperlink ref="W312" r:id="rId414" display="达利食品"/>
    <hyperlink ref="W334" r:id="rId415" display="中彩网通控股"/>
    <hyperlink ref="W172" r:id="rId416" display="信达国际控股"/>
    <hyperlink ref="W542" r:id="rId417" display="环球战略集团"/>
    <hyperlink ref="W568" r:id="rId418" display="桑德国际"/>
    <hyperlink ref="W241" r:id="rId419" display="协合新能源"/>
    <hyperlink ref="W271" r:id="rId420" display="SOLOMON"/>
    <hyperlink ref="W563" r:id="rId421" display="比高集团"/>
    <hyperlink ref="W303" r:id="rId422" display="华彩控股"/>
    <hyperlink ref="W536" r:id="rId423" display="华瀚生物制药"/>
    <hyperlink ref="W434" r:id="rId424" display="安捷利实业"/>
    <hyperlink ref="W403" r:id="rId425" display="金卫医疗"/>
    <hyperlink ref="W282" r:id="rId426" display="珠江船务"/>
    <hyperlink ref="W380" r:id="rId427" display="华夏动漫"/>
    <hyperlink ref="W289" r:id="rId428" display="富誉控股"/>
    <hyperlink ref="W256" r:id="rId429" display="海昌海洋公园"/>
    <hyperlink ref="W392" r:id="rId430" display="中滔环保"/>
    <hyperlink ref="W456" r:id="rId431" display="北控医疗健康"/>
    <hyperlink ref="W220" r:id="rId432" display="威灵控股"/>
    <hyperlink ref="W562" r:id="rId433" display="金宝宝控股"/>
    <hyperlink ref="W55" r:id="rId434" display="天彩控股"/>
    <hyperlink ref="W584" r:id="rId435" display="中国集成控股"/>
    <hyperlink ref="W489" r:id="rId436" display="华人置业"/>
    <hyperlink ref="W309" r:id="rId437" display="先传媒"/>
    <hyperlink ref="W288" r:id="rId438" display="JUNEFIELD GROUP"/>
    <hyperlink ref="W23" r:id="rId439" display="重庆钢铁股份"/>
    <hyperlink ref="W12" r:id="rId440" display="汇财金融投资"/>
    <hyperlink ref="W366" r:id="rId441" display="环球信贷集团"/>
    <hyperlink ref="W259" r:id="rId442" display="琥珀能源"/>
    <hyperlink ref="W146" r:id="rId443" display="中国融保金融集团"/>
    <hyperlink ref="W549" r:id="rId444" display="渝太地产"/>
    <hyperlink ref="W131" r:id="rId445" display="康达环保"/>
    <hyperlink ref="W13" r:id="rId446" display="智易控股"/>
    <hyperlink ref="W337" r:id="rId447" display="云南水务"/>
    <hyperlink ref="W175" r:id="rId448" display="欢喜传媒"/>
    <hyperlink ref="W254" r:id="rId449" display="星美文化"/>
    <hyperlink ref="W422" r:id="rId450" display="万达酒店发展"/>
    <hyperlink ref="W565" r:id="rId451" display="中国软实力"/>
    <hyperlink ref="W298" r:id="rId452" display="卓高国际"/>
    <hyperlink ref="W114" r:id="rId453" display="上海复旦"/>
    <hyperlink ref="W60" r:id="rId454" display="德莱建业"/>
    <hyperlink ref="W93" r:id="rId455" display="坛金矿业"/>
    <hyperlink ref="W593" r:id="rId456" display="茂业国际"/>
    <hyperlink ref="W176" r:id="rId457" display="浪潮国际"/>
    <hyperlink ref="W179" r:id="rId458" display="北大青鸟环宇"/>
    <hyperlink ref="W402" r:id="rId459" display="高伟电子"/>
    <hyperlink ref="W410" r:id="rId460" display="中国心连心化肥"/>
    <hyperlink ref="W445" r:id="rId461" display="TSC集团"/>
    <hyperlink ref="W50" r:id="rId462" display="长飞光纤光缆"/>
    <hyperlink ref="W326" r:id="rId463" display="晨讯科技"/>
    <hyperlink ref="W297" r:id="rId464" display="中建富通"/>
    <hyperlink ref="W4" r:id="rId465" display="毅信控股"/>
    <hyperlink ref="W32" r:id="rId466" display="中国派对文化"/>
    <hyperlink ref="W517" r:id="rId467" display="环球数码创意"/>
    <hyperlink ref="W379" r:id="rId468" display="中奥到家"/>
    <hyperlink ref="W454" r:id="rId469" display="星岛"/>
    <hyperlink ref="W419" r:id="rId470" display="恒投证券"/>
    <hyperlink ref="W361" r:id="rId471" display="东方汇财证券"/>
    <hyperlink ref="W442" r:id="rId472" display="中生北控生物科技"/>
    <hyperlink ref="W157" r:id="rId473" display="东江环保"/>
    <hyperlink ref="W389" r:id="rId474" display="隆基泰和"/>
    <hyperlink ref="W313" r:id="rId475" display="首创置业"/>
    <hyperlink ref="W263" r:id="rId476" display="中国稀土"/>
    <hyperlink ref="W105" r:id="rId477" display="环球大通集团"/>
    <hyperlink ref="W524" r:id="rId478" display="中国国家文化产业"/>
    <hyperlink ref="W386" r:id="rId479" display="远见控股"/>
    <hyperlink ref="W493" r:id="rId480" display="中国宇天"/>
    <hyperlink ref="W478" r:id="rId481" display="中国粗粮王饮品"/>
    <hyperlink ref="W244" r:id="rId482" display="白云山"/>
    <hyperlink ref="W34" r:id="rId483" display="舜宇光学科技"/>
    <hyperlink ref="W248" r:id="rId484" display="合和实业"/>
    <hyperlink ref="W465" r:id="rId485" display="长江基建集团"/>
    <hyperlink ref="W466" r:id="rId486" display="香港中旅"/>
    <hyperlink ref="W405" r:id="rId487" display="瑞安房地产"/>
    <hyperlink ref="W538" r:id="rId488" display="焯陞企业"/>
    <hyperlink ref="W247" r:id="rId489" display="深圳控股"/>
    <hyperlink ref="W214" r:id="rId490" display="威华达控股"/>
    <hyperlink ref="W345" r:id="rId491" display="港深联合"/>
    <hyperlink ref="W554" r:id="rId492" display="新确科技"/>
    <hyperlink ref="W555" r:id="rId493" display="胜龙国际"/>
    <hyperlink ref="W15" r:id="rId494" display="和嘉资源"/>
    <hyperlink ref="W151" r:id="rId495" display="银河娱乐"/>
    <hyperlink ref="W503" r:id="rId496" display="中国北大荒"/>
    <hyperlink ref="W374" r:id="rId497" display="安全货仓"/>
    <hyperlink ref="W335" r:id="rId498" display="华润啤酒"/>
    <hyperlink ref="W411" r:id="rId499" display="星光集团"/>
    <hyperlink ref="W356" r:id="rId500" display="四环医药"/>
    <hyperlink ref="W52" r:id="rId501" display="泛亚环保"/>
    <hyperlink ref="W75" r:id="rId502" display="中国投资基金公司"/>
    <hyperlink ref="W544" r:id="rId503" display="精电"/>
    <hyperlink ref="W212" r:id="rId504" display="胜狮货柜"/>
    <hyperlink ref="W338" r:id="rId505" display="理文化工"/>
    <hyperlink ref="W226" r:id="rId506" display="PERFECTECH INTL"/>
    <hyperlink ref="W62" r:id="rId507" display="宏霸数码"/>
    <hyperlink ref="W25" r:id="rId508" display="海信科龙"/>
    <hyperlink ref="W533" r:id="rId509" display="意科控股"/>
    <hyperlink ref="W61" r:id="rId510" display="铁货"/>
    <hyperlink ref="W235" r:id="rId511" display="金利丰金融"/>
    <hyperlink ref="W472" r:id="rId512" display="博华太平洋"/>
    <hyperlink ref="W569" r:id="rId513" display="中国创新投资"/>
    <hyperlink ref="W526" r:id="rId514" display="国农控股"/>
    <hyperlink ref="W43" r:id="rId515" display="民生珠宝"/>
    <hyperlink ref="W20" r:id="rId516" display="天宝集团"/>
    <hyperlink ref="W520" r:id="rId517" display="大洋集团"/>
    <hyperlink ref="W431" r:id="rId518" display="龙杰智能卡"/>
    <hyperlink ref="W265" r:id="rId519" display="太平洋航运"/>
    <hyperlink ref="W253" r:id="rId520" display="中国铝业"/>
    <hyperlink ref="W471" r:id="rId521" display="远洋地产"/>
    <hyperlink ref="W468" r:id="rId522" display="KFM金德"/>
    <hyperlink ref="W126" r:id="rId523" display="永耀集团控股"/>
    <hyperlink ref="W229" r:id="rId524" display="侨洋国际控股"/>
    <hyperlink ref="W447" r:id="rId525" display="卓亚资本"/>
    <hyperlink ref="W393" r:id="rId526" display="金山能源"/>
    <hyperlink ref="W213" r:id="rId527" display="力劲科技"/>
    <hyperlink ref="W21" r:id="rId528" display="中国环保能源"/>
    <hyperlink ref="W2" r:id="rId529" display="明华科技"/>
    <hyperlink ref="W232" r:id="rId530" display="环能国际"/>
    <hyperlink ref="W281" r:id="rId531" display="中国铁钛"/>
    <hyperlink ref="W560" r:id="rId532" display="中国生物资源"/>
    <hyperlink ref="W110" r:id="rId533" display="联邦制药"/>
    <hyperlink ref="W161" r:id="rId534" display="密迪斯肌"/>
    <hyperlink ref="W70" r:id="rId535" display="新时代能源"/>
    <hyperlink ref="W388" r:id="rId536" display="五菱汽车"/>
    <hyperlink ref="W51" r:id="rId537" display="马仕达国际"/>
    <hyperlink ref="W590" r:id="rId538" display="誉宴集团"/>
    <hyperlink ref="W56" r:id="rId539" display="久融控股"/>
    <hyperlink ref="W552" r:id="rId540" display="领航医药生物科技"/>
    <hyperlink ref="W160" r:id="rId541" display="万景控股"/>
    <hyperlink ref="W506" r:id="rId542" display="华联国际"/>
    <hyperlink ref="W18" r:id="rId543" display="协同通信"/>
    <hyperlink ref="W349" r:id="rId544" display="HZ恒生高股息率"/>
    <hyperlink ref="W311" r:id="rId545" display="VAL EPREF-DRS"/>
    <hyperlink ref="W540" r:id="rId546" display="剑虹集团控股"/>
    <hyperlink ref="W293" r:id="rId547" display="海天国际"/>
    <hyperlink ref="W331" r:id="rId548" display="ROAD KING INFRA"/>
    <hyperlink ref="W399" r:id="rId549" display="枫叶教育"/>
    <hyperlink ref="W541" r:id="rId550" display="巨腾国际"/>
    <hyperlink ref="W167" r:id="rId551" display="皇冠环球集团"/>
    <hyperlink ref="W474" r:id="rId552" display="中国互联网投资"/>
    <hyperlink ref="W455" r:id="rId553" display="卓智控股"/>
    <hyperlink ref="W49" r:id="rId554" display="中升控股"/>
    <hyperlink ref="W494" r:id="rId555" display="中国金洋"/>
    <hyperlink ref="W404" r:id="rId556" display="中国诚通发展集团"/>
    <hyperlink ref="W162" r:id="rId557" display="恒隆集团"/>
    <hyperlink ref="W188" r:id="rId558" display="上海医药"/>
    <hyperlink ref="W551" r:id="rId559" display="北亚资源"/>
    <hyperlink ref="W54" r:id="rId560" display="吉利汽车"/>
    <hyperlink ref="W321" r:id="rId561" display="龙源电力"/>
    <hyperlink ref="W417" r:id="rId562" display="富力地产"/>
    <hyperlink ref="W550" r:id="rId563" display="民信金控"/>
    <hyperlink ref="W461" r:id="rId564" display="协盛协丰"/>
    <hyperlink ref="W318" r:id="rId565" display="正大企业国际"/>
    <hyperlink ref="W428" r:id="rId566" display="利标品牌"/>
    <hyperlink ref="W31" r:id="rId567" display="侨雄国际"/>
    <hyperlink ref="W205" r:id="rId568" display="会德丰"/>
    <hyperlink ref="W207" r:id="rId569" display="宜租互联网租车"/>
    <hyperlink ref="W470" r:id="rId570" display="畅捷通"/>
    <hyperlink ref="W500" r:id="rId571" display="无缝绿色"/>
    <hyperlink ref="W559" r:id="rId572" display="米兰站"/>
    <hyperlink ref="W391" r:id="rId573" display="中信证券"/>
    <hyperlink ref="W178" r:id="rId574" display="中国神华"/>
    <hyperlink ref="W439" r:id="rId575" display="中国海外发展"/>
    <hyperlink ref="W323" r:id="rId576" display="澳博控股"/>
    <hyperlink ref="W510" r:id="rId577" display="泓淋科技"/>
    <hyperlink ref="W364" r:id="rId578" display="橙天嘉禾"/>
    <hyperlink ref="W459" r:id="rId579" display="福寿园"/>
    <hyperlink ref="W152" r:id="rId580" display="五龙动力"/>
    <hyperlink ref="W147" r:id="rId581" display="美高梅中国"/>
    <hyperlink ref="W360" r:id="rId582" display="ALCO HOLDINGS"/>
    <hyperlink ref="W328" r:id="rId583" display="魏桥纺织"/>
    <hyperlink ref="W527" r:id="rId584" display="亨泰"/>
    <hyperlink ref="W452" r:id="rId585" display="圆美光电"/>
    <hyperlink ref="W35" r:id="rId586" display="蒙古能源"/>
    <hyperlink ref="W525" r:id="rId587" display="互益集团"/>
    <hyperlink ref="W170" r:id="rId588" display="中信资源"/>
    <hyperlink ref="W10" r:id="rId589" display="中国金石"/>
    <hyperlink ref="W460" r:id="rId590" display="亚博科技控股"/>
    <hyperlink ref="W485" r:id="rId591" display="亚势备份"/>
    <hyperlink ref="W484" r:id="rId592" display="中国新电信"/>
    <hyperlink ref="W530" r:id="rId593" display="东方明珠石油"/>
    <hyperlink ref="W322" r:id="rId594" display="义合控股"/>
    <hyperlink ref="W84" r:id="rId595" display="理文手袋"/>
    <hyperlink ref="W382" r:id="rId596" display="精熙国际"/>
    <hyperlink ref="W295" r:id="rId597" display="联合能源集团"/>
    <hyperlink ref="W521" r:id="rId598" display="SDM GROUP"/>
    <hyperlink ref="W9" r:id="rId599" display="MONGOL MINING"/>
    <hyperlink ref="W566" r:id="rId600" display="天成国际"/>
    <hyperlink ref="W453" r:id="rId601" display="民生国际"/>
    <hyperlink ref="W218" r:id="rId602" display="中国糖果"/>
    <hyperlink ref="W83" r:id="rId603" display="隽泰控股"/>
    <hyperlink ref="W436" r:id="rId604" display="中国再生能源投资"/>
  </hyperlinks>
  <pageMargins left="0.699305555555556" right="0.699305555555556" top="0.75" bottom="0.75" header="0.3" footer="0.3"/>
  <pageSetup paperSize="9" orientation="portrait" horizontalDpi="1200" verticalDpi="12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name="Button 16" r:id="rId3">
              <controlPr print="0" defaultSize="0">
                <anchor moveWithCells="1">
                  <from>
                    <xdr:col>24</xdr:col>
                    <xdr:colOff>38100</xdr:colOff>
                    <xdr:row>7</xdr:row>
                    <xdr:rowOff>186055</xdr:rowOff>
                  </from>
                  <to>
                    <xdr:col>25</xdr:col>
                    <xdr:colOff>140335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name="Button 17" r:id="rId4">
              <controlPr print="0" defaultSize="0">
                <anchor moveWithCells="1">
                  <from>
                    <xdr:col>24</xdr:col>
                    <xdr:colOff>38100</xdr:colOff>
                    <xdr:row>5</xdr:row>
                    <xdr:rowOff>177165</xdr:rowOff>
                  </from>
                  <to>
                    <xdr:col>25</xdr:col>
                    <xdr:colOff>140335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E523"/>
  <sheetViews>
    <sheetView zoomScale="90" zoomScaleNormal="90" topLeftCell="F1" workbookViewId="0">
      <pane ySplit="1" topLeftCell="A116" activePane="bottomLeft" state="frozen"/>
      <selection/>
      <selection pane="bottomLeft" activeCell="Q15" sqref="Q15"/>
    </sheetView>
  </sheetViews>
  <sheetFormatPr defaultColWidth="5.5" defaultRowHeight="13.5"/>
  <cols>
    <col min="1" max="1" width="9.5" style="4" customWidth="1"/>
    <col min="2" max="2" width="12.125" style="4" customWidth="1"/>
    <col min="3" max="3" width="11.125" style="4" customWidth="1"/>
    <col min="4" max="4" width="7.375" style="4" customWidth="1"/>
    <col min="5" max="5" width="10.75" style="4" customWidth="1"/>
    <col min="6" max="6" width="25.375" style="4" customWidth="1"/>
    <col min="7" max="7" width="10.25" style="14" customWidth="1"/>
    <col min="8" max="8" width="8.75" customWidth="1"/>
    <col min="9" max="9" width="13" style="14" customWidth="1"/>
    <col min="10" max="10" width="7.25" style="4" customWidth="1"/>
    <col min="11" max="11" width="14.5" style="4" customWidth="1"/>
    <col min="12" max="12" width="5.875" style="4" customWidth="1"/>
    <col min="13" max="13" width="8.875" style="4" customWidth="1"/>
    <col min="14" max="14" width="6.75" style="4" customWidth="1"/>
    <col min="15" max="15" width="5.5" style="4" customWidth="1"/>
    <col min="16" max="16" width="4.875" style="4" customWidth="1"/>
    <col min="17" max="17" width="7.875" style="4" customWidth="1"/>
    <col min="18" max="18" width="7.375" style="4" customWidth="1"/>
    <col min="19" max="19" width="10.375" style="4" customWidth="1"/>
    <col min="20" max="21" width="10" style="14" customWidth="1"/>
    <col min="22" max="22" width="8.5" style="14" customWidth="1"/>
    <col min="23" max="23" width="8" style="4" customWidth="1"/>
    <col min="24" max="24" width="5.5" style="4"/>
    <col min="25" max="25" width="8.375" style="4" customWidth="1"/>
    <col min="26" max="26" width="5.5" style="4"/>
    <col min="27" max="27" width="7.375" style="4" customWidth="1"/>
    <col min="28" max="28" width="7.5" style="4" customWidth="1"/>
    <col min="29" max="16384" width="5.5" style="4"/>
  </cols>
  <sheetData>
    <row r="1" ht="15" spans="1:27">
      <c r="A1" s="4" t="s">
        <v>0</v>
      </c>
      <c r="B1" s="4" t="s">
        <v>829</v>
      </c>
      <c r="C1" s="4" t="s">
        <v>2</v>
      </c>
      <c r="D1" s="4" t="s">
        <v>3</v>
      </c>
      <c r="E1" s="4" t="s">
        <v>4</v>
      </c>
      <c r="F1" s="4" t="s">
        <v>830</v>
      </c>
      <c r="G1" s="14" t="s">
        <v>831</v>
      </c>
      <c r="H1" s="21" t="s">
        <v>832</v>
      </c>
      <c r="I1" s="14" t="s">
        <v>833</v>
      </c>
      <c r="J1" s="4" t="s">
        <v>834</v>
      </c>
      <c r="K1" s="4" t="s">
        <v>835</v>
      </c>
      <c r="L1" s="4" t="s">
        <v>836</v>
      </c>
      <c r="M1" s="4" t="s">
        <v>837</v>
      </c>
      <c r="Q1" s="4" t="s">
        <v>1</v>
      </c>
      <c r="R1" s="30" t="s">
        <v>838</v>
      </c>
      <c r="S1" s="4" t="s">
        <v>839</v>
      </c>
      <c r="T1" s="14" t="s">
        <v>840</v>
      </c>
      <c r="U1" s="14" t="s">
        <v>841</v>
      </c>
      <c r="V1" s="14" t="s">
        <v>842</v>
      </c>
      <c r="W1" s="4" t="s">
        <v>830</v>
      </c>
      <c r="X1" s="14" t="s">
        <v>843</v>
      </c>
      <c r="Y1" s="14" t="s">
        <v>844</v>
      </c>
      <c r="AA1" s="4" t="s">
        <v>845</v>
      </c>
    </row>
    <row r="2" ht="15" spans="1:31">
      <c r="A2" s="22">
        <v>1831</v>
      </c>
      <c r="B2" s="6">
        <v>3.6</v>
      </c>
      <c r="C2" s="6">
        <v>0.41</v>
      </c>
      <c r="D2" s="6">
        <v>3.13</v>
      </c>
      <c r="E2" s="15">
        <v>1913190029.9</v>
      </c>
      <c r="F2" s="6" t="s">
        <v>155</v>
      </c>
      <c r="G2" s="16">
        <f t="shared" ref="G2" si="0">1-C2/B2</f>
        <v>0.886111111111111</v>
      </c>
      <c r="H2" s="23">
        <f t="shared" ref="H2" si="1">D2/B2</f>
        <v>0.869444444444444</v>
      </c>
      <c r="I2" s="16">
        <f>H2/G2</f>
        <v>0.981191222570533</v>
      </c>
      <c r="J2" s="6">
        <v>6.22</v>
      </c>
      <c r="K2" s="6">
        <v>14.6836409556113</v>
      </c>
      <c r="L2" s="6"/>
      <c r="M2" s="6"/>
      <c r="N2" s="6"/>
      <c r="O2" s="6"/>
      <c r="P2" s="6"/>
      <c r="Q2" s="6">
        <v>1.83</v>
      </c>
      <c r="R2" s="4">
        <f t="shared" ref="R2" si="2">B2</f>
        <v>3.6</v>
      </c>
      <c r="S2" s="19">
        <f t="shared" ref="S2" si="3">B2/Q2-1</f>
        <v>0.967213114754098</v>
      </c>
      <c r="T2" s="14">
        <v>0.207021280289833</v>
      </c>
      <c r="U2" s="16">
        <v>1.52922629153529</v>
      </c>
      <c r="V2" s="14">
        <v>2.34846298427311</v>
      </c>
      <c r="W2" s="31" t="s">
        <v>155</v>
      </c>
      <c r="X2" s="4">
        <v>22.03</v>
      </c>
      <c r="Y2" s="6"/>
      <c r="Z2" s="6"/>
      <c r="AD2" s="4">
        <v>0.305084745762712</v>
      </c>
      <c r="AE2" s="4">
        <v>1.03125</v>
      </c>
    </row>
    <row r="3" s="6" customFormat="1" ht="15" spans="1:30">
      <c r="A3" t="b">
        <v>1</v>
      </c>
      <c r="B3">
        <v>5.96</v>
      </c>
      <c r="C3">
        <v>4.01</v>
      </c>
      <c r="D3">
        <v>19.56</v>
      </c>
      <c r="E3" s="2">
        <v>495292057.13</v>
      </c>
      <c r="F3" s="24" t="s">
        <v>734</v>
      </c>
      <c r="G3" s="14"/>
      <c r="H3" s="25"/>
      <c r="I3" s="17"/>
      <c r="J3" s="4"/>
      <c r="K3" s="4"/>
      <c r="L3" s="4"/>
      <c r="M3" s="4"/>
      <c r="N3" s="4"/>
      <c r="O3" s="4"/>
      <c r="P3" s="4"/>
      <c r="Q3" s="4"/>
      <c r="R3" s="4"/>
      <c r="S3" s="18"/>
      <c r="T3" s="14"/>
      <c r="U3" s="16"/>
      <c r="V3" s="16"/>
      <c r="W3" s="31"/>
      <c r="X3" s="4"/>
      <c r="Y3" s="4"/>
      <c r="Z3" s="4"/>
      <c r="AA3" s="4"/>
      <c r="AB3" s="4"/>
      <c r="AC3" s="4"/>
      <c r="AD3" s="4"/>
    </row>
    <row r="4" ht="15" spans="1:29">
      <c r="A4" t="s">
        <v>152</v>
      </c>
      <c r="B4">
        <v>1.03</v>
      </c>
      <c r="C4">
        <v>0.43</v>
      </c>
      <c r="D4">
        <v>1.46</v>
      </c>
      <c r="E4" s="2">
        <v>52657500</v>
      </c>
      <c r="F4" s="24" t="s">
        <v>153</v>
      </c>
      <c r="G4" s="16"/>
      <c r="H4" s="26"/>
      <c r="Q4" s="32"/>
      <c r="R4" s="6"/>
      <c r="S4" s="19"/>
      <c r="V4" s="16"/>
      <c r="W4" s="31"/>
      <c r="AA4" s="6"/>
      <c r="AB4" s="6"/>
      <c r="AC4" s="6"/>
    </row>
    <row r="5" ht="15" spans="1:28">
      <c r="A5" t="s">
        <v>573</v>
      </c>
      <c r="B5">
        <v>1.4</v>
      </c>
      <c r="C5">
        <v>1.23</v>
      </c>
      <c r="D5">
        <v>4.96</v>
      </c>
      <c r="E5" s="2">
        <v>38946639.2</v>
      </c>
      <c r="F5" s="24" t="s">
        <v>574</v>
      </c>
      <c r="G5" s="16"/>
      <c r="H5" s="27"/>
      <c r="I5" s="16"/>
      <c r="J5" s="6"/>
      <c r="K5" s="16"/>
      <c r="L5" s="6"/>
      <c r="M5" s="6"/>
      <c r="N5" s="6"/>
      <c r="O5" s="6"/>
      <c r="P5" s="6"/>
      <c r="Q5" s="6"/>
      <c r="R5" s="6"/>
      <c r="S5" s="19"/>
      <c r="W5" s="31"/>
      <c r="AA5" s="6"/>
      <c r="AB5" s="6"/>
    </row>
    <row r="6" ht="15" spans="1:29">
      <c r="A6" t="s">
        <v>703</v>
      </c>
      <c r="B6">
        <v>52.01</v>
      </c>
      <c r="C6">
        <v>42.35</v>
      </c>
      <c r="D6">
        <v>81.7</v>
      </c>
      <c r="E6" s="2">
        <v>3185775553.73</v>
      </c>
      <c r="F6" s="24" t="s">
        <v>704</v>
      </c>
      <c r="G6" s="16"/>
      <c r="H6" s="27"/>
      <c r="I6" s="16"/>
      <c r="J6" s="6"/>
      <c r="K6" s="6"/>
      <c r="L6" s="6"/>
      <c r="M6" s="6"/>
      <c r="N6" s="6"/>
      <c r="O6" s="6"/>
      <c r="P6" s="6"/>
      <c r="Q6" s="6"/>
      <c r="S6" s="19"/>
      <c r="U6" s="16"/>
      <c r="V6" s="16"/>
      <c r="W6" s="31"/>
      <c r="AC6" s="6"/>
    </row>
    <row r="7" ht="15" spans="1:28">
      <c r="A7" t="s">
        <v>212</v>
      </c>
      <c r="B7">
        <v>5.98</v>
      </c>
      <c r="C7">
        <v>3.35</v>
      </c>
      <c r="D7">
        <v>10.39</v>
      </c>
      <c r="E7" s="2">
        <v>268500000</v>
      </c>
      <c r="F7" s="24" t="s">
        <v>213</v>
      </c>
      <c r="G7" s="16"/>
      <c r="H7" s="27"/>
      <c r="I7" s="16"/>
      <c r="J7" s="6"/>
      <c r="K7" s="16"/>
      <c r="L7" s="6"/>
      <c r="M7" s="6"/>
      <c r="N7" s="6"/>
      <c r="O7" s="6"/>
      <c r="P7" s="6"/>
      <c r="Q7" s="6"/>
      <c r="R7" s="6"/>
      <c r="S7" s="19"/>
      <c r="U7" s="16"/>
      <c r="W7" s="31"/>
      <c r="AA7" s="6"/>
      <c r="AB7" s="6"/>
    </row>
    <row r="8" s="6" customFormat="1" ht="15" spans="1:29">
      <c r="A8" t="s">
        <v>798</v>
      </c>
      <c r="B8">
        <v>27.44</v>
      </c>
      <c r="C8">
        <v>11.85</v>
      </c>
      <c r="D8">
        <v>31.5</v>
      </c>
      <c r="E8" s="2">
        <v>5368804262.08</v>
      </c>
      <c r="F8" s="24" t="s">
        <v>799</v>
      </c>
      <c r="G8" s="16"/>
      <c r="H8" s="27"/>
      <c r="I8" s="14"/>
      <c r="J8" s="4"/>
      <c r="K8" s="4"/>
      <c r="L8" s="4"/>
      <c r="M8" s="4"/>
      <c r="N8" s="4"/>
      <c r="O8" s="4"/>
      <c r="P8" s="4"/>
      <c r="Q8" s="32"/>
      <c r="S8" s="19"/>
      <c r="T8" s="14"/>
      <c r="U8" s="14"/>
      <c r="V8" s="16"/>
      <c r="W8" s="31"/>
      <c r="AA8" s="4"/>
      <c r="AB8" s="4"/>
      <c r="AC8" s="4"/>
    </row>
    <row r="9" ht="15" spans="1:23">
      <c r="A9" t="s">
        <v>739</v>
      </c>
      <c r="B9">
        <v>32.88</v>
      </c>
      <c r="C9">
        <v>26.15</v>
      </c>
      <c r="D9">
        <v>46.17</v>
      </c>
      <c r="E9" s="2">
        <v>31975865175.84</v>
      </c>
      <c r="F9" s="24" t="s">
        <v>740</v>
      </c>
      <c r="G9" s="16"/>
      <c r="H9" s="27"/>
      <c r="I9" s="16"/>
      <c r="J9" s="6"/>
      <c r="K9" s="6"/>
      <c r="L9" s="6"/>
      <c r="M9" s="6"/>
      <c r="N9" s="6"/>
      <c r="O9" s="6"/>
      <c r="P9" s="6"/>
      <c r="Q9" s="6"/>
      <c r="R9" s="6"/>
      <c r="S9" s="19"/>
      <c r="T9" s="16"/>
      <c r="V9" s="16"/>
      <c r="W9" s="31"/>
    </row>
    <row r="10" s="6" customFormat="1" ht="15" spans="1:29">
      <c r="A10" t="s">
        <v>658</v>
      </c>
      <c r="B10">
        <v>4.5</v>
      </c>
      <c r="C10">
        <v>2.93</v>
      </c>
      <c r="D10">
        <v>24.7</v>
      </c>
      <c r="E10" s="2">
        <v>82702515.35</v>
      </c>
      <c r="F10" s="24" t="s">
        <v>659</v>
      </c>
      <c r="G10" s="14"/>
      <c r="H10" s="28"/>
      <c r="I10" s="17"/>
      <c r="J10" s="4"/>
      <c r="K10" s="14"/>
      <c r="L10" s="4"/>
      <c r="M10" s="4"/>
      <c r="N10" s="4"/>
      <c r="O10" s="4"/>
      <c r="P10" s="4"/>
      <c r="Q10" s="4"/>
      <c r="R10" s="4"/>
      <c r="S10" s="18"/>
      <c r="T10" s="14"/>
      <c r="U10" s="14"/>
      <c r="V10" s="14"/>
      <c r="W10" s="31"/>
      <c r="X10" s="4"/>
      <c r="Y10" s="4"/>
      <c r="Z10" s="4"/>
      <c r="AA10" s="4"/>
      <c r="AB10" s="4"/>
      <c r="AC10" s="4"/>
    </row>
    <row r="11" ht="15" spans="1:29">
      <c r="A11" t="s">
        <v>737</v>
      </c>
      <c r="B11">
        <v>21.75</v>
      </c>
      <c r="C11">
        <v>14.53</v>
      </c>
      <c r="D11">
        <v>52.51</v>
      </c>
      <c r="E11" s="2">
        <v>1631808783.54</v>
      </c>
      <c r="F11" s="24" t="s">
        <v>738</v>
      </c>
      <c r="H11" s="25"/>
      <c r="I11" s="17"/>
      <c r="S11" s="18"/>
      <c r="T11" s="16"/>
      <c r="W11" s="31"/>
      <c r="X11" s="6"/>
      <c r="AC11" s="6"/>
    </row>
    <row r="12" ht="15" spans="1:29">
      <c r="A12" t="s">
        <v>397</v>
      </c>
      <c r="B12">
        <v>116.8</v>
      </c>
      <c r="C12">
        <v>48.8</v>
      </c>
      <c r="D12">
        <v>179.64</v>
      </c>
      <c r="E12" s="2">
        <v>10950000</v>
      </c>
      <c r="F12" s="24" t="s">
        <v>398</v>
      </c>
      <c r="G12" s="16"/>
      <c r="H12" s="27"/>
      <c r="I12" s="16"/>
      <c r="J12" s="6"/>
      <c r="K12" s="6"/>
      <c r="L12" s="6"/>
      <c r="M12" s="6"/>
      <c r="N12" s="6"/>
      <c r="O12" s="6"/>
      <c r="P12" s="6"/>
      <c r="Q12" s="6"/>
      <c r="S12" s="19"/>
      <c r="U12" s="16"/>
      <c r="W12" s="31"/>
      <c r="AA12" s="6"/>
      <c r="AB12" s="6"/>
      <c r="AC12" s="6"/>
    </row>
    <row r="13" ht="15" spans="1:24">
      <c r="A13" t="s">
        <v>609</v>
      </c>
      <c r="B13">
        <v>5.4</v>
      </c>
      <c r="C13">
        <v>2.46</v>
      </c>
      <c r="D13">
        <v>5.45</v>
      </c>
      <c r="E13" s="2">
        <v>337193782.11</v>
      </c>
      <c r="F13" s="24" t="s">
        <v>610</v>
      </c>
      <c r="G13" s="16"/>
      <c r="H13" s="23"/>
      <c r="Q13" s="32"/>
      <c r="R13" s="6"/>
      <c r="S13" s="19"/>
      <c r="V13" s="16"/>
      <c r="W13" s="31"/>
      <c r="X13" s="6"/>
    </row>
    <row r="14" s="6" customFormat="1" ht="15" spans="1:29">
      <c r="A14" t="s">
        <v>751</v>
      </c>
      <c r="B14">
        <v>50.2</v>
      </c>
      <c r="C14">
        <v>26.48</v>
      </c>
      <c r="D14">
        <v>52.66</v>
      </c>
      <c r="E14" s="2">
        <v>3995696900</v>
      </c>
      <c r="F14" s="24" t="s">
        <v>752</v>
      </c>
      <c r="G14" s="14"/>
      <c r="H14" s="28"/>
      <c r="I14" s="17"/>
      <c r="J14" s="4"/>
      <c r="K14" s="4"/>
      <c r="L14" s="4"/>
      <c r="M14" s="4"/>
      <c r="N14" s="4"/>
      <c r="O14" s="4"/>
      <c r="P14" s="4"/>
      <c r="Q14" s="4"/>
      <c r="R14" s="4"/>
      <c r="S14" s="18"/>
      <c r="T14" s="14"/>
      <c r="U14" s="14"/>
      <c r="V14" s="14"/>
      <c r="W14" s="31"/>
      <c r="Y14" s="4"/>
      <c r="Z14" s="4"/>
      <c r="AC14" s="4"/>
    </row>
    <row r="15" ht="15" spans="1:23">
      <c r="A15" t="s">
        <v>331</v>
      </c>
      <c r="B15">
        <v>27.87</v>
      </c>
      <c r="C15">
        <v>22.06</v>
      </c>
      <c r="D15">
        <v>56.18</v>
      </c>
      <c r="E15" s="2">
        <v>1800000000</v>
      </c>
      <c r="F15" s="24" t="s">
        <v>332</v>
      </c>
      <c r="G15" s="16"/>
      <c r="H15" s="27"/>
      <c r="I15" s="16"/>
      <c r="J15" s="6"/>
      <c r="K15" s="6"/>
      <c r="L15" s="6"/>
      <c r="M15" s="6"/>
      <c r="N15" s="6"/>
      <c r="O15" s="6"/>
      <c r="P15" s="6"/>
      <c r="Q15" s="6"/>
      <c r="R15" s="6"/>
      <c r="S15" s="19"/>
      <c r="U15" s="16"/>
      <c r="W15" s="31"/>
    </row>
    <row r="16" ht="15" spans="1:28">
      <c r="A16" t="s">
        <v>744</v>
      </c>
      <c r="B16">
        <v>5.8</v>
      </c>
      <c r="C16">
        <v>5.14</v>
      </c>
      <c r="D16">
        <v>14.34</v>
      </c>
      <c r="E16" s="2">
        <v>385470114.71</v>
      </c>
      <c r="F16" s="24" t="s">
        <v>745</v>
      </c>
      <c r="H16" s="28"/>
      <c r="S16" s="18"/>
      <c r="T16" s="16"/>
      <c r="W16" s="31"/>
      <c r="Y16" s="6"/>
      <c r="Z16" s="6"/>
      <c r="AA16" s="6"/>
      <c r="AB16" s="6"/>
    </row>
    <row r="17" s="6" customFormat="1" ht="15" spans="1:30">
      <c r="A17" t="s">
        <v>402</v>
      </c>
      <c r="B17">
        <v>18.76</v>
      </c>
      <c r="C17">
        <v>11.38</v>
      </c>
      <c r="D17">
        <v>29.57</v>
      </c>
      <c r="E17" s="2">
        <v>385160000</v>
      </c>
      <c r="F17" s="24" t="s">
        <v>403</v>
      </c>
      <c r="G17" s="14"/>
      <c r="H17" s="28"/>
      <c r="I17" s="17"/>
      <c r="J17" s="4"/>
      <c r="K17" s="4"/>
      <c r="L17" s="4"/>
      <c r="M17" s="4"/>
      <c r="N17" s="4"/>
      <c r="O17" s="4"/>
      <c r="P17" s="4"/>
      <c r="Q17" s="4"/>
      <c r="R17" s="4"/>
      <c r="S17" s="18"/>
      <c r="T17" s="14"/>
      <c r="U17" s="14"/>
      <c r="V17" s="16"/>
      <c r="W17" s="31"/>
      <c r="X17" s="4"/>
      <c r="Y17" s="4"/>
      <c r="Z17" s="4"/>
      <c r="AA17" s="4"/>
      <c r="AB17" s="4"/>
      <c r="AD17" s="4"/>
    </row>
    <row r="18" ht="15" spans="1:28">
      <c r="A18" t="s">
        <v>722</v>
      </c>
      <c r="B18">
        <v>54.25</v>
      </c>
      <c r="C18">
        <v>37.72</v>
      </c>
      <c r="D18">
        <v>83.71</v>
      </c>
      <c r="E18" s="2">
        <v>7754602236.2</v>
      </c>
      <c r="F18" s="24" t="s">
        <v>723</v>
      </c>
      <c r="G18" s="16"/>
      <c r="H18" s="26"/>
      <c r="I18" s="16"/>
      <c r="J18" s="6"/>
      <c r="K18" s="6"/>
      <c r="L18" s="6"/>
      <c r="M18" s="6"/>
      <c r="N18" s="6"/>
      <c r="O18" s="6"/>
      <c r="P18" s="6"/>
      <c r="Q18" s="6"/>
      <c r="R18" s="6"/>
      <c r="S18" s="19"/>
      <c r="T18" s="16"/>
      <c r="U18" s="16"/>
      <c r="V18" s="16"/>
      <c r="W18" s="31"/>
      <c r="X18" s="6"/>
      <c r="Y18" s="6"/>
      <c r="Z18" s="6"/>
      <c r="AA18" s="6"/>
      <c r="AB18" s="6"/>
    </row>
    <row r="19" s="6" customFormat="1" ht="15" spans="1:30">
      <c r="A19" t="s">
        <v>741</v>
      </c>
      <c r="B19">
        <v>32.74</v>
      </c>
      <c r="C19">
        <v>28.07</v>
      </c>
      <c r="D19">
        <v>56.5</v>
      </c>
      <c r="E19" s="2">
        <v>10549987500</v>
      </c>
      <c r="F19" s="24" t="s">
        <v>742</v>
      </c>
      <c r="G19" s="16"/>
      <c r="H19" s="27"/>
      <c r="I19" s="16"/>
      <c r="P19" s="4"/>
      <c r="R19" s="4"/>
      <c r="S19" s="18"/>
      <c r="T19" s="14"/>
      <c r="U19" s="14"/>
      <c r="V19" s="14"/>
      <c r="W19" s="31"/>
      <c r="X19" s="4"/>
      <c r="Y19" s="4"/>
      <c r="Z19" s="4"/>
      <c r="AA19" s="4"/>
      <c r="AB19" s="4"/>
      <c r="AD19" s="4"/>
    </row>
    <row r="20" ht="15" spans="1:23">
      <c r="A20" t="s">
        <v>786</v>
      </c>
      <c r="B20">
        <v>18.69</v>
      </c>
      <c r="C20">
        <v>9.19</v>
      </c>
      <c r="D20">
        <v>30.67</v>
      </c>
      <c r="E20" s="2">
        <v>754510633.83</v>
      </c>
      <c r="F20" s="24" t="s">
        <v>787</v>
      </c>
      <c r="H20" s="28"/>
      <c r="I20" s="17"/>
      <c r="S20" s="18"/>
      <c r="W20" s="31"/>
    </row>
    <row r="21" s="6" customFormat="1" ht="15" spans="1:29">
      <c r="A21" t="s">
        <v>758</v>
      </c>
      <c r="B21">
        <v>15.93</v>
      </c>
      <c r="C21">
        <v>8.78</v>
      </c>
      <c r="D21">
        <v>20.7</v>
      </c>
      <c r="E21" s="2">
        <v>3211687180.41</v>
      </c>
      <c r="F21" s="24" t="s">
        <v>759</v>
      </c>
      <c r="G21" s="16"/>
      <c r="H21" s="23"/>
      <c r="I21" s="16"/>
      <c r="K21" s="16"/>
      <c r="S21" s="19"/>
      <c r="T21" s="14"/>
      <c r="U21" s="14"/>
      <c r="V21" s="16"/>
      <c r="W21" s="31"/>
      <c r="X21" s="4"/>
      <c r="AC21" s="4"/>
    </row>
    <row r="22" s="6" customFormat="1" ht="15" spans="1:28">
      <c r="A22" t="s">
        <v>419</v>
      </c>
      <c r="B22">
        <v>21.59</v>
      </c>
      <c r="C22">
        <v>15.48</v>
      </c>
      <c r="D22">
        <v>31.48</v>
      </c>
      <c r="E22" s="2">
        <v>1090000000</v>
      </c>
      <c r="F22" s="24" t="s">
        <v>420</v>
      </c>
      <c r="G22" s="16"/>
      <c r="H22" s="26"/>
      <c r="I22" s="16"/>
      <c r="S22" s="19"/>
      <c r="T22" s="14"/>
      <c r="U22" s="16"/>
      <c r="V22" s="14"/>
      <c r="W22" s="31"/>
      <c r="X22" s="4"/>
      <c r="AA22" s="4"/>
      <c r="AB22" s="4"/>
    </row>
    <row r="23" ht="15" spans="1:29">
      <c r="A23" t="s">
        <v>629</v>
      </c>
      <c r="B23">
        <v>19.87</v>
      </c>
      <c r="C23">
        <v>15.03</v>
      </c>
      <c r="D23">
        <v>22.86</v>
      </c>
      <c r="E23" s="2">
        <v>1760824993.26</v>
      </c>
      <c r="F23" s="24" t="s">
        <v>630</v>
      </c>
      <c r="G23" s="16"/>
      <c r="H23" s="27"/>
      <c r="I23" s="16"/>
      <c r="J23" s="6"/>
      <c r="K23" s="6"/>
      <c r="L23" s="6"/>
      <c r="M23" s="6"/>
      <c r="N23" s="6"/>
      <c r="O23" s="6"/>
      <c r="P23" s="6"/>
      <c r="Q23" s="6"/>
      <c r="S23" s="19"/>
      <c r="W23" s="31"/>
      <c r="X23" s="6"/>
      <c r="AC23" s="6"/>
    </row>
    <row r="24" ht="15" spans="1:30">
      <c r="A24" t="s">
        <v>627</v>
      </c>
      <c r="B24">
        <v>9.37</v>
      </c>
      <c r="C24">
        <v>7.34</v>
      </c>
      <c r="D24">
        <v>19.87</v>
      </c>
      <c r="E24" s="2">
        <v>48252238.65</v>
      </c>
      <c r="F24" s="24" t="s">
        <v>628</v>
      </c>
      <c r="G24" s="16"/>
      <c r="H24" s="27"/>
      <c r="J24" s="6"/>
      <c r="K24" s="6"/>
      <c r="L24" s="6"/>
      <c r="M24" s="6"/>
      <c r="N24" s="6"/>
      <c r="O24" s="6"/>
      <c r="Q24" s="6"/>
      <c r="S24" s="18"/>
      <c r="U24" s="16"/>
      <c r="W24" s="31"/>
      <c r="X24" s="6"/>
      <c r="AC24" s="6"/>
      <c r="AD24" s="6"/>
    </row>
    <row r="25" ht="15" spans="1:29">
      <c r="A25" t="s">
        <v>794</v>
      </c>
      <c r="B25">
        <v>10.95</v>
      </c>
      <c r="C25">
        <v>10.37</v>
      </c>
      <c r="D25">
        <v>30.72</v>
      </c>
      <c r="E25" s="2">
        <v>6712150988</v>
      </c>
      <c r="F25" s="24" t="s">
        <v>795</v>
      </c>
      <c r="G25" s="16"/>
      <c r="H25" s="27"/>
      <c r="Q25" s="32"/>
      <c r="R25" s="6"/>
      <c r="S25" s="19"/>
      <c r="V25" s="16"/>
      <c r="W25" s="31"/>
      <c r="AC25" s="6"/>
    </row>
    <row r="26" s="6" customFormat="1" ht="15" spans="1:30">
      <c r="A26" t="s">
        <v>724</v>
      </c>
      <c r="B26">
        <v>13.43</v>
      </c>
      <c r="C26">
        <v>5.6</v>
      </c>
      <c r="D26">
        <v>16.49</v>
      </c>
      <c r="E26" s="2">
        <v>346363111.22</v>
      </c>
      <c r="F26" s="24" t="s">
        <v>725</v>
      </c>
      <c r="G26" s="16"/>
      <c r="H26" s="27"/>
      <c r="I26" s="16"/>
      <c r="S26" s="19"/>
      <c r="T26" s="14"/>
      <c r="U26" s="16"/>
      <c r="V26" s="14"/>
      <c r="W26" s="31"/>
      <c r="X26" s="4"/>
      <c r="Y26" s="4"/>
      <c r="Z26" s="4"/>
      <c r="AA26" s="4"/>
      <c r="AB26" s="4"/>
      <c r="AC26" s="4"/>
      <c r="AD26" s="4"/>
    </row>
    <row r="27" ht="15" spans="1:29">
      <c r="A27" t="s">
        <v>443</v>
      </c>
      <c r="B27">
        <v>29.58</v>
      </c>
      <c r="C27">
        <v>23.83</v>
      </c>
      <c r="D27">
        <v>100.75</v>
      </c>
      <c r="E27" s="2">
        <v>536850000</v>
      </c>
      <c r="F27" s="24" t="s">
        <v>444</v>
      </c>
      <c r="H27" s="28"/>
      <c r="I27" s="17"/>
      <c r="S27" s="18"/>
      <c r="T27" s="16"/>
      <c r="U27" s="16"/>
      <c r="W27" s="31"/>
      <c r="X27" s="6"/>
      <c r="AC27" s="6"/>
    </row>
    <row r="28" s="6" customFormat="1" ht="15" spans="1:28">
      <c r="A28" t="s">
        <v>407</v>
      </c>
      <c r="B28">
        <v>25.32</v>
      </c>
      <c r="C28">
        <v>24.2</v>
      </c>
      <c r="D28">
        <v>26.5</v>
      </c>
      <c r="E28" s="2">
        <v>1390000000</v>
      </c>
      <c r="F28" s="24" t="s">
        <v>408</v>
      </c>
      <c r="G28" s="14"/>
      <c r="H28" s="23"/>
      <c r="I28" s="17"/>
      <c r="J28" s="4"/>
      <c r="K28" s="4"/>
      <c r="L28" s="4"/>
      <c r="M28" s="4"/>
      <c r="N28" s="4"/>
      <c r="O28" s="4"/>
      <c r="P28" s="4"/>
      <c r="Q28" s="4"/>
      <c r="R28" s="4"/>
      <c r="S28" s="18"/>
      <c r="T28" s="16"/>
      <c r="U28" s="16"/>
      <c r="V28" s="16"/>
      <c r="W28" s="31"/>
      <c r="X28" s="4"/>
      <c r="Y28" s="4"/>
      <c r="Z28" s="4"/>
      <c r="AA28" s="4"/>
      <c r="AB28" s="4"/>
    </row>
    <row r="29" s="6" customFormat="1" ht="15" spans="1:30">
      <c r="A29" t="s">
        <v>5</v>
      </c>
      <c r="B29">
        <v>9.25</v>
      </c>
      <c r="C29">
        <v>7.67</v>
      </c>
      <c r="D29">
        <v>21.5</v>
      </c>
      <c r="E29" s="2">
        <v>2770000000</v>
      </c>
      <c r="F29" s="24" t="s">
        <v>6</v>
      </c>
      <c r="G29" s="14"/>
      <c r="H29" s="28"/>
      <c r="I29" s="17"/>
      <c r="J29" s="4"/>
      <c r="K29" s="4"/>
      <c r="L29" s="4"/>
      <c r="M29" s="4"/>
      <c r="N29" s="4"/>
      <c r="O29" s="4"/>
      <c r="P29" s="4"/>
      <c r="Q29" s="4"/>
      <c r="R29" s="4"/>
      <c r="S29" s="18"/>
      <c r="T29" s="14"/>
      <c r="U29" s="14"/>
      <c r="V29" s="14"/>
      <c r="W29" s="31"/>
      <c r="Y29" s="4"/>
      <c r="Z29" s="4"/>
      <c r="AD29" s="4"/>
    </row>
    <row r="30" ht="14.25" spans="1:30">
      <c r="A30" t="s">
        <v>35</v>
      </c>
      <c r="B30">
        <v>8.27</v>
      </c>
      <c r="C30">
        <v>5.98</v>
      </c>
      <c r="D30">
        <v>53.6</v>
      </c>
      <c r="E30" s="2">
        <v>1030000000</v>
      </c>
      <c r="F30" s="24" t="s">
        <v>36</v>
      </c>
      <c r="G30" s="16"/>
      <c r="H30" s="29"/>
      <c r="Q30" s="32"/>
      <c r="R30" s="6"/>
      <c r="S30" s="19"/>
      <c r="W30" s="31"/>
      <c r="Y30" s="6"/>
      <c r="Z30" s="6"/>
      <c r="AD30" s="6"/>
    </row>
    <row r="31" s="6" customFormat="1" spans="1:28">
      <c r="A31" t="s">
        <v>1155</v>
      </c>
      <c r="B31">
        <v>195.74</v>
      </c>
      <c r="C31">
        <v>141.05</v>
      </c>
      <c r="D31">
        <v>286.65</v>
      </c>
      <c r="E31" s="2">
        <v>26326453171.76</v>
      </c>
      <c r="F31" s="24" t="s">
        <v>1156</v>
      </c>
      <c r="G31" s="16"/>
      <c r="H31" s="23"/>
      <c r="I31" s="16"/>
      <c r="S31" s="19"/>
      <c r="T31" s="14"/>
      <c r="U31" s="16"/>
      <c r="V31" s="14"/>
      <c r="W31" s="31"/>
      <c r="X31" s="4"/>
      <c r="Y31" s="4"/>
      <c r="Z31" s="4"/>
      <c r="AA31" s="4"/>
      <c r="AB31" s="4"/>
    </row>
    <row r="32" ht="14.25" spans="1:26">
      <c r="A32" t="s">
        <v>637</v>
      </c>
      <c r="B32">
        <v>10.46</v>
      </c>
      <c r="C32">
        <v>7.15</v>
      </c>
      <c r="D32">
        <v>13.33</v>
      </c>
      <c r="E32" s="2">
        <v>966380413.83</v>
      </c>
      <c r="F32" s="24" t="s">
        <v>638</v>
      </c>
      <c r="H32" s="25"/>
      <c r="I32" s="17"/>
      <c r="S32" s="18"/>
      <c r="T32" s="16"/>
      <c r="W32" s="31"/>
      <c r="Y32" s="6"/>
      <c r="Z32" s="6"/>
    </row>
    <row r="33" ht="15" spans="1:28">
      <c r="A33" t="s">
        <v>70</v>
      </c>
      <c r="B33">
        <v>0</v>
      </c>
      <c r="C33">
        <v>0</v>
      </c>
      <c r="D33">
        <v>0</v>
      </c>
      <c r="E33">
        <v>0</v>
      </c>
      <c r="F33" s="24" t="s">
        <v>71</v>
      </c>
      <c r="H33" s="28"/>
      <c r="I33" s="17"/>
      <c r="S33" s="18"/>
      <c r="T33" s="16"/>
      <c r="U33" s="16"/>
      <c r="W33" s="31"/>
      <c r="X33" s="6"/>
      <c r="AA33" s="6"/>
      <c r="AB33" s="6"/>
    </row>
    <row r="34" ht="15" spans="1:30">
      <c r="A34" t="s">
        <v>753</v>
      </c>
      <c r="B34">
        <v>9.27</v>
      </c>
      <c r="C34">
        <v>8.81</v>
      </c>
      <c r="D34">
        <v>20.85</v>
      </c>
      <c r="E34" s="2">
        <v>940552128</v>
      </c>
      <c r="F34" s="24" t="s">
        <v>754</v>
      </c>
      <c r="H34" s="27"/>
      <c r="S34" s="18"/>
      <c r="T34" s="16"/>
      <c r="W34" s="31"/>
      <c r="AC34" s="6"/>
      <c r="AD34" s="6"/>
    </row>
    <row r="35" ht="15" spans="1:30">
      <c r="A35" t="s">
        <v>246</v>
      </c>
      <c r="B35">
        <v>0.348</v>
      </c>
      <c r="C35">
        <v>0.3</v>
      </c>
      <c r="D35">
        <v>4.55</v>
      </c>
      <c r="E35">
        <v>2901624</v>
      </c>
      <c r="F35" s="24" t="s">
        <v>247</v>
      </c>
      <c r="G35" s="16"/>
      <c r="H35" s="23"/>
      <c r="I35" s="16"/>
      <c r="J35" s="6"/>
      <c r="K35" s="6"/>
      <c r="L35" s="6"/>
      <c r="M35" s="6"/>
      <c r="N35" s="6"/>
      <c r="O35" s="6"/>
      <c r="Q35" s="6"/>
      <c r="S35" s="18"/>
      <c r="U35" s="16"/>
      <c r="W35" s="31"/>
      <c r="Y35" s="6"/>
      <c r="Z35" s="6"/>
      <c r="AA35" s="6"/>
      <c r="AB35" s="6"/>
      <c r="AD35" s="6"/>
    </row>
    <row r="36" s="6" customFormat="1" ht="15" spans="1:30">
      <c r="A36" t="s">
        <v>707</v>
      </c>
      <c r="B36">
        <v>1137.46</v>
      </c>
      <c r="C36">
        <v>973.19</v>
      </c>
      <c r="D36">
        <v>1626.5</v>
      </c>
      <c r="E36">
        <v>0</v>
      </c>
      <c r="F36" s="24" t="s">
        <v>708</v>
      </c>
      <c r="G36" s="16"/>
      <c r="H36" s="27"/>
      <c r="I36" s="16"/>
      <c r="S36" s="19"/>
      <c r="T36" s="14"/>
      <c r="U36" s="16"/>
      <c r="V36" s="14"/>
      <c r="W36" s="31"/>
      <c r="AA36" s="4"/>
      <c r="AB36" s="4"/>
      <c r="AC36" s="4"/>
      <c r="AD36" s="4"/>
    </row>
    <row r="37" s="6" customFormat="1" ht="15" spans="1:30">
      <c r="A37" t="s">
        <v>774</v>
      </c>
      <c r="B37">
        <v>10.07</v>
      </c>
      <c r="C37">
        <v>6.65</v>
      </c>
      <c r="D37">
        <v>14.83</v>
      </c>
      <c r="E37" s="2">
        <v>551947557.72</v>
      </c>
      <c r="F37" s="24" t="s">
        <v>775</v>
      </c>
      <c r="G37" s="14"/>
      <c r="H37" s="23"/>
      <c r="I37" s="14"/>
      <c r="J37" s="4"/>
      <c r="K37" s="4"/>
      <c r="L37" s="4"/>
      <c r="M37" s="4"/>
      <c r="N37" s="4"/>
      <c r="O37" s="4"/>
      <c r="P37" s="4"/>
      <c r="Q37" s="4"/>
      <c r="R37" s="4"/>
      <c r="S37" s="18"/>
      <c r="T37" s="14"/>
      <c r="U37" s="16"/>
      <c r="V37" s="14"/>
      <c r="W37" s="31"/>
      <c r="X37" s="4"/>
      <c r="Y37" s="4"/>
      <c r="Z37" s="4"/>
      <c r="AA37" s="4"/>
      <c r="AB37" s="4"/>
      <c r="AC37" s="4"/>
      <c r="AD37" s="4"/>
    </row>
    <row r="38" s="6" customFormat="1" ht="15" spans="1:30">
      <c r="A38" t="s">
        <v>599</v>
      </c>
      <c r="B38">
        <v>3.55</v>
      </c>
      <c r="C38">
        <v>2.15</v>
      </c>
      <c r="D38">
        <v>4</v>
      </c>
      <c r="E38" s="2">
        <v>127006348.56</v>
      </c>
      <c r="F38" s="24" t="s">
        <v>600</v>
      </c>
      <c r="G38" s="14"/>
      <c r="H38" s="28"/>
      <c r="I38" s="17"/>
      <c r="J38" s="4"/>
      <c r="K38" s="4"/>
      <c r="L38" s="4"/>
      <c r="M38" s="4"/>
      <c r="N38" s="4"/>
      <c r="O38" s="4"/>
      <c r="P38" s="4"/>
      <c r="Q38" s="4"/>
      <c r="R38" s="4"/>
      <c r="S38" s="18"/>
      <c r="T38" s="14"/>
      <c r="U38" s="16"/>
      <c r="V38" s="16"/>
      <c r="W38" s="31"/>
      <c r="X38" s="4"/>
      <c r="Y38" s="4"/>
      <c r="Z38" s="4"/>
      <c r="AA38" s="4"/>
      <c r="AB38" s="4"/>
      <c r="AC38" s="4"/>
      <c r="AD38" s="4"/>
    </row>
    <row r="39" s="6" customFormat="1" ht="15" spans="1:30">
      <c r="A39" s="4"/>
      <c r="B39" s="4"/>
      <c r="C39" s="4"/>
      <c r="D39" s="4"/>
      <c r="E39" s="13"/>
      <c r="F39" s="4"/>
      <c r="G39" s="14"/>
      <c r="H39" s="28"/>
      <c r="I39" s="14"/>
      <c r="J39" s="4"/>
      <c r="K39" s="4"/>
      <c r="L39" s="4"/>
      <c r="M39" s="4"/>
      <c r="N39" s="4"/>
      <c r="O39" s="4"/>
      <c r="P39" s="4"/>
      <c r="Q39" s="4"/>
      <c r="R39" s="4"/>
      <c r="S39" s="18"/>
      <c r="T39" s="14"/>
      <c r="U39" s="14"/>
      <c r="V39" s="14"/>
      <c r="W39" s="31"/>
      <c r="X39" s="4"/>
      <c r="Y39" s="4"/>
      <c r="Z39" s="4"/>
      <c r="AA39" s="4"/>
      <c r="AB39" s="4"/>
      <c r="AC39" s="4"/>
      <c r="AD39" s="4"/>
    </row>
    <row r="40" ht="15" spans="1:30">
      <c r="A40" t="s">
        <v>649</v>
      </c>
      <c r="B40">
        <v>5.39</v>
      </c>
      <c r="C40">
        <v>4</v>
      </c>
      <c r="D40">
        <v>14.77</v>
      </c>
      <c r="E40" s="2">
        <v>296031400</v>
      </c>
      <c r="F40" t="s">
        <v>650</v>
      </c>
      <c r="G40" s="16"/>
      <c r="H40" s="26"/>
      <c r="J40">
        <v>1.57</v>
      </c>
      <c r="K40">
        <v>0.68</v>
      </c>
      <c r="L40"/>
      <c r="M40"/>
      <c r="N40"/>
      <c r="O40"/>
      <c r="Q40" s="32"/>
      <c r="R40" s="6"/>
      <c r="S40" s="19"/>
      <c r="V40" s="16"/>
      <c r="W40" s="31"/>
      <c r="AD40" s="6"/>
    </row>
    <row r="41" s="6" customFormat="1" ht="15" spans="1:30">
      <c r="A41" t="s">
        <v>623</v>
      </c>
      <c r="B41">
        <v>1.23</v>
      </c>
      <c r="C41">
        <v>0.68</v>
      </c>
      <c r="D41">
        <v>7.35</v>
      </c>
      <c r="E41" s="2">
        <v>48163830</v>
      </c>
      <c r="F41" t="s">
        <v>624</v>
      </c>
      <c r="G41" s="14"/>
      <c r="H41" s="28"/>
      <c r="I41" s="14"/>
      <c r="J41">
        <v>2.38</v>
      </c>
      <c r="K41">
        <v>0.76</v>
      </c>
      <c r="L41"/>
      <c r="M41"/>
      <c r="N41"/>
      <c r="O41"/>
      <c r="P41" s="4"/>
      <c r="Q41" s="33"/>
      <c r="R41" s="4"/>
      <c r="S41" s="18"/>
      <c r="T41" s="14"/>
      <c r="U41" s="14"/>
      <c r="V41" s="14"/>
      <c r="W41" s="34"/>
      <c r="X41" s="4"/>
      <c r="Y41" s="4"/>
      <c r="Z41" s="4"/>
      <c r="AA41" s="4"/>
      <c r="AB41" s="4"/>
      <c r="AC41" s="4"/>
      <c r="AD41" s="4"/>
    </row>
    <row r="42" s="6" customFormat="1" ht="15" spans="1:29">
      <c r="A42" t="s">
        <v>1157</v>
      </c>
      <c r="B42">
        <v>2.13</v>
      </c>
      <c r="C42">
        <v>0.37</v>
      </c>
      <c r="D42">
        <v>12.88</v>
      </c>
      <c r="E42">
        <v>5083000</v>
      </c>
      <c r="F42" t="s">
        <v>1158</v>
      </c>
      <c r="G42" s="14"/>
      <c r="H42" s="28"/>
      <c r="I42" s="17"/>
      <c r="J42">
        <v>0.07</v>
      </c>
      <c r="K42">
        <v>0.12</v>
      </c>
      <c r="L42">
        <v>6.7647</v>
      </c>
      <c r="M42"/>
      <c r="N42"/>
      <c r="O42"/>
      <c r="P42" s="4"/>
      <c r="Q42" s="4"/>
      <c r="R42" s="4"/>
      <c r="S42" s="18"/>
      <c r="T42" s="16"/>
      <c r="U42" s="14"/>
      <c r="V42" s="16"/>
      <c r="W42" s="31"/>
      <c r="Y42" s="4"/>
      <c r="Z42" s="4"/>
      <c r="AA42" s="4"/>
      <c r="AB42" s="4"/>
      <c r="AC42" s="4"/>
    </row>
    <row r="43" s="6" customFormat="1" ht="15" spans="1:30">
      <c r="A43" t="s">
        <v>703</v>
      </c>
      <c r="B43">
        <v>52.01</v>
      </c>
      <c r="C43">
        <v>42.35</v>
      </c>
      <c r="D43">
        <v>81.7</v>
      </c>
      <c r="E43" s="2">
        <v>3185775553.73</v>
      </c>
      <c r="F43" t="s">
        <v>704</v>
      </c>
      <c r="G43" s="14"/>
      <c r="H43" s="25"/>
      <c r="I43" s="14"/>
      <c r="J43">
        <v>7.11</v>
      </c>
      <c r="K43">
        <v>3.59</v>
      </c>
      <c r="L43">
        <v>41.6217</v>
      </c>
      <c r="M43">
        <v>18.8624</v>
      </c>
      <c r="N43"/>
      <c r="O43"/>
      <c r="P43" s="4"/>
      <c r="Q43" s="4"/>
      <c r="R43" s="4"/>
      <c r="S43" s="18"/>
      <c r="T43" s="14"/>
      <c r="U43" s="14"/>
      <c r="V43" s="16"/>
      <c r="W43" s="31"/>
      <c r="Y43" s="4"/>
      <c r="Z43" s="4"/>
      <c r="AA43" s="4"/>
      <c r="AB43" s="4"/>
      <c r="AC43" s="4"/>
      <c r="AD43" s="4"/>
    </row>
    <row r="44" s="6" customFormat="1" ht="15" spans="1:30">
      <c r="A44" t="s">
        <v>732</v>
      </c>
      <c r="B44">
        <v>12.65</v>
      </c>
      <c r="C44">
        <v>6.72</v>
      </c>
      <c r="D44">
        <v>19.89</v>
      </c>
      <c r="E44" s="2">
        <v>2587933796.42</v>
      </c>
      <c r="F44" t="s">
        <v>733</v>
      </c>
      <c r="G44" s="16"/>
      <c r="H44" s="26"/>
      <c r="I44" s="14"/>
      <c r="J44">
        <v>5.22</v>
      </c>
      <c r="K44">
        <v>19.71</v>
      </c>
      <c r="L44"/>
      <c r="M44"/>
      <c r="N44"/>
      <c r="O44"/>
      <c r="P44" s="4"/>
      <c r="Q44" s="32"/>
      <c r="S44" s="19"/>
      <c r="T44" s="14"/>
      <c r="U44" s="14"/>
      <c r="V44" s="14"/>
      <c r="W44" s="31"/>
      <c r="Y44" s="4"/>
      <c r="Z44" s="4"/>
      <c r="AC44" s="4"/>
      <c r="AD44" s="4"/>
    </row>
    <row r="45" s="6" customFormat="1" ht="15" spans="1:29">
      <c r="A45" t="s">
        <v>1159</v>
      </c>
      <c r="B45">
        <v>0.55</v>
      </c>
      <c r="C45">
        <v>0.4</v>
      </c>
      <c r="D45">
        <v>1.85</v>
      </c>
      <c r="E45">
        <v>5084076</v>
      </c>
      <c r="F45" t="s">
        <v>1160</v>
      </c>
      <c r="G45" s="14"/>
      <c r="H45" s="28"/>
      <c r="I45" s="14"/>
      <c r="J45">
        <v>0.36</v>
      </c>
      <c r="K45">
        <v>0.478</v>
      </c>
      <c r="L45"/>
      <c r="M45"/>
      <c r="N45"/>
      <c r="O45"/>
      <c r="P45" s="4"/>
      <c r="Q45" s="4"/>
      <c r="R45" s="4"/>
      <c r="S45" s="18"/>
      <c r="T45" s="16"/>
      <c r="U45" s="14"/>
      <c r="V45" s="14"/>
      <c r="W45" s="31"/>
      <c r="X45" s="4"/>
      <c r="AA45" s="4"/>
      <c r="AB45" s="4"/>
      <c r="AC45" s="4"/>
    </row>
    <row r="46" ht="15" spans="1:26">
      <c r="A46" t="s">
        <v>728</v>
      </c>
      <c r="B46">
        <v>2.23</v>
      </c>
      <c r="C46">
        <v>1.95</v>
      </c>
      <c r="D46">
        <v>6.46</v>
      </c>
      <c r="E46" s="2">
        <v>114974644.12</v>
      </c>
      <c r="F46" t="s">
        <v>729</v>
      </c>
      <c r="G46" s="16"/>
      <c r="H46" s="27"/>
      <c r="I46" s="16"/>
      <c r="J46">
        <v>119</v>
      </c>
      <c r="K46">
        <v>0.3</v>
      </c>
      <c r="L46"/>
      <c r="M46"/>
      <c r="N46"/>
      <c r="O46"/>
      <c r="P46" s="6"/>
      <c r="Q46" s="6"/>
      <c r="R46" s="6"/>
      <c r="S46" s="19"/>
      <c r="T46" s="16"/>
      <c r="U46" s="16"/>
      <c r="V46" s="16"/>
      <c r="W46" s="31"/>
      <c r="Y46" s="6"/>
      <c r="Z46" s="6"/>
    </row>
    <row r="47" ht="15" spans="1:28">
      <c r="A47" t="s">
        <v>772</v>
      </c>
      <c r="B47">
        <v>45.14</v>
      </c>
      <c r="C47">
        <v>40.2</v>
      </c>
      <c r="D47">
        <v>71.78</v>
      </c>
      <c r="E47" s="2">
        <v>1863465017.96</v>
      </c>
      <c r="F47" t="s">
        <v>773</v>
      </c>
      <c r="H47" s="28"/>
      <c r="I47" s="17"/>
      <c r="J47">
        <v>1.5</v>
      </c>
      <c r="K47">
        <v>0.9</v>
      </c>
      <c r="L47"/>
      <c r="M47"/>
      <c r="N47"/>
      <c r="O47"/>
      <c r="S47" s="18"/>
      <c r="W47" s="31"/>
      <c r="AA47" s="6"/>
      <c r="AB47" s="6"/>
    </row>
    <row r="48" s="6" customFormat="1" ht="15" spans="1:29">
      <c r="A48" t="s">
        <v>601</v>
      </c>
      <c r="B48">
        <v>0.73</v>
      </c>
      <c r="C48">
        <v>0.647</v>
      </c>
      <c r="D48">
        <v>2.2</v>
      </c>
      <c r="E48" s="2">
        <v>34439962.16</v>
      </c>
      <c r="F48" t="s">
        <v>602</v>
      </c>
      <c r="G48" s="16"/>
      <c r="H48" s="27"/>
      <c r="I48" s="16"/>
      <c r="J48">
        <v>-0.08</v>
      </c>
      <c r="K48">
        <v>0.026</v>
      </c>
      <c r="L48"/>
      <c r="M48"/>
      <c r="N48"/>
      <c r="O48"/>
      <c r="S48" s="19"/>
      <c r="T48" s="14"/>
      <c r="U48" s="16"/>
      <c r="V48" s="16"/>
      <c r="W48" s="31"/>
      <c r="X48" s="4"/>
      <c r="AA48" s="4"/>
      <c r="AB48" s="4"/>
      <c r="AC48" s="4"/>
    </row>
    <row r="49" ht="15" spans="1:26">
      <c r="A49" t="s">
        <v>654</v>
      </c>
      <c r="B49">
        <v>25.8</v>
      </c>
      <c r="C49">
        <v>21.53</v>
      </c>
      <c r="D49">
        <v>56.59</v>
      </c>
      <c r="E49" s="2">
        <v>3020545071.53</v>
      </c>
      <c r="F49" t="s">
        <v>655</v>
      </c>
      <c r="G49" s="16"/>
      <c r="H49" s="27"/>
      <c r="I49" s="16"/>
      <c r="J49">
        <v>4.14</v>
      </c>
      <c r="K49">
        <v>5.48</v>
      </c>
      <c r="L49">
        <v>41.3669</v>
      </c>
      <c r="M49">
        <v>20.0809</v>
      </c>
      <c r="N49"/>
      <c r="O49"/>
      <c r="P49" s="6"/>
      <c r="Q49" s="6"/>
      <c r="R49" s="6"/>
      <c r="S49" s="19"/>
      <c r="V49" s="16"/>
      <c r="W49" s="31"/>
      <c r="X49" s="6"/>
      <c r="Y49" s="6"/>
      <c r="Z49" s="6"/>
    </row>
    <row r="50" s="6" customFormat="1" ht="15" spans="1:30">
      <c r="A50" t="s">
        <v>613</v>
      </c>
      <c r="B50">
        <v>0.86</v>
      </c>
      <c r="C50">
        <v>0.62</v>
      </c>
      <c r="D50">
        <v>1.16</v>
      </c>
      <c r="E50" s="2">
        <v>18108792.49</v>
      </c>
      <c r="F50" t="s">
        <v>614</v>
      </c>
      <c r="G50" s="14"/>
      <c r="H50" s="28"/>
      <c r="I50" s="17"/>
      <c r="J50">
        <v>0.19</v>
      </c>
      <c r="K50">
        <v>0.1492</v>
      </c>
      <c r="L50">
        <v>5.4813</v>
      </c>
      <c r="M50"/>
      <c r="N50"/>
      <c r="O50"/>
      <c r="P50" s="4"/>
      <c r="Q50" s="4"/>
      <c r="R50" s="4"/>
      <c r="S50" s="18"/>
      <c r="T50" s="14"/>
      <c r="U50" s="14"/>
      <c r="V50" s="16"/>
      <c r="W50" s="31"/>
      <c r="X50" s="4"/>
      <c r="Y50" s="4"/>
      <c r="Z50" s="4"/>
      <c r="AA50" s="4"/>
      <c r="AB50" s="4"/>
      <c r="AC50" s="4"/>
      <c r="AD50" s="4"/>
    </row>
    <row r="51" ht="15" spans="1:29">
      <c r="A51" t="s">
        <v>794</v>
      </c>
      <c r="B51">
        <v>10.95</v>
      </c>
      <c r="C51">
        <v>10.37</v>
      </c>
      <c r="D51">
        <v>30.72</v>
      </c>
      <c r="E51" s="2">
        <v>6712150988</v>
      </c>
      <c r="F51" t="s">
        <v>795</v>
      </c>
      <c r="G51" s="16"/>
      <c r="H51" s="23"/>
      <c r="I51" s="16"/>
      <c r="J51">
        <v>12.28</v>
      </c>
      <c r="K51">
        <v>1.02</v>
      </c>
      <c r="L51">
        <v>76.53</v>
      </c>
      <c r="M51">
        <v>30.3684</v>
      </c>
      <c r="N51"/>
      <c r="O51"/>
      <c r="P51" s="6"/>
      <c r="Q51" s="6"/>
      <c r="R51" s="6"/>
      <c r="S51" s="19"/>
      <c r="W51" s="31"/>
      <c r="AC51" s="6"/>
    </row>
    <row r="52" s="6" customFormat="1" ht="15" spans="1:30">
      <c r="A52" t="s">
        <v>726</v>
      </c>
      <c r="B52">
        <v>22.04</v>
      </c>
      <c r="C52">
        <v>16.09</v>
      </c>
      <c r="D52">
        <v>74.8</v>
      </c>
      <c r="E52" s="2">
        <v>1465023343.16</v>
      </c>
      <c r="F52" t="s">
        <v>727</v>
      </c>
      <c r="G52" s="14"/>
      <c r="H52" s="28"/>
      <c r="I52" s="17"/>
      <c r="J52">
        <v>1.03</v>
      </c>
      <c r="K52">
        <v>2.32</v>
      </c>
      <c r="L52">
        <v>37.9629</v>
      </c>
      <c r="M52">
        <v>257.1111</v>
      </c>
      <c r="N52"/>
      <c r="O52"/>
      <c r="P52" s="4"/>
      <c r="Q52" s="4"/>
      <c r="R52" s="4"/>
      <c r="S52" s="18"/>
      <c r="T52" s="16"/>
      <c r="U52" s="14"/>
      <c r="V52" s="14"/>
      <c r="W52" s="31"/>
      <c r="Y52" s="4"/>
      <c r="Z52" s="4"/>
      <c r="AA52" s="4"/>
      <c r="AB52" s="4"/>
      <c r="AC52" s="4"/>
      <c r="AD52" s="4"/>
    </row>
    <row r="53" ht="15" spans="1:23">
      <c r="A53" t="s">
        <v>1161</v>
      </c>
      <c r="B53">
        <v>9.99</v>
      </c>
      <c r="C53">
        <v>8.49</v>
      </c>
      <c r="D53">
        <v>20.96</v>
      </c>
      <c r="E53" s="2">
        <v>390565213.04</v>
      </c>
      <c r="F53" t="s">
        <v>1162</v>
      </c>
      <c r="G53" s="16"/>
      <c r="H53" s="27"/>
      <c r="J53">
        <v>0.37</v>
      </c>
      <c r="K53">
        <v>0.19</v>
      </c>
      <c r="L53">
        <v>3.4844</v>
      </c>
      <c r="M53">
        <v>3.3376</v>
      </c>
      <c r="N53"/>
      <c r="O53"/>
      <c r="Q53" s="32"/>
      <c r="R53" s="6"/>
      <c r="S53" s="19"/>
      <c r="W53" s="31"/>
    </row>
    <row r="54" ht="15" spans="1:30">
      <c r="A54" t="s">
        <v>635</v>
      </c>
      <c r="B54">
        <v>0.8111</v>
      </c>
      <c r="C54">
        <v>0.54</v>
      </c>
      <c r="D54">
        <v>1.6</v>
      </c>
      <c r="E54" s="2">
        <v>40544376.97</v>
      </c>
      <c r="F54" t="s">
        <v>636</v>
      </c>
      <c r="G54" s="16"/>
      <c r="H54" s="27"/>
      <c r="J54">
        <v>-7.65</v>
      </c>
      <c r="K54">
        <v>3.5481</v>
      </c>
      <c r="L54"/>
      <c r="M54"/>
      <c r="N54"/>
      <c r="O54"/>
      <c r="Q54" s="32"/>
      <c r="R54" s="6"/>
      <c r="S54" s="19"/>
      <c r="W54" s="31"/>
      <c r="AD54" s="6"/>
    </row>
    <row r="55" ht="15" spans="1:23">
      <c r="A55" t="s">
        <v>1163</v>
      </c>
      <c r="B55">
        <v>1.54</v>
      </c>
      <c r="C55">
        <v>1.4</v>
      </c>
      <c r="D55">
        <v>4.68</v>
      </c>
      <c r="E55" s="2">
        <v>28553350</v>
      </c>
      <c r="F55" t="s">
        <v>1164</v>
      </c>
      <c r="G55" s="16"/>
      <c r="H55" s="23"/>
      <c r="J55">
        <v>1.5</v>
      </c>
      <c r="K55">
        <v>0.31</v>
      </c>
      <c r="L55">
        <v>32.2</v>
      </c>
      <c r="M55"/>
      <c r="N55"/>
      <c r="O55"/>
      <c r="Q55" s="32"/>
      <c r="R55" s="6"/>
      <c r="S55" s="19"/>
      <c r="W55" s="31"/>
    </row>
    <row r="56" ht="15" spans="1:30">
      <c r="A56" t="s">
        <v>1165</v>
      </c>
      <c r="B56">
        <v>28.86</v>
      </c>
      <c r="C56">
        <v>15.35</v>
      </c>
      <c r="D56">
        <v>33</v>
      </c>
      <c r="E56" s="2">
        <v>1886873071.3</v>
      </c>
      <c r="F56" t="s">
        <v>1166</v>
      </c>
      <c r="G56" s="16"/>
      <c r="H56" s="27"/>
      <c r="J56">
        <v>3.51</v>
      </c>
      <c r="K56">
        <v>2.11</v>
      </c>
      <c r="L56">
        <v>42.084</v>
      </c>
      <c r="M56">
        <v>38.1013</v>
      </c>
      <c r="N56"/>
      <c r="O56"/>
      <c r="Q56" s="32"/>
      <c r="R56" s="6"/>
      <c r="S56" s="19"/>
      <c r="V56" s="16"/>
      <c r="W56" s="31"/>
      <c r="X56" s="6"/>
      <c r="AD56" s="6"/>
    </row>
    <row r="57" s="6" customFormat="1" ht="15" spans="1:29">
      <c r="A57" t="s">
        <v>55</v>
      </c>
      <c r="B57">
        <v>5.17</v>
      </c>
      <c r="C57">
        <v>3.62</v>
      </c>
      <c r="D57">
        <v>8.15</v>
      </c>
      <c r="E57" s="2">
        <v>308850843.07</v>
      </c>
      <c r="F57" t="s">
        <v>56</v>
      </c>
      <c r="G57" s="14"/>
      <c r="H57" s="28"/>
      <c r="I57" s="14"/>
      <c r="J57">
        <v>2.44</v>
      </c>
      <c r="K57">
        <v>0.76</v>
      </c>
      <c r="L57">
        <v>4.4545</v>
      </c>
      <c r="M57"/>
      <c r="N57"/>
      <c r="O57"/>
      <c r="P57" s="4"/>
      <c r="Q57" s="4"/>
      <c r="R57" s="4"/>
      <c r="S57" s="18"/>
      <c r="T57" s="16"/>
      <c r="U57" s="14"/>
      <c r="V57" s="16"/>
      <c r="W57" s="31"/>
      <c r="AC57" s="4"/>
    </row>
    <row r="58" s="6" customFormat="1" ht="15" spans="1:30">
      <c r="A58" t="s">
        <v>1167</v>
      </c>
      <c r="B58">
        <v>1.68</v>
      </c>
      <c r="C58">
        <v>1.39</v>
      </c>
      <c r="D58">
        <v>4.49</v>
      </c>
      <c r="E58" s="2">
        <v>33783611.75</v>
      </c>
      <c r="F58" t="s">
        <v>1168</v>
      </c>
      <c r="G58" s="14"/>
      <c r="H58" s="23"/>
      <c r="I58" s="17"/>
      <c r="J58">
        <v>0.17</v>
      </c>
      <c r="K58">
        <v>0.14</v>
      </c>
      <c r="L58">
        <v>5.33</v>
      </c>
      <c r="M58">
        <v>2.3973</v>
      </c>
      <c r="N58"/>
      <c r="O58"/>
      <c r="P58" s="4"/>
      <c r="Q58" s="4"/>
      <c r="R58" s="4"/>
      <c r="S58" s="18"/>
      <c r="T58" s="14"/>
      <c r="U58" s="16"/>
      <c r="V58" s="14"/>
      <c r="W58" s="31"/>
      <c r="X58" s="4"/>
      <c r="Y58" s="4"/>
      <c r="Z58" s="4"/>
      <c r="AA58" s="4"/>
      <c r="AB58" s="4"/>
      <c r="AC58" s="4"/>
      <c r="AD58" s="4"/>
    </row>
    <row r="59" ht="15" spans="1:23">
      <c r="A59" t="s">
        <v>595</v>
      </c>
      <c r="B59">
        <v>2.23</v>
      </c>
      <c r="C59">
        <v>2.05</v>
      </c>
      <c r="D59">
        <v>7.88</v>
      </c>
      <c r="E59">
        <v>3257280</v>
      </c>
      <c r="F59" t="s">
        <v>596</v>
      </c>
      <c r="H59" s="28"/>
      <c r="J59">
        <v>0.16</v>
      </c>
      <c r="K59">
        <v>0.36</v>
      </c>
      <c r="L59">
        <v>0.9831</v>
      </c>
      <c r="M59"/>
      <c r="N59"/>
      <c r="O59"/>
      <c r="Q59" s="33"/>
      <c r="S59" s="18"/>
      <c r="W59" s="34"/>
    </row>
    <row r="60" ht="15" spans="1:30">
      <c r="A60" t="s">
        <v>753</v>
      </c>
      <c r="B60">
        <v>9.27</v>
      </c>
      <c r="C60">
        <v>8.81</v>
      </c>
      <c r="D60">
        <v>20.85</v>
      </c>
      <c r="E60" s="2">
        <v>940552128</v>
      </c>
      <c r="F60" t="s">
        <v>754</v>
      </c>
      <c r="H60" s="25"/>
      <c r="I60" s="17"/>
      <c r="J60">
        <v>1.8</v>
      </c>
      <c r="K60">
        <v>0.74</v>
      </c>
      <c r="L60"/>
      <c r="M60"/>
      <c r="N60"/>
      <c r="O60"/>
      <c r="S60" s="18"/>
      <c r="V60" s="16"/>
      <c r="W60" s="31"/>
      <c r="X60" s="6"/>
      <c r="AA60" s="6"/>
      <c r="AB60" s="6"/>
      <c r="AD60" s="6"/>
    </row>
    <row r="61" ht="15" spans="1:30">
      <c r="A61" t="s">
        <v>718</v>
      </c>
      <c r="B61">
        <v>25.59</v>
      </c>
      <c r="C61">
        <v>21.55</v>
      </c>
      <c r="D61">
        <v>38</v>
      </c>
      <c r="E61" s="2">
        <v>36200433705.2</v>
      </c>
      <c r="F61" t="s">
        <v>719</v>
      </c>
      <c r="H61" s="28"/>
      <c r="I61" s="17"/>
      <c r="J61">
        <v>6.43</v>
      </c>
      <c r="K61">
        <v>1.41</v>
      </c>
      <c r="L61">
        <v>2646</v>
      </c>
      <c r="M61"/>
      <c r="N61"/>
      <c r="O61"/>
      <c r="S61" s="18"/>
      <c r="V61" s="16"/>
      <c r="W61" s="31"/>
      <c r="X61" s="6"/>
      <c r="AA61" s="6"/>
      <c r="AB61" s="6"/>
      <c r="AD61" s="6"/>
    </row>
    <row r="62" ht="14.25" spans="1:29">
      <c r="A62" t="s">
        <v>1169</v>
      </c>
      <c r="B62">
        <v>3.23</v>
      </c>
      <c r="C62">
        <v>2.53</v>
      </c>
      <c r="D62">
        <v>6.81</v>
      </c>
      <c r="E62" s="2">
        <v>163675480.68</v>
      </c>
      <c r="F62" t="s">
        <v>1170</v>
      </c>
      <c r="G62" s="16"/>
      <c r="H62" s="23"/>
      <c r="I62" s="16"/>
      <c r="J62">
        <v>0.29</v>
      </c>
      <c r="K62">
        <v>0.15</v>
      </c>
      <c r="L62">
        <v>1.7526</v>
      </c>
      <c r="M62"/>
      <c r="N62"/>
      <c r="O62"/>
      <c r="P62" s="6"/>
      <c r="Q62" s="6"/>
      <c r="S62" s="19"/>
      <c r="W62" s="31"/>
      <c r="X62" s="6"/>
      <c r="AA62" s="6"/>
      <c r="AB62" s="6"/>
      <c r="AC62" s="6"/>
    </row>
    <row r="63" s="6" customFormat="1" spans="1:30">
      <c r="A63" t="s">
        <v>1171</v>
      </c>
      <c r="B63">
        <v>0.54</v>
      </c>
      <c r="C63">
        <v>0.35</v>
      </c>
      <c r="D63">
        <v>1.23</v>
      </c>
      <c r="E63">
        <v>7270587.5</v>
      </c>
      <c r="F63" t="s">
        <v>1172</v>
      </c>
      <c r="G63" s="16"/>
      <c r="H63" s="23"/>
      <c r="I63" s="16"/>
      <c r="J63">
        <v>0.14</v>
      </c>
      <c r="K63">
        <v>0.1771</v>
      </c>
      <c r="L63"/>
      <c r="M63"/>
      <c r="N63"/>
      <c r="O63"/>
      <c r="R63" s="4"/>
      <c r="S63" s="19"/>
      <c r="T63" s="14"/>
      <c r="U63" s="14"/>
      <c r="V63" s="16"/>
      <c r="W63" s="31"/>
      <c r="Y63" s="4"/>
      <c r="Z63" s="4"/>
      <c r="AD63" s="4"/>
    </row>
    <row r="64" spans="1:29">
      <c r="A64" t="s">
        <v>591</v>
      </c>
      <c r="B64">
        <v>1.36</v>
      </c>
      <c r="C64">
        <v>1.01</v>
      </c>
      <c r="D64">
        <v>3.92</v>
      </c>
      <c r="E64">
        <v>5520200</v>
      </c>
      <c r="F64" t="s">
        <v>592</v>
      </c>
      <c r="H64" s="25"/>
      <c r="I64" s="17"/>
      <c r="J64">
        <v>0.06</v>
      </c>
      <c r="K64">
        <v>0.0846</v>
      </c>
      <c r="L64">
        <v>16.8675</v>
      </c>
      <c r="M64"/>
      <c r="N64"/>
      <c r="O64"/>
      <c r="S64" s="18"/>
      <c r="U64" s="16"/>
      <c r="W64" s="31"/>
      <c r="AC64" s="6"/>
    </row>
    <row r="65" ht="14.25" spans="1:30">
      <c r="A65" t="s">
        <v>1173</v>
      </c>
      <c r="B65">
        <v>1.41</v>
      </c>
      <c r="C65">
        <v>1.1</v>
      </c>
      <c r="D65">
        <v>2.5</v>
      </c>
      <c r="E65" s="2">
        <v>53605050</v>
      </c>
      <c r="F65" t="s">
        <v>1174</v>
      </c>
      <c r="G65" s="16"/>
      <c r="H65" s="23"/>
      <c r="I65" s="16"/>
      <c r="J65">
        <v>0.15</v>
      </c>
      <c r="K65">
        <v>0.19</v>
      </c>
      <c r="L65">
        <v>1.747</v>
      </c>
      <c r="M65"/>
      <c r="N65"/>
      <c r="O65"/>
      <c r="Q65" s="6"/>
      <c r="S65" s="18"/>
      <c r="U65" s="16"/>
      <c r="W65" s="31"/>
      <c r="Y65" s="6"/>
      <c r="Z65" s="6"/>
      <c r="AD65" s="6"/>
    </row>
    <row r="66" ht="15" spans="1:23">
      <c r="A66" t="s">
        <v>263</v>
      </c>
      <c r="B66">
        <v>1.5</v>
      </c>
      <c r="C66">
        <v>1.38</v>
      </c>
      <c r="D66">
        <v>5.35</v>
      </c>
      <c r="E66" s="2">
        <v>91946577.8</v>
      </c>
      <c r="F66" t="s">
        <v>264</v>
      </c>
      <c r="H66" s="27"/>
      <c r="I66" s="17"/>
      <c r="J66">
        <v>0.92</v>
      </c>
      <c r="K66">
        <v>1.4</v>
      </c>
      <c r="L66">
        <v>5.5</v>
      </c>
      <c r="M66"/>
      <c r="N66"/>
      <c r="O66"/>
      <c r="S66" s="18"/>
      <c r="T66" s="16"/>
      <c r="V66" s="16"/>
      <c r="W66" s="31"/>
    </row>
    <row r="67" ht="14.25" spans="1:30">
      <c r="A67" t="s">
        <v>722</v>
      </c>
      <c r="B67">
        <v>54.25</v>
      </c>
      <c r="C67">
        <v>37.72</v>
      </c>
      <c r="D67">
        <v>83.71</v>
      </c>
      <c r="E67" s="2">
        <v>7754602236.2</v>
      </c>
      <c r="F67" t="s">
        <v>723</v>
      </c>
      <c r="H67" s="25"/>
      <c r="I67" s="17"/>
      <c r="J67">
        <v>2.85</v>
      </c>
      <c r="K67">
        <v>10.74</v>
      </c>
      <c r="L67">
        <v>344.36</v>
      </c>
      <c r="M67"/>
      <c r="N67"/>
      <c r="O67"/>
      <c r="P67" s="6"/>
      <c r="S67" s="18"/>
      <c r="T67" s="16"/>
      <c r="W67" s="31"/>
      <c r="X67" s="6"/>
      <c r="AA67" s="6"/>
      <c r="AB67" s="6"/>
      <c r="AD67" s="6"/>
    </row>
    <row r="68" spans="1:24">
      <c r="A68" t="s">
        <v>671</v>
      </c>
      <c r="B68">
        <v>13.55</v>
      </c>
      <c r="C68">
        <v>7.85</v>
      </c>
      <c r="D68">
        <v>22</v>
      </c>
      <c r="E68" s="2">
        <v>495220106.03</v>
      </c>
      <c r="F68" t="s">
        <v>672</v>
      </c>
      <c r="G68" s="16"/>
      <c r="H68" s="29"/>
      <c r="J68">
        <v>9.34</v>
      </c>
      <c r="K68">
        <v>4.28</v>
      </c>
      <c r="L68">
        <v>20.74</v>
      </c>
      <c r="M68">
        <v>20.1594</v>
      </c>
      <c r="N68"/>
      <c r="O68"/>
      <c r="Q68" s="32"/>
      <c r="R68" s="6"/>
      <c r="S68" s="19"/>
      <c r="W68" s="31"/>
      <c r="X68" s="6"/>
    </row>
    <row r="69" ht="14.25" spans="1:30">
      <c r="A69" t="s">
        <v>1175</v>
      </c>
      <c r="B69">
        <v>3.63</v>
      </c>
      <c r="C69">
        <v>1</v>
      </c>
      <c r="D69">
        <v>6.4</v>
      </c>
      <c r="E69" s="2">
        <v>65519920.76</v>
      </c>
      <c r="F69" t="s">
        <v>1176</v>
      </c>
      <c r="H69" s="25"/>
      <c r="I69" s="17"/>
      <c r="J69">
        <v>0.19</v>
      </c>
      <c r="K69">
        <v>1.66</v>
      </c>
      <c r="L69">
        <v>6.082</v>
      </c>
      <c r="M69"/>
      <c r="N69"/>
      <c r="O69"/>
      <c r="S69" s="18"/>
      <c r="T69" s="16"/>
      <c r="W69" s="31"/>
      <c r="X69" s="6"/>
      <c r="AA69" s="6"/>
      <c r="AB69" s="6"/>
      <c r="AC69" s="6"/>
      <c r="AD69" s="6"/>
    </row>
    <row r="70" s="6" customFormat="1" ht="15" spans="1:30">
      <c r="A70" t="s">
        <v>1177</v>
      </c>
      <c r="B70">
        <v>1.4</v>
      </c>
      <c r="C70">
        <v>1.2</v>
      </c>
      <c r="D70">
        <v>3.7</v>
      </c>
      <c r="E70" s="2">
        <v>64420070</v>
      </c>
      <c r="F70" t="s">
        <v>1178</v>
      </c>
      <c r="G70" s="14"/>
      <c r="H70" s="27"/>
      <c r="I70" s="17"/>
      <c r="J70">
        <v>0.41</v>
      </c>
      <c r="K70">
        <v>0.88</v>
      </c>
      <c r="L70">
        <v>2.0725</v>
      </c>
      <c r="M70"/>
      <c r="N70"/>
      <c r="O70"/>
      <c r="P70" s="4"/>
      <c r="Q70" s="4"/>
      <c r="R70" s="4"/>
      <c r="S70" s="18"/>
      <c r="T70" s="14"/>
      <c r="U70" s="14"/>
      <c r="V70" s="14"/>
      <c r="W70" s="31"/>
      <c r="X70" s="4"/>
      <c r="Y70" s="4"/>
      <c r="Z70" s="4"/>
      <c r="AC70" s="4"/>
      <c r="AD70" s="4"/>
    </row>
    <row r="71" s="6" customFormat="1" ht="15" spans="1:30">
      <c r="A71" t="s">
        <v>1179</v>
      </c>
      <c r="B71">
        <v>18.62</v>
      </c>
      <c r="C71">
        <v>11.02</v>
      </c>
      <c r="D71">
        <v>31.79</v>
      </c>
      <c r="E71" s="2">
        <v>170008597.14</v>
      </c>
      <c r="F71" t="s">
        <v>1180</v>
      </c>
      <c r="G71" s="14"/>
      <c r="H71" s="25"/>
      <c r="I71" s="17"/>
      <c r="J71">
        <v>0.85</v>
      </c>
      <c r="K71">
        <v>1.14</v>
      </c>
      <c r="L71">
        <v>7.52</v>
      </c>
      <c r="M71">
        <v>11.0523</v>
      </c>
      <c r="N71"/>
      <c r="O71"/>
      <c r="P71" s="4"/>
      <c r="Q71" s="4"/>
      <c r="R71" s="4"/>
      <c r="S71" s="18"/>
      <c r="T71" s="14"/>
      <c r="U71" s="14"/>
      <c r="V71" s="14"/>
      <c r="W71" s="31"/>
      <c r="X71" s="4"/>
      <c r="Y71" s="4"/>
      <c r="Z71" s="4"/>
      <c r="AC71" s="4"/>
      <c r="AD71" s="4"/>
    </row>
    <row r="72" ht="15" spans="1:29">
      <c r="A72" t="s">
        <v>641</v>
      </c>
      <c r="B72">
        <v>36.22</v>
      </c>
      <c r="C72">
        <v>26.52</v>
      </c>
      <c r="D72">
        <v>55.93</v>
      </c>
      <c r="E72" s="2">
        <v>4988250000</v>
      </c>
      <c r="F72" t="s">
        <v>642</v>
      </c>
      <c r="H72" s="28"/>
      <c r="I72" s="17"/>
      <c r="J72">
        <v>20.88</v>
      </c>
      <c r="K72">
        <v>9.21</v>
      </c>
      <c r="L72"/>
      <c r="M72"/>
      <c r="N72"/>
      <c r="O72"/>
      <c r="S72" s="18"/>
      <c r="W72" s="31"/>
      <c r="AA72" s="6"/>
      <c r="AB72" s="6"/>
      <c r="AC72" s="6"/>
    </row>
    <row r="73" ht="15" spans="1:29">
      <c r="A73" t="s">
        <v>784</v>
      </c>
      <c r="B73">
        <v>39.24</v>
      </c>
      <c r="C73">
        <v>21.54</v>
      </c>
      <c r="D73">
        <v>57.36</v>
      </c>
      <c r="E73" s="2">
        <v>11252657757.12</v>
      </c>
      <c r="F73" t="s">
        <v>785</v>
      </c>
      <c r="G73" s="16"/>
      <c r="H73" s="23"/>
      <c r="I73" s="16"/>
      <c r="J73">
        <v>6.24</v>
      </c>
      <c r="K73">
        <v>7.29</v>
      </c>
      <c r="L73">
        <v>70.4137</v>
      </c>
      <c r="M73">
        <v>43.978</v>
      </c>
      <c r="N73"/>
      <c r="O73"/>
      <c r="P73" s="6"/>
      <c r="Q73" s="6"/>
      <c r="S73" s="19"/>
      <c r="T73" s="16"/>
      <c r="V73" s="16"/>
      <c r="W73" s="31"/>
      <c r="X73" s="6"/>
      <c r="Y73" s="6"/>
      <c r="Z73" s="6"/>
      <c r="AC73" s="6"/>
    </row>
    <row r="74" s="6" customFormat="1" ht="15" spans="1:29">
      <c r="A74" t="s">
        <v>788</v>
      </c>
      <c r="B74">
        <v>6.08</v>
      </c>
      <c r="C74">
        <v>4.86</v>
      </c>
      <c r="D74">
        <v>7.18</v>
      </c>
      <c r="E74" s="2">
        <v>884245271</v>
      </c>
      <c r="F74" t="s">
        <v>789</v>
      </c>
      <c r="G74" s="14"/>
      <c r="H74" s="28"/>
      <c r="I74" s="17"/>
      <c r="J74">
        <v>0.93</v>
      </c>
      <c r="K74">
        <v>0.86</v>
      </c>
      <c r="L74">
        <v>13.42</v>
      </c>
      <c r="M74">
        <v>68.8889</v>
      </c>
      <c r="N74"/>
      <c r="O74"/>
      <c r="P74" s="4"/>
      <c r="Q74" s="4"/>
      <c r="R74" s="4"/>
      <c r="S74" s="18"/>
      <c r="T74" s="14"/>
      <c r="U74" s="14"/>
      <c r="V74" s="16"/>
      <c r="W74" s="31"/>
      <c r="X74" s="4"/>
      <c r="Y74" s="4"/>
      <c r="Z74" s="4"/>
      <c r="AA74" s="4"/>
      <c r="AB74" s="4"/>
      <c r="AC74" s="4"/>
    </row>
    <row r="75" ht="15" spans="1:30">
      <c r="A75" t="s">
        <v>1181</v>
      </c>
      <c r="B75">
        <v>17.88</v>
      </c>
      <c r="C75">
        <v>15.21</v>
      </c>
      <c r="D75">
        <v>35.27</v>
      </c>
      <c r="E75" s="2">
        <v>961334767.64</v>
      </c>
      <c r="F75" t="s">
        <v>1182</v>
      </c>
      <c r="G75" s="16"/>
      <c r="H75" s="23"/>
      <c r="I75" s="16"/>
      <c r="J75">
        <v>0.92</v>
      </c>
      <c r="K75">
        <v>1.22</v>
      </c>
      <c r="L75">
        <v>5.1937</v>
      </c>
      <c r="M75"/>
      <c r="N75"/>
      <c r="O75"/>
      <c r="Q75" s="6"/>
      <c r="S75" s="18"/>
      <c r="W75" s="31"/>
      <c r="AD75" s="6"/>
    </row>
    <row r="76" s="6" customFormat="1" ht="15" spans="1:30">
      <c r="A76" t="s">
        <v>1183</v>
      </c>
      <c r="B76">
        <v>4.68</v>
      </c>
      <c r="C76">
        <v>2.03</v>
      </c>
      <c r="D76">
        <v>7.35</v>
      </c>
      <c r="E76" s="2">
        <v>109484813.07</v>
      </c>
      <c r="F76" t="s">
        <v>1184</v>
      </c>
      <c r="G76" s="14"/>
      <c r="H76" s="28"/>
      <c r="I76" s="17"/>
      <c r="J76">
        <v>1.7</v>
      </c>
      <c r="K76">
        <v>1.69</v>
      </c>
      <c r="L76">
        <v>25.3234</v>
      </c>
      <c r="M76">
        <v>29.8125</v>
      </c>
      <c r="N76"/>
      <c r="O76"/>
      <c r="P76" s="4"/>
      <c r="Q76" s="4"/>
      <c r="R76" s="4"/>
      <c r="S76" s="18"/>
      <c r="T76" s="14"/>
      <c r="U76" s="14"/>
      <c r="V76" s="16"/>
      <c r="W76" s="31"/>
      <c r="Y76" s="4"/>
      <c r="Z76" s="4"/>
      <c r="AA76" s="4"/>
      <c r="AB76" s="4"/>
      <c r="AD76" s="4"/>
    </row>
    <row r="77" ht="15" spans="1:23">
      <c r="A77" t="s">
        <v>1185</v>
      </c>
      <c r="B77">
        <v>2.17</v>
      </c>
      <c r="C77">
        <v>1.6</v>
      </c>
      <c r="D77">
        <v>2.92</v>
      </c>
      <c r="E77" s="2">
        <v>84307247.96</v>
      </c>
      <c r="F77" t="s">
        <v>1186</v>
      </c>
      <c r="G77" s="16"/>
      <c r="H77" s="27"/>
      <c r="I77" s="16"/>
      <c r="J77">
        <v>0.78</v>
      </c>
      <c r="K77">
        <v>0.6431</v>
      </c>
      <c r="L77"/>
      <c r="M77"/>
      <c r="N77"/>
      <c r="O77"/>
      <c r="P77" s="6"/>
      <c r="Q77" s="6"/>
      <c r="S77" s="19"/>
      <c r="U77" s="16"/>
      <c r="V77" s="16"/>
      <c r="W77" s="31"/>
    </row>
    <row r="78" ht="15" spans="1:29">
      <c r="A78" t="s">
        <v>1187</v>
      </c>
      <c r="B78">
        <v>5.79</v>
      </c>
      <c r="C78">
        <v>4.6</v>
      </c>
      <c r="D78">
        <v>7.69</v>
      </c>
      <c r="E78" s="2">
        <v>430719163.2</v>
      </c>
      <c r="F78" t="s">
        <v>1188</v>
      </c>
      <c r="G78" s="16"/>
      <c r="H78" s="27"/>
      <c r="I78" s="16"/>
      <c r="J78">
        <v>1.66</v>
      </c>
      <c r="K78">
        <v>4.12</v>
      </c>
      <c r="L78">
        <v>20.3776</v>
      </c>
      <c r="M78">
        <v>26.8182</v>
      </c>
      <c r="N78"/>
      <c r="O78"/>
      <c r="P78" s="6"/>
      <c r="Q78" s="6"/>
      <c r="S78" s="19"/>
      <c r="U78" s="16"/>
      <c r="W78" s="31"/>
      <c r="AA78" s="6"/>
      <c r="AB78" s="6"/>
      <c r="AC78" s="6"/>
    </row>
    <row r="79" ht="15" spans="1:28">
      <c r="A79" t="s">
        <v>1189</v>
      </c>
      <c r="B79">
        <v>4.84</v>
      </c>
      <c r="C79">
        <v>3.66</v>
      </c>
      <c r="D79">
        <v>12.24</v>
      </c>
      <c r="E79" s="2">
        <v>2779849160</v>
      </c>
      <c r="F79" t="s">
        <v>1190</v>
      </c>
      <c r="H79" s="25"/>
      <c r="I79" s="17"/>
      <c r="J79">
        <v>0.48</v>
      </c>
      <c r="K79">
        <v>0.33</v>
      </c>
      <c r="L79">
        <v>10.5217</v>
      </c>
      <c r="M79"/>
      <c r="N79"/>
      <c r="O79"/>
      <c r="S79" s="18"/>
      <c r="U79" s="16"/>
      <c r="W79" s="31"/>
      <c r="X79" s="6"/>
      <c r="AA79" s="6"/>
      <c r="AB79" s="6"/>
    </row>
    <row r="80" ht="15" spans="1:24">
      <c r="A80" t="s">
        <v>611</v>
      </c>
      <c r="B80">
        <v>0.3143</v>
      </c>
      <c r="C80">
        <v>0.2159</v>
      </c>
      <c r="D80">
        <v>1.32</v>
      </c>
      <c r="E80" s="2">
        <v>26578588.55</v>
      </c>
      <c r="F80" t="s">
        <v>612</v>
      </c>
      <c r="G80" s="16"/>
      <c r="H80" s="26"/>
      <c r="I80" s="16"/>
      <c r="J80">
        <v>0.12</v>
      </c>
      <c r="K80">
        <v>1.0575</v>
      </c>
      <c r="L80">
        <v>1.1425</v>
      </c>
      <c r="M80"/>
      <c r="N80"/>
      <c r="O80"/>
      <c r="P80" s="6"/>
      <c r="Q80" s="6"/>
      <c r="R80" s="6"/>
      <c r="S80" s="19"/>
      <c r="U80" s="16"/>
      <c r="V80" s="16"/>
      <c r="W80" s="31"/>
      <c r="X80" s="6"/>
    </row>
    <row r="81" ht="15" spans="1:28">
      <c r="A81" t="s">
        <v>705</v>
      </c>
      <c r="B81">
        <v>71.02</v>
      </c>
      <c r="C81">
        <v>57.2</v>
      </c>
      <c r="D81">
        <v>95.06</v>
      </c>
      <c r="E81" s="2">
        <v>180224940379.92</v>
      </c>
      <c r="F81" t="s">
        <v>706</v>
      </c>
      <c r="G81" s="16"/>
      <c r="H81" s="23"/>
      <c r="I81" s="16"/>
      <c r="J81">
        <v>5.36</v>
      </c>
      <c r="K81">
        <v>12</v>
      </c>
      <c r="L81">
        <v>48.2738</v>
      </c>
      <c r="M81">
        <v>17.701</v>
      </c>
      <c r="N81"/>
      <c r="O81"/>
      <c r="P81" s="6"/>
      <c r="Q81" s="6"/>
      <c r="R81" s="6"/>
      <c r="S81" s="19"/>
      <c r="W81" s="31"/>
      <c r="X81" s="6"/>
      <c r="AA81" s="6"/>
      <c r="AB81" s="6"/>
    </row>
    <row r="82" s="6" customFormat="1" ht="15" spans="1:30">
      <c r="A82" t="s">
        <v>629</v>
      </c>
      <c r="B82">
        <v>19.87</v>
      </c>
      <c r="C82">
        <v>15.03</v>
      </c>
      <c r="D82">
        <v>22.86</v>
      </c>
      <c r="E82" s="2">
        <v>1760824993.26</v>
      </c>
      <c r="F82" t="s">
        <v>630</v>
      </c>
      <c r="G82" s="16"/>
      <c r="H82" s="27"/>
      <c r="I82" s="16"/>
      <c r="J82">
        <v>2.81</v>
      </c>
      <c r="K82">
        <v>3.22</v>
      </c>
      <c r="L82"/>
      <c r="M82"/>
      <c r="N82"/>
      <c r="O82"/>
      <c r="S82" s="19"/>
      <c r="T82" s="16"/>
      <c r="U82" s="16"/>
      <c r="V82" s="16"/>
      <c r="W82" s="31"/>
      <c r="X82" s="4"/>
      <c r="Y82" s="4"/>
      <c r="Z82" s="4"/>
      <c r="AD82" s="4"/>
    </row>
    <row r="83" ht="15" spans="1:28">
      <c r="A83" t="s">
        <v>617</v>
      </c>
      <c r="B83">
        <v>4.43</v>
      </c>
      <c r="C83">
        <v>3.75</v>
      </c>
      <c r="D83">
        <v>6.12</v>
      </c>
      <c r="E83" s="2">
        <v>495000000</v>
      </c>
      <c r="F83" t="s">
        <v>618</v>
      </c>
      <c r="G83" s="16"/>
      <c r="H83" s="27"/>
      <c r="I83" s="16"/>
      <c r="J83">
        <v>1.02</v>
      </c>
      <c r="K83">
        <v>0.23</v>
      </c>
      <c r="L83">
        <v>19.77</v>
      </c>
      <c r="M83">
        <v>15</v>
      </c>
      <c r="N83"/>
      <c r="O83"/>
      <c r="P83" s="6"/>
      <c r="Q83" s="6"/>
      <c r="R83" s="6"/>
      <c r="S83" s="19"/>
      <c r="V83" s="16"/>
      <c r="W83" s="31"/>
      <c r="X83" s="6"/>
      <c r="AA83" s="6"/>
      <c r="AB83" s="6"/>
    </row>
    <row r="84" ht="15" spans="1:23">
      <c r="A84" t="s">
        <v>621</v>
      </c>
      <c r="B84">
        <v>7.24</v>
      </c>
      <c r="C84">
        <v>5.56</v>
      </c>
      <c r="D84">
        <v>12.49</v>
      </c>
      <c r="E84" s="2">
        <v>422832968.25</v>
      </c>
      <c r="F84" t="s">
        <v>622</v>
      </c>
      <c r="G84" s="16"/>
      <c r="H84" s="23"/>
      <c r="I84" s="16"/>
      <c r="J84">
        <v>0.85</v>
      </c>
      <c r="K84">
        <v>1.05</v>
      </c>
      <c r="L84">
        <v>27.5062</v>
      </c>
      <c r="M84">
        <v>14.7</v>
      </c>
      <c r="N84"/>
      <c r="O84"/>
      <c r="P84" s="6"/>
      <c r="Q84" s="6"/>
      <c r="R84" s="6"/>
      <c r="S84" s="19"/>
      <c r="T84" s="16"/>
      <c r="W84" s="31"/>
    </row>
    <row r="85" ht="15" spans="1:23">
      <c r="A85" t="s">
        <v>38</v>
      </c>
      <c r="B85">
        <v>8.06</v>
      </c>
      <c r="C85">
        <v>5.65</v>
      </c>
      <c r="D85">
        <v>18.9</v>
      </c>
      <c r="E85" s="2">
        <v>5135567600</v>
      </c>
      <c r="F85" t="s">
        <v>39</v>
      </c>
      <c r="H85" s="28"/>
      <c r="I85" s="17"/>
      <c r="J85">
        <v>1.76</v>
      </c>
      <c r="K85">
        <v>3.04</v>
      </c>
      <c r="L85"/>
      <c r="M85"/>
      <c r="N85"/>
      <c r="O85"/>
      <c r="S85" s="18"/>
      <c r="V85" s="16"/>
      <c r="W85" s="31"/>
    </row>
    <row r="86" ht="15" spans="1:30">
      <c r="A86" t="s">
        <v>825</v>
      </c>
      <c r="B86">
        <v>43</v>
      </c>
      <c r="C86">
        <v>31.92</v>
      </c>
      <c r="D86">
        <v>61.25</v>
      </c>
      <c r="E86" s="2">
        <v>2619302093.64</v>
      </c>
      <c r="F86" t="s">
        <v>826</v>
      </c>
      <c r="G86" s="16"/>
      <c r="H86" s="23"/>
      <c r="I86" s="16"/>
      <c r="J86">
        <v>1.26</v>
      </c>
      <c r="K86">
        <v>3.01</v>
      </c>
      <c r="L86">
        <v>50.02</v>
      </c>
      <c r="M86">
        <v>40.7757</v>
      </c>
      <c r="N86"/>
      <c r="O86"/>
      <c r="P86" s="6"/>
      <c r="Q86" s="6"/>
      <c r="R86" s="6"/>
      <c r="S86" s="19"/>
      <c r="U86" s="16"/>
      <c r="V86" s="16"/>
      <c r="W86" s="31"/>
      <c r="X86" s="6"/>
      <c r="AD86" s="6"/>
    </row>
    <row r="87" ht="15" spans="1:29">
      <c r="A87" t="s">
        <v>668</v>
      </c>
      <c r="B87">
        <v>20.75</v>
      </c>
      <c r="C87">
        <v>15</v>
      </c>
      <c r="D87">
        <v>27.06</v>
      </c>
      <c r="E87" s="2">
        <v>1223229441</v>
      </c>
      <c r="F87" t="s">
        <v>669</v>
      </c>
      <c r="H87" s="28"/>
      <c r="I87" s="17"/>
      <c r="J87">
        <v>2</v>
      </c>
      <c r="K87">
        <v>2.27</v>
      </c>
      <c r="L87">
        <v>15.01</v>
      </c>
      <c r="M87">
        <v>15.4412</v>
      </c>
      <c r="N87"/>
      <c r="O87"/>
      <c r="S87" s="18"/>
      <c r="T87" s="16"/>
      <c r="V87" s="16"/>
      <c r="W87" s="31"/>
      <c r="Y87" s="6"/>
      <c r="Z87" s="6"/>
      <c r="AA87" s="6"/>
      <c r="AB87" s="6"/>
      <c r="AC87" s="6"/>
    </row>
    <row r="88" s="6" customFormat="1" ht="14.25" spans="1:30">
      <c r="A88" t="s">
        <v>658</v>
      </c>
      <c r="B88">
        <v>4.5</v>
      </c>
      <c r="C88">
        <v>2.93</v>
      </c>
      <c r="D88">
        <v>24.7</v>
      </c>
      <c r="E88" s="2">
        <v>82702515.35</v>
      </c>
      <c r="F88" t="s">
        <v>659</v>
      </c>
      <c r="G88" s="16"/>
      <c r="H88" s="23"/>
      <c r="I88" s="16"/>
      <c r="J88">
        <v>-0.12</v>
      </c>
      <c r="K88">
        <v>0.05</v>
      </c>
      <c r="L88"/>
      <c r="M88"/>
      <c r="N88"/>
      <c r="O88"/>
      <c r="P88" s="4"/>
      <c r="R88" s="4"/>
      <c r="S88" s="18"/>
      <c r="T88" s="14"/>
      <c r="U88" s="14"/>
      <c r="V88" s="14"/>
      <c r="W88" s="31"/>
      <c r="X88" s="4"/>
      <c r="AA88" s="4"/>
      <c r="AB88" s="4"/>
      <c r="AD88" s="4"/>
    </row>
    <row r="89" s="6" customFormat="1" ht="14.25" spans="1:29">
      <c r="A89" t="s">
        <v>631</v>
      </c>
      <c r="B89">
        <v>140.06</v>
      </c>
      <c r="C89">
        <v>94.17</v>
      </c>
      <c r="D89">
        <v>186.45</v>
      </c>
      <c r="E89" s="2">
        <v>18527055299.02</v>
      </c>
      <c r="F89" t="s">
        <v>632</v>
      </c>
      <c r="G89" s="14"/>
      <c r="H89" s="25"/>
      <c r="I89" s="17"/>
      <c r="J89">
        <v>4.16</v>
      </c>
      <c r="K89">
        <v>5.26</v>
      </c>
      <c r="L89">
        <v>26.0354</v>
      </c>
      <c r="M89">
        <v>19.9901</v>
      </c>
      <c r="N89"/>
      <c r="O89"/>
      <c r="P89" s="4"/>
      <c r="Q89" s="4"/>
      <c r="R89" s="4"/>
      <c r="S89" s="18"/>
      <c r="T89" s="16"/>
      <c r="U89" s="16"/>
      <c r="V89" s="14"/>
      <c r="W89" s="31"/>
      <c r="X89" s="4"/>
      <c r="Y89" s="4"/>
      <c r="Z89" s="4"/>
      <c r="AA89" s="4"/>
      <c r="AB89" s="4"/>
      <c r="AC89" s="4"/>
    </row>
    <row r="90" s="6" customFormat="1" ht="15" spans="1:29">
      <c r="A90" t="s">
        <v>730</v>
      </c>
      <c r="B90">
        <v>23.77</v>
      </c>
      <c r="C90">
        <v>18.66</v>
      </c>
      <c r="D90">
        <v>37.96</v>
      </c>
      <c r="E90" s="2">
        <v>1347776708.08</v>
      </c>
      <c r="F90" t="s">
        <v>731</v>
      </c>
      <c r="G90" s="14"/>
      <c r="H90" s="28"/>
      <c r="I90" s="14"/>
      <c r="J90">
        <v>3.53</v>
      </c>
      <c r="K90">
        <v>4.3</v>
      </c>
      <c r="L90">
        <v>15.45</v>
      </c>
      <c r="M90">
        <v>16.0133</v>
      </c>
      <c r="N90"/>
      <c r="O90"/>
      <c r="P90" s="4"/>
      <c r="Q90" s="33"/>
      <c r="R90" s="4"/>
      <c r="S90" s="18"/>
      <c r="T90" s="14"/>
      <c r="U90" s="14"/>
      <c r="V90" s="14"/>
      <c r="W90" s="34"/>
      <c r="X90" s="4"/>
      <c r="Y90" s="4"/>
      <c r="Z90" s="4"/>
      <c r="AA90" s="4"/>
      <c r="AB90" s="4"/>
      <c r="AC90" s="4"/>
    </row>
    <row r="91" s="6" customFormat="1" ht="15" spans="1:30">
      <c r="A91" t="s">
        <v>698</v>
      </c>
      <c r="B91">
        <v>5.87</v>
      </c>
      <c r="C91">
        <v>4.37</v>
      </c>
      <c r="D91">
        <v>10.01</v>
      </c>
      <c r="E91" s="2">
        <v>2561992456</v>
      </c>
      <c r="F91" t="s">
        <v>699</v>
      </c>
      <c r="G91" s="14"/>
      <c r="H91" s="28"/>
      <c r="I91" s="17"/>
      <c r="J91">
        <v>3.35</v>
      </c>
      <c r="K91">
        <v>3.16</v>
      </c>
      <c r="L91">
        <v>13</v>
      </c>
      <c r="M91">
        <v>24.7083</v>
      </c>
      <c r="N91"/>
      <c r="O91"/>
      <c r="P91" s="4"/>
      <c r="Q91" s="4"/>
      <c r="R91" s="4"/>
      <c r="S91" s="18"/>
      <c r="T91" s="14"/>
      <c r="U91" s="14"/>
      <c r="V91" s="14"/>
      <c r="W91" s="31"/>
      <c r="X91" s="4"/>
      <c r="AA91" s="4"/>
      <c r="AB91" s="4"/>
      <c r="AC91" s="4"/>
      <c r="AD91" s="4"/>
    </row>
    <row r="92" ht="15" spans="1:30">
      <c r="A92" t="s">
        <v>148</v>
      </c>
      <c r="B92">
        <v>1.03</v>
      </c>
      <c r="C92">
        <v>0.49</v>
      </c>
      <c r="D92">
        <v>1.45</v>
      </c>
      <c r="E92" s="2">
        <v>68602042.08</v>
      </c>
      <c r="F92" t="s">
        <v>149</v>
      </c>
      <c r="H92" s="23"/>
      <c r="I92" s="17"/>
      <c r="J92">
        <v>0.26</v>
      </c>
      <c r="K92">
        <v>0.07</v>
      </c>
      <c r="L92">
        <v>1.7931</v>
      </c>
      <c r="M92"/>
      <c r="N92"/>
      <c r="O92"/>
      <c r="S92" s="18"/>
      <c r="U92" s="16"/>
      <c r="W92" s="31"/>
      <c r="AA92" s="6"/>
      <c r="AB92" s="6"/>
      <c r="AD92" s="6"/>
    </row>
    <row r="93" ht="15" spans="1:30">
      <c r="A93" t="s">
        <v>607</v>
      </c>
      <c r="B93">
        <v>2.25</v>
      </c>
      <c r="C93">
        <v>1.51</v>
      </c>
      <c r="D93">
        <v>3.3</v>
      </c>
      <c r="E93" s="2">
        <v>224102276.9</v>
      </c>
      <c r="F93" t="s">
        <v>608</v>
      </c>
      <c r="H93" s="28"/>
      <c r="I93" s="17"/>
      <c r="J93">
        <v>1.75</v>
      </c>
      <c r="K93">
        <v>0.46</v>
      </c>
      <c r="L93">
        <v>116.6266</v>
      </c>
      <c r="M93"/>
      <c r="N93"/>
      <c r="O93"/>
      <c r="S93" s="18"/>
      <c r="V93" s="16"/>
      <c r="W93" s="31"/>
      <c r="AC93" s="6"/>
      <c r="AD93" s="6"/>
    </row>
    <row r="94" ht="15" spans="1:23">
      <c r="A94" t="s">
        <v>1191</v>
      </c>
      <c r="B94">
        <v>1.15</v>
      </c>
      <c r="C94">
        <v>0.62</v>
      </c>
      <c r="D94">
        <v>2.95</v>
      </c>
      <c r="E94">
        <v>5254800</v>
      </c>
      <c r="F94" t="s">
        <v>1192</v>
      </c>
      <c r="H94" s="28"/>
      <c r="I94" s="17"/>
      <c r="J94">
        <v>0.65</v>
      </c>
      <c r="K94">
        <v>0.75</v>
      </c>
      <c r="L94">
        <v>32.8162</v>
      </c>
      <c r="M94">
        <v>11.6</v>
      </c>
      <c r="N94"/>
      <c r="O94"/>
      <c r="S94" s="18"/>
      <c r="U94" s="16"/>
      <c r="V94" s="16"/>
      <c r="W94" s="31"/>
    </row>
    <row r="95" s="6" customFormat="1" ht="15" spans="1:30">
      <c r="A95" t="s">
        <v>571</v>
      </c>
      <c r="B95">
        <v>2.25</v>
      </c>
      <c r="C95">
        <v>0.9</v>
      </c>
      <c r="D95">
        <v>4.49</v>
      </c>
      <c r="E95" s="2">
        <v>52666270</v>
      </c>
      <c r="F95" t="s">
        <v>572</v>
      </c>
      <c r="G95" s="16"/>
      <c r="H95" s="27"/>
      <c r="I95" s="16"/>
      <c r="J95">
        <v>-6.8</v>
      </c>
      <c r="K95">
        <v>5.5641</v>
      </c>
      <c r="L95"/>
      <c r="M95"/>
      <c r="N95"/>
      <c r="O95"/>
      <c r="S95" s="19"/>
      <c r="T95" s="14"/>
      <c r="U95" s="14"/>
      <c r="V95" s="16"/>
      <c r="W95" s="31"/>
      <c r="X95" s="4"/>
      <c r="Y95" s="4"/>
      <c r="Z95" s="4"/>
      <c r="AA95" s="4"/>
      <c r="AB95" s="4"/>
      <c r="AD95" s="4"/>
    </row>
    <row r="96" ht="15" spans="1:28">
      <c r="A96" t="s">
        <v>627</v>
      </c>
      <c r="B96">
        <v>9.37</v>
      </c>
      <c r="C96">
        <v>7.34</v>
      </c>
      <c r="D96">
        <v>19.87</v>
      </c>
      <c r="E96" s="2">
        <v>48252238.65</v>
      </c>
      <c r="F96" t="s">
        <v>628</v>
      </c>
      <c r="G96" s="16"/>
      <c r="H96" s="27"/>
      <c r="I96" s="16"/>
      <c r="J96">
        <v>-2.37</v>
      </c>
      <c r="K96">
        <v>0.57</v>
      </c>
      <c r="L96"/>
      <c r="M96"/>
      <c r="N96"/>
      <c r="O96"/>
      <c r="P96" s="6"/>
      <c r="Q96" s="6"/>
      <c r="R96" s="6"/>
      <c r="S96" s="19"/>
      <c r="T96" s="16"/>
      <c r="U96" s="16"/>
      <c r="W96" s="31"/>
      <c r="AA96" s="6"/>
      <c r="AB96" s="6"/>
    </row>
    <row r="97" ht="15" spans="1:23">
      <c r="A97" t="s">
        <v>429</v>
      </c>
      <c r="B97">
        <v>177.3</v>
      </c>
      <c r="C97">
        <v>100</v>
      </c>
      <c r="D97">
        <v>223.95</v>
      </c>
      <c r="E97" s="2">
        <v>61711807980</v>
      </c>
      <c r="F97" t="s">
        <v>430</v>
      </c>
      <c r="H97" s="28"/>
      <c r="I97" s="17"/>
      <c r="J97">
        <v>5.02</v>
      </c>
      <c r="K97">
        <v>6.03</v>
      </c>
      <c r="L97">
        <v>36.6375</v>
      </c>
      <c r="M97">
        <v>32.8821</v>
      </c>
      <c r="N97"/>
      <c r="O97"/>
      <c r="S97" s="18"/>
      <c r="T97" s="16"/>
      <c r="W97" s="31"/>
    </row>
    <row r="98" s="6" customFormat="1" ht="15" spans="1:30">
      <c r="A98" t="s">
        <v>1193</v>
      </c>
      <c r="B98">
        <v>1.19</v>
      </c>
      <c r="C98">
        <v>1.02</v>
      </c>
      <c r="D98">
        <v>2.89</v>
      </c>
      <c r="E98" s="2">
        <v>27288000</v>
      </c>
      <c r="F98" t="s">
        <v>1194</v>
      </c>
      <c r="G98" s="14"/>
      <c r="H98" s="28"/>
      <c r="I98" s="14"/>
      <c r="J98">
        <v>0.85</v>
      </c>
      <c r="K98">
        <v>0.48</v>
      </c>
      <c r="L98"/>
      <c r="M98"/>
      <c r="N98"/>
      <c r="O98"/>
      <c r="P98" s="4"/>
      <c r="Q98" s="4"/>
      <c r="R98" s="4"/>
      <c r="S98" s="18"/>
      <c r="T98" s="14"/>
      <c r="U98" s="16"/>
      <c r="V98" s="14"/>
      <c r="W98" s="31"/>
      <c r="X98" s="4"/>
      <c r="Y98" s="4"/>
      <c r="Z98" s="4"/>
      <c r="AA98" s="4"/>
      <c r="AB98" s="4"/>
      <c r="AC98" s="4"/>
      <c r="AD98" s="4"/>
    </row>
    <row r="99" ht="15" spans="1:23">
      <c r="A99" t="s">
        <v>774</v>
      </c>
      <c r="B99">
        <v>10.07</v>
      </c>
      <c r="C99">
        <v>6.65</v>
      </c>
      <c r="D99">
        <v>14.83</v>
      </c>
      <c r="E99" s="2">
        <v>551947557.72</v>
      </c>
      <c r="F99" t="s">
        <v>775</v>
      </c>
      <c r="H99" s="27"/>
      <c r="I99" s="17"/>
      <c r="J99">
        <v>2.9</v>
      </c>
      <c r="K99">
        <v>3.29</v>
      </c>
      <c r="L99">
        <v>24.96</v>
      </c>
      <c r="M99">
        <v>27.4054</v>
      </c>
      <c r="N99"/>
      <c r="O99"/>
      <c r="S99" s="18"/>
      <c r="T99" s="16"/>
      <c r="W99" s="31"/>
    </row>
    <row r="100" s="6" customFormat="1" ht="15" spans="1:30">
      <c r="A100" t="s">
        <v>792</v>
      </c>
      <c r="B100">
        <v>4.4</v>
      </c>
      <c r="C100">
        <v>2.72</v>
      </c>
      <c r="D100">
        <v>6.54</v>
      </c>
      <c r="E100" s="2">
        <v>383954722.85</v>
      </c>
      <c r="F100" t="s">
        <v>793</v>
      </c>
      <c r="G100" s="14"/>
      <c r="H100" s="27"/>
      <c r="I100" s="17"/>
      <c r="J100">
        <v>0.94</v>
      </c>
      <c r="K100">
        <v>1.12</v>
      </c>
      <c r="L100">
        <v>11.7</v>
      </c>
      <c r="M100"/>
      <c r="N100"/>
      <c r="O100"/>
      <c r="P100" s="4"/>
      <c r="Q100" s="4"/>
      <c r="R100" s="4"/>
      <c r="S100" s="18"/>
      <c r="T100" s="14"/>
      <c r="U100" s="14"/>
      <c r="V100" s="14"/>
      <c r="W100" s="31"/>
      <c r="X100" s="4"/>
      <c r="Y100" s="4"/>
      <c r="Z100" s="4"/>
      <c r="AA100" s="4"/>
      <c r="AB100" s="4"/>
      <c r="AD100" s="4"/>
    </row>
    <row r="101" ht="15" spans="1:30">
      <c r="A101" t="s">
        <v>643</v>
      </c>
      <c r="B101">
        <v>6.73</v>
      </c>
      <c r="C101">
        <v>5.56</v>
      </c>
      <c r="D101">
        <v>11.5</v>
      </c>
      <c r="E101" s="2">
        <v>547919246.63</v>
      </c>
      <c r="F101" t="s">
        <v>644</v>
      </c>
      <c r="H101" s="28"/>
      <c r="I101" s="17"/>
      <c r="J101">
        <v>5.64</v>
      </c>
      <c r="K101">
        <v>0.38</v>
      </c>
      <c r="L101"/>
      <c r="M101"/>
      <c r="N101"/>
      <c r="O101"/>
      <c r="S101" s="18"/>
      <c r="W101" s="31"/>
      <c r="X101" s="6"/>
      <c r="Y101" s="6"/>
      <c r="Z101" s="6"/>
      <c r="AA101" s="6"/>
      <c r="AB101" s="6"/>
      <c r="AD101" s="6"/>
    </row>
    <row r="102" ht="15" spans="1:24">
      <c r="A102" t="s">
        <v>647</v>
      </c>
      <c r="B102">
        <v>3.27</v>
      </c>
      <c r="C102">
        <v>2.35</v>
      </c>
      <c r="D102">
        <v>4.45</v>
      </c>
      <c r="E102" s="2">
        <v>1124554265.03</v>
      </c>
      <c r="F102" t="s">
        <v>648</v>
      </c>
      <c r="G102" s="16"/>
      <c r="H102" s="23"/>
      <c r="I102" s="16"/>
      <c r="J102">
        <v>1.21</v>
      </c>
      <c r="K102">
        <v>20.25</v>
      </c>
      <c r="L102"/>
      <c r="M102"/>
      <c r="N102"/>
      <c r="O102"/>
      <c r="P102" s="6"/>
      <c r="Q102" s="6"/>
      <c r="S102" s="19"/>
      <c r="T102" s="16"/>
      <c r="U102" s="16"/>
      <c r="W102" s="31"/>
      <c r="X102" s="6"/>
    </row>
    <row r="103" s="6" customFormat="1" ht="15" spans="1:30">
      <c r="A103" t="s">
        <v>259</v>
      </c>
      <c r="B103">
        <v>13.56</v>
      </c>
      <c r="C103">
        <v>7.13</v>
      </c>
      <c r="D103">
        <v>13.65</v>
      </c>
      <c r="E103" s="2">
        <v>855498590.32</v>
      </c>
      <c r="F103" t="s">
        <v>260</v>
      </c>
      <c r="G103" s="14"/>
      <c r="H103" s="28"/>
      <c r="I103" s="17"/>
      <c r="J103">
        <v>3.67</v>
      </c>
      <c r="K103">
        <v>2.66</v>
      </c>
      <c r="L103">
        <v>23.75</v>
      </c>
      <c r="M103">
        <v>1364</v>
      </c>
      <c r="N103"/>
      <c r="O103"/>
      <c r="P103" s="4"/>
      <c r="Q103" s="4"/>
      <c r="R103" s="4"/>
      <c r="S103" s="18"/>
      <c r="T103" s="14"/>
      <c r="U103" s="14"/>
      <c r="V103" s="14"/>
      <c r="W103" s="31"/>
      <c r="X103" s="4"/>
      <c r="AA103" s="4"/>
      <c r="AB103" s="4"/>
      <c r="AC103" s="4"/>
      <c r="AD103" s="4"/>
    </row>
    <row r="104" ht="15" spans="1:29">
      <c r="A104" t="s">
        <v>599</v>
      </c>
      <c r="B104">
        <v>3.55</v>
      </c>
      <c r="C104">
        <v>2.15</v>
      </c>
      <c r="D104">
        <v>4</v>
      </c>
      <c r="E104" s="2">
        <v>127006348.56</v>
      </c>
      <c r="F104" t="s">
        <v>600</v>
      </c>
      <c r="H104" s="28"/>
      <c r="I104" s="17"/>
      <c r="J104">
        <v>1.47</v>
      </c>
      <c r="K104">
        <v>3.53</v>
      </c>
      <c r="L104"/>
      <c r="M104"/>
      <c r="N104"/>
      <c r="O104"/>
      <c r="S104" s="18"/>
      <c r="T104" s="16"/>
      <c r="V104" s="16"/>
      <c r="W104" s="31"/>
      <c r="AA104" s="6"/>
      <c r="AB104" s="6"/>
      <c r="AC104" s="6"/>
    </row>
    <row r="105" ht="15" spans="1:28">
      <c r="A105" t="s">
        <v>692</v>
      </c>
      <c r="B105">
        <v>5.49</v>
      </c>
      <c r="C105">
        <v>1.83</v>
      </c>
      <c r="D105">
        <v>7.7</v>
      </c>
      <c r="E105" s="2">
        <v>352347274.56</v>
      </c>
      <c r="F105" t="s">
        <v>693</v>
      </c>
      <c r="G105" s="16"/>
      <c r="H105" s="27"/>
      <c r="I105" s="16"/>
      <c r="J105">
        <v>1.6</v>
      </c>
      <c r="K105">
        <v>1.75</v>
      </c>
      <c r="L105"/>
      <c r="M105"/>
      <c r="N105"/>
      <c r="O105"/>
      <c r="P105" s="6"/>
      <c r="Q105" s="6"/>
      <c r="R105" s="6"/>
      <c r="S105" s="19"/>
      <c r="W105" s="31"/>
      <c r="X105" s="6"/>
      <c r="Y105" s="6"/>
      <c r="Z105" s="6"/>
      <c r="AA105" s="6"/>
      <c r="AB105" s="6"/>
    </row>
    <row r="106" s="6" customFormat="1" ht="15" spans="1:29">
      <c r="A106" t="s">
        <v>615</v>
      </c>
      <c r="B106">
        <v>3.8</v>
      </c>
      <c r="C106">
        <v>2.6</v>
      </c>
      <c r="D106">
        <v>4.42</v>
      </c>
      <c r="E106" s="2">
        <v>49684428.9</v>
      </c>
      <c r="F106" t="s">
        <v>616</v>
      </c>
      <c r="G106" s="16"/>
      <c r="H106" s="29"/>
      <c r="I106" s="14"/>
      <c r="J106">
        <v>0.91</v>
      </c>
      <c r="K106">
        <v>1.0301</v>
      </c>
      <c r="L106">
        <v>10.0526</v>
      </c>
      <c r="M106"/>
      <c r="N106"/>
      <c r="O106"/>
      <c r="P106" s="4"/>
      <c r="Q106" s="32"/>
      <c r="S106" s="19"/>
      <c r="T106" s="14"/>
      <c r="U106" s="14"/>
      <c r="V106" s="16"/>
      <c r="W106" s="31"/>
      <c r="Y106" s="4"/>
      <c r="Z106" s="4"/>
      <c r="AA106" s="4"/>
      <c r="AB106" s="4"/>
      <c r="AC106" s="4"/>
    </row>
    <row r="107" s="6" customFormat="1" ht="15" spans="1:30">
      <c r="A107" t="s">
        <v>1195</v>
      </c>
      <c r="B107">
        <v>7.11</v>
      </c>
      <c r="C107">
        <v>5.05</v>
      </c>
      <c r="D107">
        <v>14.85</v>
      </c>
      <c r="E107" s="2">
        <v>335322960</v>
      </c>
      <c r="F107" t="s">
        <v>1196</v>
      </c>
      <c r="G107" s="16"/>
      <c r="H107" s="27"/>
      <c r="I107" s="16"/>
      <c r="J107">
        <v>1.45</v>
      </c>
      <c r="K107">
        <v>1.71</v>
      </c>
      <c r="L107">
        <v>21.6364</v>
      </c>
      <c r="M107"/>
      <c r="N107"/>
      <c r="O107"/>
      <c r="P107" s="4"/>
      <c r="R107" s="4"/>
      <c r="S107" s="18"/>
      <c r="T107" s="16"/>
      <c r="U107" s="14"/>
      <c r="V107" s="16"/>
      <c r="W107" s="31"/>
      <c r="X107" s="4"/>
      <c r="Y107" s="4"/>
      <c r="Z107" s="4"/>
      <c r="AA107" s="4"/>
      <c r="AB107" s="4"/>
      <c r="AD107" s="4"/>
    </row>
    <row r="108" ht="15" spans="1:23">
      <c r="A108" t="s">
        <v>1197</v>
      </c>
      <c r="B108">
        <v>1.4</v>
      </c>
      <c r="C108">
        <v>1.19</v>
      </c>
      <c r="D108">
        <v>1.99</v>
      </c>
      <c r="E108" s="2">
        <v>492333994.6</v>
      </c>
      <c r="F108" t="s">
        <v>1198</v>
      </c>
      <c r="H108" s="28"/>
      <c r="J108">
        <v>0.38</v>
      </c>
      <c r="K108">
        <v>1.21</v>
      </c>
      <c r="L108"/>
      <c r="M108"/>
      <c r="N108"/>
      <c r="O108"/>
      <c r="Q108" s="33"/>
      <c r="S108" s="18"/>
      <c r="W108" s="34"/>
    </row>
    <row r="109" s="6" customFormat="1" ht="15" spans="1:30">
      <c r="A109" t="s">
        <v>1199</v>
      </c>
      <c r="B109">
        <v>5</v>
      </c>
      <c r="C109">
        <v>3.82</v>
      </c>
      <c r="D109">
        <v>7.07</v>
      </c>
      <c r="E109" s="2">
        <v>135455377.86</v>
      </c>
      <c r="F109" t="s">
        <v>1200</v>
      </c>
      <c r="G109" s="16"/>
      <c r="H109" s="27"/>
      <c r="I109" s="16"/>
      <c r="J109">
        <v>0.86</v>
      </c>
      <c r="K109">
        <v>0.61</v>
      </c>
      <c r="L109">
        <v>21.148</v>
      </c>
      <c r="M109">
        <v>31.375</v>
      </c>
      <c r="N109"/>
      <c r="O109"/>
      <c r="R109" s="4"/>
      <c r="S109" s="19"/>
      <c r="T109" s="14"/>
      <c r="U109" s="16"/>
      <c r="V109" s="16"/>
      <c r="W109" s="34"/>
      <c r="X109" s="4"/>
      <c r="Y109" s="4"/>
      <c r="Z109" s="4"/>
      <c r="AD109" s="4"/>
    </row>
    <row r="110" ht="15" spans="1:30">
      <c r="A110" t="s">
        <v>633</v>
      </c>
      <c r="B110">
        <v>0.3987</v>
      </c>
      <c r="C110">
        <v>0.378</v>
      </c>
      <c r="D110">
        <v>1.65</v>
      </c>
      <c r="E110" s="2">
        <v>10661733.9</v>
      </c>
      <c r="F110" t="s">
        <v>634</v>
      </c>
      <c r="G110" s="16"/>
      <c r="H110" s="23"/>
      <c r="I110" s="16"/>
      <c r="J110">
        <v>0.06</v>
      </c>
      <c r="K110">
        <v>0.1333</v>
      </c>
      <c r="L110">
        <v>1.8014</v>
      </c>
      <c r="M110"/>
      <c r="N110"/>
      <c r="O110"/>
      <c r="P110" s="6"/>
      <c r="Q110" s="6"/>
      <c r="R110" s="6"/>
      <c r="S110" s="19"/>
      <c r="W110" s="31"/>
      <c r="X110" s="6"/>
      <c r="AC110" s="6"/>
      <c r="AD110" s="6"/>
    </row>
    <row r="111" s="6" customFormat="1" ht="15" spans="1:30">
      <c r="A111" t="s">
        <v>619</v>
      </c>
      <c r="B111">
        <v>17.5</v>
      </c>
      <c r="C111">
        <v>12.62</v>
      </c>
      <c r="D111">
        <v>27.25</v>
      </c>
      <c r="E111" s="2">
        <v>630840559.05</v>
      </c>
      <c r="F111" t="s">
        <v>620</v>
      </c>
      <c r="G111" s="16"/>
      <c r="H111" s="26"/>
      <c r="I111" s="14"/>
      <c r="J111">
        <v>3.4</v>
      </c>
      <c r="K111">
        <v>4.29</v>
      </c>
      <c r="L111"/>
      <c r="M111"/>
      <c r="N111"/>
      <c r="O111"/>
      <c r="P111" s="4"/>
      <c r="Q111" s="32"/>
      <c r="S111" s="19"/>
      <c r="T111" s="14"/>
      <c r="U111" s="14"/>
      <c r="V111" s="14"/>
      <c r="W111" s="31"/>
      <c r="X111" s="4"/>
      <c r="Y111" s="4"/>
      <c r="Z111" s="4"/>
      <c r="AC111" s="4"/>
      <c r="AD111" s="4"/>
    </row>
    <row r="112" ht="15" spans="1:28">
      <c r="A112" t="s">
        <v>637</v>
      </c>
      <c r="B112">
        <v>10.46</v>
      </c>
      <c r="C112">
        <v>7.15</v>
      </c>
      <c r="D112">
        <v>13.33</v>
      </c>
      <c r="E112" s="2">
        <v>966380413.83</v>
      </c>
      <c r="F112" t="s">
        <v>638</v>
      </c>
      <c r="G112" s="16"/>
      <c r="H112" s="27"/>
      <c r="J112">
        <v>0.88</v>
      </c>
      <c r="K112">
        <v>0.32</v>
      </c>
      <c r="L112">
        <v>11.29</v>
      </c>
      <c r="M112">
        <v>22.3191</v>
      </c>
      <c r="N112"/>
      <c r="O112"/>
      <c r="Q112" s="32"/>
      <c r="R112" s="6"/>
      <c r="S112" s="19"/>
      <c r="W112" s="31"/>
      <c r="X112" s="6"/>
      <c r="AA112" s="6"/>
      <c r="AB112" s="6"/>
    </row>
    <row r="113" s="6" customFormat="1" ht="15" spans="1:30">
      <c r="A113" t="s">
        <v>760</v>
      </c>
      <c r="B113">
        <v>4</v>
      </c>
      <c r="C113">
        <v>3.28</v>
      </c>
      <c r="D113">
        <v>10.82</v>
      </c>
      <c r="E113" s="2">
        <v>540071628.04</v>
      </c>
      <c r="F113" t="s">
        <v>761</v>
      </c>
      <c r="G113" s="16"/>
      <c r="H113" s="27"/>
      <c r="I113" s="16"/>
      <c r="J113">
        <v>1.31</v>
      </c>
      <c r="K113">
        <v>1.3</v>
      </c>
      <c r="L113">
        <v>14.41</v>
      </c>
      <c r="M113">
        <v>11.7941</v>
      </c>
      <c r="N113"/>
      <c r="O113"/>
      <c r="S113" s="19"/>
      <c r="T113" s="14"/>
      <c r="U113" s="16"/>
      <c r="V113" s="14"/>
      <c r="W113" s="31"/>
      <c r="Y113" s="4"/>
      <c r="Z113" s="4"/>
      <c r="AD113" s="4"/>
    </row>
    <row r="114" ht="15" spans="1:30">
      <c r="A114" t="s">
        <v>821</v>
      </c>
      <c r="B114">
        <v>8.68</v>
      </c>
      <c r="C114">
        <v>4.69</v>
      </c>
      <c r="D114">
        <v>15.69</v>
      </c>
      <c r="E114" s="2">
        <v>234213857.1</v>
      </c>
      <c r="F114" t="s">
        <v>822</v>
      </c>
      <c r="G114" s="16"/>
      <c r="H114" s="27"/>
      <c r="I114" s="16"/>
      <c r="J114">
        <v>1.92</v>
      </c>
      <c r="K114">
        <v>1.08</v>
      </c>
      <c r="L114"/>
      <c r="M114"/>
      <c r="N114"/>
      <c r="O114"/>
      <c r="P114" s="6"/>
      <c r="Q114" s="6"/>
      <c r="R114" s="6"/>
      <c r="S114" s="19"/>
      <c r="W114" s="31"/>
      <c r="Y114" s="6"/>
      <c r="Z114" s="6"/>
      <c r="AD114" s="6"/>
    </row>
    <row r="115" ht="15" spans="1:29">
      <c r="A115" t="s">
        <v>609</v>
      </c>
      <c r="B115">
        <v>5.4</v>
      </c>
      <c r="C115">
        <v>2.46</v>
      </c>
      <c r="D115">
        <v>5.45</v>
      </c>
      <c r="E115" s="2">
        <v>337193782.11</v>
      </c>
      <c r="F115" t="s">
        <v>610</v>
      </c>
      <c r="H115" s="28"/>
      <c r="I115" s="17"/>
      <c r="J115">
        <v>2.96</v>
      </c>
      <c r="K115">
        <v>0.98</v>
      </c>
      <c r="L115">
        <v>42</v>
      </c>
      <c r="M115"/>
      <c r="N115"/>
      <c r="O115"/>
      <c r="S115" s="18"/>
      <c r="T115" s="16"/>
      <c r="U115" s="16"/>
      <c r="V115" s="16"/>
      <c r="W115" s="31"/>
      <c r="X115" s="6"/>
      <c r="Y115" s="6"/>
      <c r="Z115" s="6"/>
      <c r="AC115" s="6"/>
    </row>
    <row r="116" s="6" customFormat="1" ht="15" spans="1:30">
      <c r="A116" t="s">
        <v>1201</v>
      </c>
      <c r="B116">
        <v>5.71</v>
      </c>
      <c r="C116">
        <v>3.12</v>
      </c>
      <c r="D116">
        <v>5.73</v>
      </c>
      <c r="E116" s="2">
        <v>93913568.32</v>
      </c>
      <c r="F116" t="s">
        <v>1202</v>
      </c>
      <c r="G116" s="16"/>
      <c r="H116" s="26"/>
      <c r="I116" s="16"/>
      <c r="J116">
        <v>0.42</v>
      </c>
      <c r="K116">
        <v>0.35</v>
      </c>
      <c r="L116">
        <v>5.7778</v>
      </c>
      <c r="M116"/>
      <c r="N116"/>
      <c r="O116"/>
      <c r="R116" s="4"/>
      <c r="S116" s="18"/>
      <c r="T116" s="14"/>
      <c r="U116" s="14"/>
      <c r="V116" s="14"/>
      <c r="W116" s="31"/>
      <c r="Y116" s="4"/>
      <c r="Z116" s="4"/>
      <c r="AC116" s="4"/>
      <c r="AD116" s="4"/>
    </row>
    <row r="117" ht="15" spans="1:29">
      <c r="A117" t="s">
        <v>1203</v>
      </c>
      <c r="B117">
        <v>0.11</v>
      </c>
      <c r="C117">
        <v>0.1011</v>
      </c>
      <c r="D117">
        <v>0.63</v>
      </c>
      <c r="E117">
        <v>3235045.29</v>
      </c>
      <c r="F117" t="s">
        <v>1204</v>
      </c>
      <c r="G117" s="16"/>
      <c r="H117" s="29"/>
      <c r="J117">
        <v>0.03</v>
      </c>
      <c r="K117">
        <v>0.1092</v>
      </c>
      <c r="L117">
        <v>0.4787</v>
      </c>
      <c r="M117"/>
      <c r="N117"/>
      <c r="O117"/>
      <c r="Q117" s="32"/>
      <c r="R117" s="6"/>
      <c r="S117" s="19"/>
      <c r="W117" s="31"/>
      <c r="AC117" s="6"/>
    </row>
    <row r="118" ht="15" spans="1:24">
      <c r="A118" t="s">
        <v>762</v>
      </c>
      <c r="B118">
        <v>6.28</v>
      </c>
      <c r="C118">
        <v>4.9</v>
      </c>
      <c r="D118">
        <v>28.17</v>
      </c>
      <c r="E118" s="2">
        <v>913340255.12</v>
      </c>
      <c r="F118" t="s">
        <v>763</v>
      </c>
      <c r="H118" s="27"/>
      <c r="I118" s="17"/>
      <c r="J118">
        <v>1.66</v>
      </c>
      <c r="K118">
        <v>0.9</v>
      </c>
      <c r="L118">
        <v>23.29</v>
      </c>
      <c r="M118">
        <v>33.1053</v>
      </c>
      <c r="N118"/>
      <c r="O118"/>
      <c r="S118" s="18"/>
      <c r="T118" s="16"/>
      <c r="W118" s="31"/>
      <c r="X118" s="6"/>
    </row>
    <row r="119" ht="15" spans="1:30">
      <c r="A119" t="s">
        <v>1205</v>
      </c>
      <c r="B119">
        <v>1.15</v>
      </c>
      <c r="C119">
        <v>0.89</v>
      </c>
      <c r="D119">
        <v>1.88</v>
      </c>
      <c r="E119" s="2">
        <v>43997850</v>
      </c>
      <c r="F119" t="s">
        <v>1206</v>
      </c>
      <c r="G119" s="16"/>
      <c r="H119" s="27"/>
      <c r="I119" s="16"/>
      <c r="J119">
        <v>0.22</v>
      </c>
      <c r="K119">
        <v>0.2</v>
      </c>
      <c r="L119">
        <v>287.5</v>
      </c>
      <c r="M119"/>
      <c r="N119"/>
      <c r="O119"/>
      <c r="P119" s="6"/>
      <c r="Q119" s="6"/>
      <c r="S119" s="19"/>
      <c r="W119" s="31"/>
      <c r="AD119" s="6"/>
    </row>
    <row r="120" ht="15" spans="1:30">
      <c r="A120" t="s">
        <v>1207</v>
      </c>
      <c r="B120">
        <v>16.59</v>
      </c>
      <c r="C120">
        <v>10.15</v>
      </c>
      <c r="D120">
        <v>16.7</v>
      </c>
      <c r="E120" s="2">
        <v>366100000</v>
      </c>
      <c r="F120" t="s">
        <v>390</v>
      </c>
      <c r="H120" s="28"/>
      <c r="I120" s="17"/>
      <c r="J120">
        <v>0</v>
      </c>
      <c r="K120">
        <v>23.3662</v>
      </c>
      <c r="L120"/>
      <c r="M120"/>
      <c r="N120"/>
      <c r="O120"/>
      <c r="S120" s="18"/>
      <c r="U120" s="16"/>
      <c r="W120" s="31"/>
      <c r="AA120" s="6"/>
      <c r="AB120" s="6"/>
      <c r="AD120" s="6"/>
    </row>
    <row r="121" ht="15" spans="1:30">
      <c r="A121" t="s">
        <v>1208</v>
      </c>
      <c r="B121">
        <v>0.6</v>
      </c>
      <c r="C121">
        <v>0.54</v>
      </c>
      <c r="D121">
        <v>2.89</v>
      </c>
      <c r="E121" s="2">
        <v>13692790</v>
      </c>
      <c r="F121" t="s">
        <v>1209</v>
      </c>
      <c r="G121" s="16"/>
      <c r="H121" s="29"/>
      <c r="J121">
        <v>0.11</v>
      </c>
      <c r="K121"/>
      <c r="L121"/>
      <c r="M121"/>
      <c r="N121"/>
      <c r="O121"/>
      <c r="Q121" s="32"/>
      <c r="R121" s="6"/>
      <c r="S121" s="19"/>
      <c r="W121" s="31"/>
      <c r="AD121" s="6"/>
    </row>
    <row r="122" ht="15" spans="1:26">
      <c r="A122" t="s">
        <v>1210</v>
      </c>
      <c r="B122">
        <v>0.65</v>
      </c>
      <c r="C122">
        <v>0.58</v>
      </c>
      <c r="D122">
        <v>4.6</v>
      </c>
      <c r="E122" s="2">
        <v>38689891.5</v>
      </c>
      <c r="F122" t="s">
        <v>1211</v>
      </c>
      <c r="G122" s="16"/>
      <c r="H122" s="27"/>
      <c r="I122" s="16"/>
      <c r="J122">
        <v>0.02</v>
      </c>
      <c r="K122">
        <v>0.04</v>
      </c>
      <c r="L122"/>
      <c r="M122"/>
      <c r="N122"/>
      <c r="O122"/>
      <c r="Q122" s="6"/>
      <c r="S122" s="18"/>
      <c r="U122" s="16"/>
      <c r="V122" s="16"/>
      <c r="W122" s="31"/>
      <c r="Y122" s="6"/>
      <c r="Z122" s="6"/>
    </row>
    <row r="123" ht="15" spans="1:30">
      <c r="A123" t="s">
        <v>1212</v>
      </c>
      <c r="B123">
        <v>0</v>
      </c>
      <c r="C123">
        <v>4.95</v>
      </c>
      <c r="D123">
        <v>7.25</v>
      </c>
      <c r="E123">
        <v>0</v>
      </c>
      <c r="F123" t="s">
        <v>1213</v>
      </c>
      <c r="G123" s="16"/>
      <c r="H123" s="27"/>
      <c r="I123" s="16"/>
      <c r="J123">
        <v>0</v>
      </c>
      <c r="K123"/>
      <c r="L123"/>
      <c r="M123"/>
      <c r="N123"/>
      <c r="O123"/>
      <c r="P123" s="6"/>
      <c r="Q123" s="6"/>
      <c r="S123" s="19"/>
      <c r="T123" s="16"/>
      <c r="W123" s="31"/>
      <c r="AD123" s="6"/>
    </row>
    <row r="124" ht="15" spans="1:28">
      <c r="A124" t="s">
        <v>1214</v>
      </c>
      <c r="B124">
        <v>13.41</v>
      </c>
      <c r="C124">
        <v>9.1</v>
      </c>
      <c r="D124">
        <v>13.39</v>
      </c>
      <c r="E124" s="2">
        <v>498980000</v>
      </c>
      <c r="F124" t="s">
        <v>1215</v>
      </c>
      <c r="G124" s="16"/>
      <c r="H124" s="27"/>
      <c r="I124" s="16"/>
      <c r="J124">
        <v>0</v>
      </c>
      <c r="K124">
        <v>11.8673</v>
      </c>
      <c r="L124"/>
      <c r="M124"/>
      <c r="N124"/>
      <c r="O124"/>
      <c r="P124" s="6"/>
      <c r="Q124" s="6"/>
      <c r="R124" s="6"/>
      <c r="S124" s="19"/>
      <c r="T124" s="16"/>
      <c r="U124" s="16"/>
      <c r="V124" s="16"/>
      <c r="W124" s="31"/>
      <c r="X124" s="6"/>
      <c r="Y124" s="6"/>
      <c r="Z124" s="6"/>
      <c r="AA124" s="6"/>
      <c r="AB124" s="6"/>
    </row>
    <row r="125" ht="15" spans="1:28">
      <c r="A125" t="s">
        <v>1216</v>
      </c>
      <c r="B125">
        <v>0.12</v>
      </c>
      <c r="C125">
        <v>0.05</v>
      </c>
      <c r="D125">
        <v>0.34</v>
      </c>
      <c r="E125">
        <v>4071120</v>
      </c>
      <c r="F125" t="s">
        <v>1217</v>
      </c>
      <c r="G125" s="16"/>
      <c r="H125" s="27"/>
      <c r="I125" s="16"/>
      <c r="J125">
        <v>0.05</v>
      </c>
      <c r="K125">
        <v>0.01</v>
      </c>
      <c r="L125"/>
      <c r="M125"/>
      <c r="N125"/>
      <c r="O125"/>
      <c r="P125" s="6"/>
      <c r="Q125" s="6"/>
      <c r="R125" s="6"/>
      <c r="S125" s="19"/>
      <c r="W125" s="31"/>
      <c r="Y125" s="6"/>
      <c r="Z125" s="6"/>
      <c r="AA125" s="6"/>
      <c r="AB125" s="6"/>
    </row>
    <row r="126" s="6" customFormat="1" ht="15" spans="1:30">
      <c r="A126" t="s">
        <v>1218</v>
      </c>
      <c r="B126">
        <v>0.04</v>
      </c>
      <c r="C126">
        <v>0.01</v>
      </c>
      <c r="D126">
        <v>1.16</v>
      </c>
      <c r="E126">
        <v>1727360</v>
      </c>
      <c r="F126" t="s">
        <v>1219</v>
      </c>
      <c r="G126" s="14"/>
      <c r="H126" s="25"/>
      <c r="I126" s="17"/>
      <c r="J126">
        <v>0.01</v>
      </c>
      <c r="K126">
        <v>0.0021</v>
      </c>
      <c r="L126">
        <v>0.0691</v>
      </c>
      <c r="M126"/>
      <c r="N126"/>
      <c r="O126"/>
      <c r="P126" s="4"/>
      <c r="Q126" s="4"/>
      <c r="R126" s="4"/>
      <c r="S126" s="18"/>
      <c r="T126" s="14"/>
      <c r="U126" s="14"/>
      <c r="V126" s="14"/>
      <c r="W126" s="31"/>
      <c r="X126" s="4"/>
      <c r="Y126" s="4"/>
      <c r="Z126" s="4"/>
      <c r="AC126" s="4"/>
      <c r="AD126" s="4"/>
    </row>
    <row r="127" ht="15" spans="1:28">
      <c r="A127" t="s">
        <v>1220</v>
      </c>
      <c r="B127">
        <v>0.03</v>
      </c>
      <c r="C127">
        <v>0</v>
      </c>
      <c r="D127">
        <v>0.13</v>
      </c>
      <c r="E127">
        <v>1007760</v>
      </c>
      <c r="F127" t="s">
        <v>1221</v>
      </c>
      <c r="G127" s="16"/>
      <c r="H127" s="27"/>
      <c r="I127" s="16"/>
      <c r="J127">
        <v>0.01</v>
      </c>
      <c r="K127">
        <v>0</v>
      </c>
      <c r="L127">
        <v>0.0252</v>
      </c>
      <c r="M127"/>
      <c r="N127"/>
      <c r="O127"/>
      <c r="P127" s="6"/>
      <c r="Q127" s="6"/>
      <c r="S127" s="19"/>
      <c r="U127" s="16"/>
      <c r="V127" s="16"/>
      <c r="W127" s="31"/>
      <c r="AA127" s="6"/>
      <c r="AB127" s="6"/>
    </row>
    <row r="128" s="6" customFormat="1" ht="15" spans="1:30">
      <c r="A128" t="s">
        <v>1222</v>
      </c>
      <c r="B128">
        <v>0.65</v>
      </c>
      <c r="C128">
        <v>0.645</v>
      </c>
      <c r="D128">
        <v>1.81</v>
      </c>
      <c r="E128" s="2">
        <v>111041975.2</v>
      </c>
      <c r="F128" t="s">
        <v>1223</v>
      </c>
      <c r="G128" s="14"/>
      <c r="H128" s="28"/>
      <c r="I128" s="17"/>
      <c r="J128">
        <v>0.46</v>
      </c>
      <c r="K128">
        <v>12.9</v>
      </c>
      <c r="L128"/>
      <c r="M128"/>
      <c r="N128"/>
      <c r="O128"/>
      <c r="P128" s="4"/>
      <c r="Q128" s="4"/>
      <c r="R128" s="4"/>
      <c r="S128" s="18"/>
      <c r="T128" s="14"/>
      <c r="U128" s="16"/>
      <c r="V128" s="14"/>
      <c r="W128" s="31"/>
      <c r="X128" s="4"/>
      <c r="Y128" s="4"/>
      <c r="Z128" s="4"/>
      <c r="AA128" s="4"/>
      <c r="AB128" s="4"/>
      <c r="AC128" s="4"/>
      <c r="AD128" s="4"/>
    </row>
    <row r="129" ht="15" spans="1:28">
      <c r="A129" t="s">
        <v>1224</v>
      </c>
      <c r="B129">
        <v>0</v>
      </c>
      <c r="C129">
        <v>1.49</v>
      </c>
      <c r="D129">
        <v>25.1</v>
      </c>
      <c r="E129" s="2">
        <v>3680000000</v>
      </c>
      <c r="F129" t="s">
        <v>1225</v>
      </c>
      <c r="H129" s="28"/>
      <c r="I129" s="17"/>
      <c r="J129">
        <v>0</v>
      </c>
      <c r="K129"/>
      <c r="L129"/>
      <c r="M129"/>
      <c r="N129"/>
      <c r="O129"/>
      <c r="S129" s="18"/>
      <c r="T129" s="16"/>
      <c r="U129" s="16"/>
      <c r="W129" s="31"/>
      <c r="Y129" s="6"/>
      <c r="Z129" s="6"/>
      <c r="AA129" s="6"/>
      <c r="AB129" s="6"/>
    </row>
    <row r="130" ht="15" spans="1:29">
      <c r="A130" t="s">
        <v>798</v>
      </c>
      <c r="B130">
        <v>27.44</v>
      </c>
      <c r="C130">
        <v>11.85</v>
      </c>
      <c r="D130">
        <v>31.5</v>
      </c>
      <c r="E130" s="2">
        <v>5368804262.08</v>
      </c>
      <c r="F130" t="s">
        <v>799</v>
      </c>
      <c r="H130" s="27"/>
      <c r="I130" s="17"/>
      <c r="J130">
        <v>2.6</v>
      </c>
      <c r="K130">
        <v>5.95</v>
      </c>
      <c r="L130"/>
      <c r="M130"/>
      <c r="N130"/>
      <c r="O130"/>
      <c r="S130" s="18"/>
      <c r="T130" s="16"/>
      <c r="V130" s="16"/>
      <c r="W130" s="31"/>
      <c r="AC130" s="6"/>
    </row>
    <row r="131" ht="15" spans="1:30">
      <c r="A131" t="s">
        <v>1226</v>
      </c>
      <c r="B131">
        <v>27.94</v>
      </c>
      <c r="C131">
        <v>21.8</v>
      </c>
      <c r="D131">
        <v>33.83</v>
      </c>
      <c r="E131" s="2">
        <v>3306112902.62</v>
      </c>
      <c r="F131" t="s">
        <v>1227</v>
      </c>
      <c r="G131" s="16"/>
      <c r="H131" s="26"/>
      <c r="I131" s="16"/>
      <c r="J131">
        <v>2.09</v>
      </c>
      <c r="K131">
        <v>15.11</v>
      </c>
      <c r="L131">
        <v>18.7517</v>
      </c>
      <c r="M131"/>
      <c r="N131"/>
      <c r="O131"/>
      <c r="P131" s="6"/>
      <c r="Q131" s="6"/>
      <c r="R131" s="6"/>
      <c r="S131" s="19"/>
      <c r="U131" s="16"/>
      <c r="W131" s="31"/>
      <c r="Y131" s="6"/>
      <c r="Z131" s="6"/>
      <c r="AD131" s="6"/>
    </row>
    <row r="132" ht="14.25" spans="1:24">
      <c r="A132" t="s">
        <v>1228</v>
      </c>
      <c r="B132">
        <v>0</v>
      </c>
      <c r="C132">
        <v>0</v>
      </c>
      <c r="D132">
        <v>0</v>
      </c>
      <c r="E132">
        <v>0</v>
      </c>
      <c r="F132" t="s">
        <v>1229</v>
      </c>
      <c r="H132" s="25"/>
      <c r="I132" s="17"/>
      <c r="J132">
        <v>0</v>
      </c>
      <c r="K132">
        <v>56.4706</v>
      </c>
      <c r="L132"/>
      <c r="M132"/>
      <c r="N132"/>
      <c r="O132"/>
      <c r="S132" s="18"/>
      <c r="W132" s="31"/>
      <c r="X132" s="6"/>
    </row>
    <row r="133" ht="14.25" spans="1:23">
      <c r="A133" t="s">
        <v>1230</v>
      </c>
      <c r="B133">
        <v>0.07</v>
      </c>
      <c r="C133">
        <v>0.05</v>
      </c>
      <c r="D133">
        <v>0.8</v>
      </c>
      <c r="E133">
        <v>3595914.84</v>
      </c>
      <c r="F133" t="s">
        <v>1231</v>
      </c>
      <c r="H133" s="23"/>
      <c r="J133">
        <v>0</v>
      </c>
      <c r="K133"/>
      <c r="L133"/>
      <c r="M133"/>
      <c r="N133"/>
      <c r="O133"/>
      <c r="S133" s="18"/>
      <c r="U133" s="16"/>
      <c r="V133" s="16"/>
      <c r="W133" s="31"/>
    </row>
    <row r="134" ht="15" spans="1:28">
      <c r="A134" t="s">
        <v>1232</v>
      </c>
      <c r="B134">
        <v>0.04</v>
      </c>
      <c r="C134">
        <v>0.01</v>
      </c>
      <c r="D134">
        <v>0.25</v>
      </c>
      <c r="E134">
        <v>801560</v>
      </c>
      <c r="F134" t="s">
        <v>1233</v>
      </c>
      <c r="H134" s="28"/>
      <c r="I134" s="17"/>
      <c r="J134">
        <v>0.03</v>
      </c>
      <c r="K134">
        <v>0.023</v>
      </c>
      <c r="L134"/>
      <c r="M134"/>
      <c r="N134"/>
      <c r="O134"/>
      <c r="S134" s="18"/>
      <c r="T134" s="16"/>
      <c r="U134" s="16"/>
      <c r="W134" s="31"/>
      <c r="Y134" s="6"/>
      <c r="Z134" s="6"/>
      <c r="AA134" s="6"/>
      <c r="AB134" s="6"/>
    </row>
    <row r="135" ht="15" spans="1:23">
      <c r="A135" t="s">
        <v>1234</v>
      </c>
      <c r="B135">
        <v>0.19</v>
      </c>
      <c r="C135">
        <v>0.07</v>
      </c>
      <c r="D135">
        <v>0.48</v>
      </c>
      <c r="E135">
        <v>4472980</v>
      </c>
      <c r="F135" t="s">
        <v>1235</v>
      </c>
      <c r="H135" s="28"/>
      <c r="J135">
        <v>0.04</v>
      </c>
      <c r="K135">
        <v>0.1959</v>
      </c>
      <c r="L135"/>
      <c r="M135"/>
      <c r="N135"/>
      <c r="O135"/>
      <c r="Q135" s="33"/>
      <c r="S135" s="18"/>
      <c r="W135" s="34"/>
    </row>
    <row r="136" ht="15" spans="1:29">
      <c r="A136" t="s">
        <v>1236</v>
      </c>
      <c r="B136">
        <v>3.88</v>
      </c>
      <c r="C136">
        <v>1.98</v>
      </c>
      <c r="D136">
        <v>3.89</v>
      </c>
      <c r="E136" s="2">
        <v>73490000</v>
      </c>
      <c r="F136" t="s">
        <v>1237</v>
      </c>
      <c r="G136" s="16"/>
      <c r="H136" s="26"/>
      <c r="J136">
        <v>0</v>
      </c>
      <c r="K136">
        <v>13.8571</v>
      </c>
      <c r="L136"/>
      <c r="M136"/>
      <c r="N136"/>
      <c r="O136"/>
      <c r="Q136" s="32"/>
      <c r="R136" s="6"/>
      <c r="S136" s="19"/>
      <c r="W136" s="31"/>
      <c r="X136" s="6"/>
      <c r="AC136" s="6"/>
    </row>
    <row r="137" ht="15" spans="1:29">
      <c r="A137" t="s">
        <v>1238</v>
      </c>
      <c r="B137">
        <v>2.79</v>
      </c>
      <c r="C137">
        <v>1.37</v>
      </c>
      <c r="D137">
        <v>2.83</v>
      </c>
      <c r="E137" s="2">
        <v>104938336.53</v>
      </c>
      <c r="F137" t="s">
        <v>1239</v>
      </c>
      <c r="G137" s="16"/>
      <c r="H137" s="23"/>
      <c r="I137" s="16"/>
      <c r="J137">
        <v>0.86</v>
      </c>
      <c r="K137">
        <v>38.5494</v>
      </c>
      <c r="L137">
        <v>34.875</v>
      </c>
      <c r="M137"/>
      <c r="N137"/>
      <c r="O137"/>
      <c r="Q137" s="6"/>
      <c r="S137" s="18"/>
      <c r="T137" s="16"/>
      <c r="U137" s="16"/>
      <c r="W137" s="31"/>
      <c r="X137" s="6"/>
      <c r="AC137" s="6"/>
    </row>
    <row r="138" s="6" customFormat="1" ht="15" spans="1:30">
      <c r="A138" t="s">
        <v>1240</v>
      </c>
      <c r="B138">
        <v>0</v>
      </c>
      <c r="C138">
        <v>16.8</v>
      </c>
      <c r="D138">
        <v>27.46</v>
      </c>
      <c r="E138">
        <v>0</v>
      </c>
      <c r="F138" t="s">
        <v>1241</v>
      </c>
      <c r="G138" s="16"/>
      <c r="H138" s="27"/>
      <c r="I138" s="16"/>
      <c r="J138">
        <v>0</v>
      </c>
      <c r="K138"/>
      <c r="L138"/>
      <c r="M138"/>
      <c r="N138"/>
      <c r="O138"/>
      <c r="S138" s="19"/>
      <c r="T138" s="16"/>
      <c r="U138" s="14"/>
      <c r="V138" s="14"/>
      <c r="W138" s="31"/>
      <c r="X138" s="4"/>
      <c r="AC138" s="4"/>
      <c r="AD138" s="4"/>
    </row>
    <row r="139" ht="15" spans="1:30">
      <c r="A139" t="s">
        <v>1242</v>
      </c>
      <c r="B139">
        <v>0.03</v>
      </c>
      <c r="C139">
        <v>0.171</v>
      </c>
      <c r="D139">
        <v>3.65</v>
      </c>
      <c r="E139">
        <v>304920</v>
      </c>
      <c r="F139" t="s">
        <v>1243</v>
      </c>
      <c r="G139" s="16"/>
      <c r="H139" s="27"/>
      <c r="J139">
        <v>0.01</v>
      </c>
      <c r="K139">
        <v>0.001</v>
      </c>
      <c r="L139"/>
      <c r="M139"/>
      <c r="N139"/>
      <c r="O139"/>
      <c r="Q139" s="32"/>
      <c r="R139" s="6"/>
      <c r="S139" s="19"/>
      <c r="V139" s="16"/>
      <c r="W139" s="31"/>
      <c r="X139" s="6"/>
      <c r="AC139" s="6"/>
      <c r="AD139" s="6"/>
    </row>
    <row r="140" ht="15" spans="1:30">
      <c r="A140" t="s">
        <v>573</v>
      </c>
      <c r="B140">
        <v>1.4</v>
      </c>
      <c r="C140">
        <v>1.23</v>
      </c>
      <c r="D140">
        <v>4.96</v>
      </c>
      <c r="E140" s="2">
        <v>38946639.2</v>
      </c>
      <c r="F140" t="s">
        <v>574</v>
      </c>
      <c r="G140" s="16"/>
      <c r="H140" s="23"/>
      <c r="I140" s="16"/>
      <c r="J140">
        <v>0.04</v>
      </c>
      <c r="K140">
        <v>1.3898</v>
      </c>
      <c r="L140">
        <v>0.8642</v>
      </c>
      <c r="M140"/>
      <c r="N140"/>
      <c r="O140"/>
      <c r="P140" s="6"/>
      <c r="Q140" s="6"/>
      <c r="R140" s="6"/>
      <c r="S140" s="19"/>
      <c r="W140" s="31"/>
      <c r="X140" s="6"/>
      <c r="Y140" s="6"/>
      <c r="Z140" s="6"/>
      <c r="AA140" s="6"/>
      <c r="AB140" s="6"/>
      <c r="AD140" s="6"/>
    </row>
    <row r="141" s="6" customFormat="1" ht="15" spans="1:29">
      <c r="A141" t="s">
        <v>1244</v>
      </c>
      <c r="B141">
        <v>0.01</v>
      </c>
      <c r="C141">
        <v>0</v>
      </c>
      <c r="D141">
        <v>0.06</v>
      </c>
      <c r="E141">
        <v>334549</v>
      </c>
      <c r="F141" t="s">
        <v>1245</v>
      </c>
      <c r="G141" s="16"/>
      <c r="H141" s="27"/>
      <c r="I141" s="16"/>
      <c r="J141">
        <v>0</v>
      </c>
      <c r="K141">
        <v>0.5</v>
      </c>
      <c r="L141"/>
      <c r="M141"/>
      <c r="N141"/>
      <c r="O141"/>
      <c r="S141" s="19"/>
      <c r="T141" s="16"/>
      <c r="U141" s="14"/>
      <c r="V141" s="16"/>
      <c r="W141" s="31"/>
      <c r="X141" s="4"/>
      <c r="AC141" s="4"/>
    </row>
    <row r="142" ht="15" spans="1:30">
      <c r="A142" t="s">
        <v>1246</v>
      </c>
      <c r="B142">
        <v>4.01</v>
      </c>
      <c r="C142">
        <v>2.94</v>
      </c>
      <c r="D142">
        <v>4.02</v>
      </c>
      <c r="E142" s="2">
        <v>175220000</v>
      </c>
      <c r="F142" t="s">
        <v>1247</v>
      </c>
      <c r="G142" s="16"/>
      <c r="H142" s="27"/>
      <c r="I142" s="16"/>
      <c r="J142">
        <v>0.67</v>
      </c>
      <c r="K142">
        <v>19.0952</v>
      </c>
      <c r="L142"/>
      <c r="M142"/>
      <c r="N142"/>
      <c r="O142"/>
      <c r="P142" s="6"/>
      <c r="Q142" s="6"/>
      <c r="R142" s="6"/>
      <c r="S142" s="19"/>
      <c r="T142" s="16"/>
      <c r="U142" s="16"/>
      <c r="V142" s="16"/>
      <c r="W142" s="31"/>
      <c r="X142" s="6"/>
      <c r="Y142" s="6"/>
      <c r="Z142" s="6"/>
      <c r="AA142" s="6"/>
      <c r="AB142" s="6"/>
      <c r="AC142" s="6"/>
      <c r="AD142" s="6"/>
    </row>
    <row r="143" ht="15" spans="1:29">
      <c r="A143" t="s">
        <v>1248</v>
      </c>
      <c r="B143">
        <v>0.06</v>
      </c>
      <c r="C143">
        <v>0.03</v>
      </c>
      <c r="D143">
        <v>0.29</v>
      </c>
      <c r="E143">
        <v>2780000</v>
      </c>
      <c r="F143" t="s">
        <v>1249</v>
      </c>
      <c r="H143" s="25"/>
      <c r="I143" s="17"/>
      <c r="J143">
        <v>0</v>
      </c>
      <c r="K143">
        <v>0.1622</v>
      </c>
      <c r="L143"/>
      <c r="M143"/>
      <c r="N143"/>
      <c r="O143"/>
      <c r="S143" s="18"/>
      <c r="W143" s="31"/>
      <c r="Y143" s="6"/>
      <c r="Z143" s="6"/>
      <c r="AC143" s="6"/>
    </row>
    <row r="144" s="6" customFormat="1" ht="15" spans="1:30">
      <c r="A144" t="s">
        <v>1250</v>
      </c>
      <c r="B144">
        <v>0.16</v>
      </c>
      <c r="C144">
        <v>0.11</v>
      </c>
      <c r="D144">
        <v>0.65</v>
      </c>
      <c r="E144">
        <v>3180000</v>
      </c>
      <c r="F144" t="s">
        <v>1251</v>
      </c>
      <c r="G144" s="16"/>
      <c r="H144" s="27"/>
      <c r="I144" s="16"/>
      <c r="J144">
        <v>0</v>
      </c>
      <c r="K144"/>
      <c r="L144"/>
      <c r="M144"/>
      <c r="N144"/>
      <c r="O144"/>
      <c r="S144" s="19"/>
      <c r="T144" s="16"/>
      <c r="U144" s="14"/>
      <c r="V144" s="14"/>
      <c r="W144" s="31"/>
      <c r="Y144" s="4"/>
      <c r="Z144" s="4"/>
      <c r="AD144" s="4"/>
    </row>
    <row r="145" ht="15" spans="1:23">
      <c r="A145" t="s">
        <v>1252</v>
      </c>
      <c r="B145">
        <v>0</v>
      </c>
      <c r="C145">
        <v>12.92</v>
      </c>
      <c r="D145">
        <v>30.74</v>
      </c>
      <c r="E145">
        <v>0</v>
      </c>
      <c r="F145" t="s">
        <v>1253</v>
      </c>
      <c r="H145" s="28"/>
      <c r="J145">
        <v>0</v>
      </c>
      <c r="K145"/>
      <c r="L145"/>
      <c r="M145"/>
      <c r="N145"/>
      <c r="O145"/>
      <c r="Q145" s="33"/>
      <c r="S145" s="18"/>
      <c r="W145" s="34"/>
    </row>
    <row r="146" ht="15" spans="1:30">
      <c r="A146" t="s">
        <v>1254</v>
      </c>
      <c r="B146">
        <v>6.99</v>
      </c>
      <c r="C146">
        <v>4.99</v>
      </c>
      <c r="D146">
        <v>7.69</v>
      </c>
      <c r="E146" s="2">
        <v>111071100</v>
      </c>
      <c r="F146" t="s">
        <v>1255</v>
      </c>
      <c r="G146" s="16"/>
      <c r="H146" s="27"/>
      <c r="I146" s="16"/>
      <c r="J146">
        <v>0.87</v>
      </c>
      <c r="K146">
        <v>13.8728</v>
      </c>
      <c r="L146">
        <v>4.3148</v>
      </c>
      <c r="M146"/>
      <c r="N146"/>
      <c r="O146"/>
      <c r="P146" s="6"/>
      <c r="Q146" s="6"/>
      <c r="R146" s="6"/>
      <c r="S146" s="19"/>
      <c r="U146" s="16"/>
      <c r="V146" s="16"/>
      <c r="W146" s="31"/>
      <c r="AA146" s="6"/>
      <c r="AB146" s="6"/>
      <c r="AD146" s="6"/>
    </row>
    <row r="147" s="6" customFormat="1" ht="15" spans="1:28">
      <c r="A147" t="s">
        <v>1256</v>
      </c>
      <c r="B147">
        <v>1.06</v>
      </c>
      <c r="C147">
        <v>0.85</v>
      </c>
      <c r="D147">
        <v>4.81</v>
      </c>
      <c r="E147">
        <v>9217760</v>
      </c>
      <c r="F147" t="s">
        <v>1257</v>
      </c>
      <c r="G147" s="16"/>
      <c r="H147" s="27"/>
      <c r="I147" s="16"/>
      <c r="J147">
        <v>0.07</v>
      </c>
      <c r="K147">
        <v>0.037</v>
      </c>
      <c r="L147">
        <v>0.772</v>
      </c>
      <c r="M147"/>
      <c r="N147"/>
      <c r="O147"/>
      <c r="P147" s="4"/>
      <c r="R147" s="4"/>
      <c r="S147" s="18"/>
      <c r="T147" s="14"/>
      <c r="U147" s="16"/>
      <c r="V147" s="14"/>
      <c r="W147" s="31"/>
      <c r="X147" s="4"/>
      <c r="AA147" s="4"/>
      <c r="AB147" s="4"/>
    </row>
    <row r="148" ht="15" spans="1:28">
      <c r="A148" t="s">
        <v>1258</v>
      </c>
      <c r="B148">
        <v>0</v>
      </c>
      <c r="C148">
        <v>2.96</v>
      </c>
      <c r="D148">
        <v>10.9</v>
      </c>
      <c r="E148">
        <v>0</v>
      </c>
      <c r="F148" t="s">
        <v>1259</v>
      </c>
      <c r="G148" s="16"/>
      <c r="H148" s="26"/>
      <c r="I148" s="16"/>
      <c r="J148">
        <v>0</v>
      </c>
      <c r="K148"/>
      <c r="L148"/>
      <c r="M148"/>
      <c r="N148"/>
      <c r="O148"/>
      <c r="P148" s="6"/>
      <c r="Q148" s="6"/>
      <c r="R148" s="6"/>
      <c r="S148" s="19"/>
      <c r="T148" s="16"/>
      <c r="V148" s="16"/>
      <c r="W148" s="31"/>
      <c r="X148" s="6"/>
      <c r="AA148" s="6"/>
      <c r="AB148" s="6"/>
    </row>
    <row r="149" s="6" customFormat="1" ht="15" spans="1:24">
      <c r="A149" t="s">
        <v>724</v>
      </c>
      <c r="B149">
        <v>13.43</v>
      </c>
      <c r="C149">
        <v>5.6</v>
      </c>
      <c r="D149">
        <v>16.49</v>
      </c>
      <c r="E149" s="2">
        <v>346363111.22</v>
      </c>
      <c r="F149" t="s">
        <v>725</v>
      </c>
      <c r="G149" s="14"/>
      <c r="H149" s="28"/>
      <c r="I149" s="17"/>
      <c r="J149">
        <v>3.37</v>
      </c>
      <c r="K149">
        <v>41.3</v>
      </c>
      <c r="L149">
        <v>58.3913</v>
      </c>
      <c r="M149"/>
      <c r="N149"/>
      <c r="O149"/>
      <c r="P149" s="4"/>
      <c r="Q149" s="4"/>
      <c r="R149" s="4"/>
      <c r="S149" s="18"/>
      <c r="T149" s="14"/>
      <c r="U149" s="14"/>
      <c r="V149" s="14"/>
      <c r="W149" s="31"/>
      <c r="X149" s="4"/>
    </row>
    <row r="150" ht="15" spans="1:30">
      <c r="A150" t="s">
        <v>1260</v>
      </c>
      <c r="B150">
        <v>0</v>
      </c>
      <c r="C150">
        <v>0</v>
      </c>
      <c r="D150">
        <v>0</v>
      </c>
      <c r="E150" s="2">
        <v>786730000</v>
      </c>
      <c r="F150" t="s">
        <v>1261</v>
      </c>
      <c r="H150" s="28"/>
      <c r="J150">
        <v>0</v>
      </c>
      <c r="K150"/>
      <c r="L150"/>
      <c r="M150"/>
      <c r="N150"/>
      <c r="O150"/>
      <c r="Q150" s="33"/>
      <c r="S150" s="18"/>
      <c r="W150" s="34"/>
      <c r="AD150" s="6"/>
    </row>
    <row r="151" ht="15" spans="1:30">
      <c r="A151" t="s">
        <v>1262</v>
      </c>
      <c r="B151">
        <v>24.57</v>
      </c>
      <c r="C151">
        <v>0</v>
      </c>
      <c r="D151">
        <v>24.57</v>
      </c>
      <c r="E151">
        <v>0</v>
      </c>
      <c r="F151" t="s">
        <v>1263</v>
      </c>
      <c r="H151" s="25"/>
      <c r="I151" s="17"/>
      <c r="J151">
        <v>0</v>
      </c>
      <c r="K151"/>
      <c r="L151"/>
      <c r="M151"/>
      <c r="N151"/>
      <c r="O151"/>
      <c r="S151" s="18"/>
      <c r="U151" s="16"/>
      <c r="V151" s="16"/>
      <c r="W151" s="31"/>
      <c r="AA151" s="6"/>
      <c r="AB151" s="6"/>
      <c r="AC151" s="6"/>
      <c r="AD151" s="6"/>
    </row>
    <row r="152" ht="15" spans="1:28">
      <c r="A152" t="s">
        <v>1264</v>
      </c>
      <c r="B152">
        <v>0</v>
      </c>
      <c r="C152">
        <v>0</v>
      </c>
      <c r="D152">
        <v>0</v>
      </c>
      <c r="E152">
        <v>0</v>
      </c>
      <c r="F152" t="s">
        <v>1265</v>
      </c>
      <c r="G152" s="16"/>
      <c r="H152" s="27"/>
      <c r="I152" s="16"/>
      <c r="J152"/>
      <c r="K152"/>
      <c r="L152"/>
      <c r="M152"/>
      <c r="N152"/>
      <c r="O152"/>
      <c r="P152" s="6"/>
      <c r="Q152" s="6"/>
      <c r="R152" s="6"/>
      <c r="S152" s="19"/>
      <c r="T152" s="16"/>
      <c r="W152" s="31"/>
      <c r="AA152" s="6"/>
      <c r="AB152" s="6"/>
    </row>
    <row r="153" ht="15" spans="1:26">
      <c r="A153" t="s">
        <v>1266</v>
      </c>
      <c r="B153">
        <v>0</v>
      </c>
      <c r="C153">
        <v>28.44</v>
      </c>
      <c r="D153">
        <v>54.2</v>
      </c>
      <c r="E153" s="2">
        <v>2236060000</v>
      </c>
      <c r="F153" t="s">
        <v>1267</v>
      </c>
      <c r="G153" s="16"/>
      <c r="H153" s="27"/>
      <c r="I153" s="16"/>
      <c r="J153">
        <v>0</v>
      </c>
      <c r="K153"/>
      <c r="L153"/>
      <c r="M153"/>
      <c r="N153"/>
      <c r="O153"/>
      <c r="P153" s="6"/>
      <c r="Q153" s="6"/>
      <c r="S153" s="19"/>
      <c r="T153" s="16"/>
      <c r="U153" s="16"/>
      <c r="V153" s="16"/>
      <c r="W153" s="31"/>
      <c r="Y153" s="6"/>
      <c r="Z153" s="6"/>
    </row>
    <row r="154" ht="15" spans="1:23">
      <c r="A154" t="s">
        <v>1268</v>
      </c>
      <c r="B154">
        <v>0</v>
      </c>
      <c r="C154">
        <v>7.01</v>
      </c>
      <c r="D154">
        <v>14.28</v>
      </c>
      <c r="E154">
        <v>0</v>
      </c>
      <c r="F154" t="s">
        <v>1269</v>
      </c>
      <c r="H154" s="28"/>
      <c r="J154">
        <v>0</v>
      </c>
      <c r="K154"/>
      <c r="L154"/>
      <c r="M154"/>
      <c r="N154"/>
      <c r="O154"/>
      <c r="Q154" s="33"/>
      <c r="S154" s="18"/>
      <c r="W154" s="34"/>
    </row>
    <row r="155" s="6" customFormat="1" ht="15" spans="1:30">
      <c r="A155" t="s">
        <v>1270</v>
      </c>
      <c r="B155">
        <v>0.04</v>
      </c>
      <c r="C155">
        <v>0</v>
      </c>
      <c r="D155">
        <v>0.48</v>
      </c>
      <c r="E155">
        <v>0</v>
      </c>
      <c r="F155" t="s">
        <v>1271</v>
      </c>
      <c r="G155" s="14"/>
      <c r="H155" s="28"/>
      <c r="I155" s="17"/>
      <c r="J155">
        <v>0</v>
      </c>
      <c r="K155">
        <v>0</v>
      </c>
      <c r="L155"/>
      <c r="M155"/>
      <c r="N155"/>
      <c r="O155"/>
      <c r="Q155" s="4"/>
      <c r="R155" s="4"/>
      <c r="S155" s="18"/>
      <c r="T155" s="16"/>
      <c r="U155" s="14"/>
      <c r="V155" s="16"/>
      <c r="W155" s="31"/>
      <c r="X155" s="4"/>
      <c r="Y155" s="4"/>
      <c r="Z155" s="4"/>
      <c r="AA155" s="4"/>
      <c r="AB155" s="4"/>
      <c r="AC155" s="4"/>
      <c r="AD155" s="4"/>
    </row>
    <row r="156" ht="15" spans="1:23">
      <c r="A156" t="s">
        <v>1272</v>
      </c>
      <c r="B156">
        <v>0.35</v>
      </c>
      <c r="C156">
        <v>0.19</v>
      </c>
      <c r="D156">
        <v>0.6</v>
      </c>
      <c r="E156">
        <v>9639350</v>
      </c>
      <c r="F156" t="s">
        <v>1273</v>
      </c>
      <c r="G156" s="16"/>
      <c r="H156" s="27"/>
      <c r="I156" s="16"/>
      <c r="J156">
        <v>0.25</v>
      </c>
      <c r="K156">
        <v>0.09</v>
      </c>
      <c r="L156">
        <v>1.2069</v>
      </c>
      <c r="M156"/>
      <c r="N156"/>
      <c r="O156"/>
      <c r="Q156" s="6"/>
      <c r="S156" s="18"/>
      <c r="V156" s="16"/>
      <c r="W156" s="31"/>
    </row>
    <row r="157" ht="15" spans="1:29">
      <c r="A157" t="s">
        <v>1274</v>
      </c>
      <c r="B157">
        <v>0.05</v>
      </c>
      <c r="C157">
        <v>0.01</v>
      </c>
      <c r="D157">
        <v>0.3</v>
      </c>
      <c r="E157">
        <v>0</v>
      </c>
      <c r="F157" t="s">
        <v>1275</v>
      </c>
      <c r="H157" s="23"/>
      <c r="I157" s="17"/>
      <c r="J157">
        <v>0</v>
      </c>
      <c r="K157">
        <v>0</v>
      </c>
      <c r="L157"/>
      <c r="M157"/>
      <c r="N157"/>
      <c r="O157"/>
      <c r="S157" s="18"/>
      <c r="W157" s="31"/>
      <c r="AC157" s="6"/>
    </row>
    <row r="158" ht="15" spans="1:29">
      <c r="A158" t="s">
        <v>1276</v>
      </c>
      <c r="B158">
        <v>1.01</v>
      </c>
      <c r="C158">
        <v>0.93</v>
      </c>
      <c r="D158">
        <v>2.17</v>
      </c>
      <c r="E158">
        <v>0</v>
      </c>
      <c r="F158" t="s">
        <v>1277</v>
      </c>
      <c r="H158" s="28"/>
      <c r="J158">
        <v>-0.22</v>
      </c>
      <c r="K158"/>
      <c r="L158"/>
      <c r="M158"/>
      <c r="N158"/>
      <c r="O158"/>
      <c r="S158" s="18"/>
      <c r="T158" s="16"/>
      <c r="W158" s="31"/>
      <c r="X158" s="6"/>
      <c r="AC158" s="6"/>
    </row>
    <row r="159" ht="15" spans="1:29">
      <c r="A159" t="s">
        <v>1278</v>
      </c>
      <c r="B159">
        <v>2</v>
      </c>
      <c r="C159">
        <v>0.55</v>
      </c>
      <c r="D159">
        <v>2.47</v>
      </c>
      <c r="E159" s="2">
        <v>39126000</v>
      </c>
      <c r="F159" t="s">
        <v>1279</v>
      </c>
      <c r="G159" s="16"/>
      <c r="H159" s="27"/>
      <c r="I159" s="16"/>
      <c r="J159">
        <v>0.69</v>
      </c>
      <c r="K159"/>
      <c r="L159"/>
      <c r="M159"/>
      <c r="N159"/>
      <c r="O159"/>
      <c r="Q159" s="6"/>
      <c r="S159" s="18"/>
      <c r="T159" s="16"/>
      <c r="U159" s="16"/>
      <c r="W159" s="31"/>
      <c r="X159" s="6"/>
      <c r="AA159" s="6"/>
      <c r="AB159" s="6"/>
      <c r="AC159" s="6"/>
    </row>
    <row r="160" ht="15" spans="1:23">
      <c r="A160" t="s">
        <v>1280</v>
      </c>
      <c r="B160">
        <v>1.1</v>
      </c>
      <c r="C160">
        <v>0.6</v>
      </c>
      <c r="D160">
        <v>2.69</v>
      </c>
      <c r="E160" s="2">
        <v>27218400</v>
      </c>
      <c r="F160" t="s">
        <v>1281</v>
      </c>
      <c r="G160" s="16"/>
      <c r="H160" s="27"/>
      <c r="I160" s="16"/>
      <c r="J160">
        <v>22</v>
      </c>
      <c r="K160">
        <v>11.38</v>
      </c>
      <c r="L160"/>
      <c r="M160"/>
      <c r="N160"/>
      <c r="O160"/>
      <c r="P160" s="6"/>
      <c r="Q160" s="6"/>
      <c r="R160" s="6"/>
      <c r="S160" s="19"/>
      <c r="W160" s="31"/>
    </row>
    <row r="161" ht="15" spans="1:28">
      <c r="A161" t="s">
        <v>1282</v>
      </c>
      <c r="B161">
        <v>0.01</v>
      </c>
      <c r="C161">
        <v>0.01</v>
      </c>
      <c r="D161">
        <v>6</v>
      </c>
      <c r="E161">
        <v>299158.19</v>
      </c>
      <c r="F161" t="s">
        <v>1283</v>
      </c>
      <c r="H161" s="28"/>
      <c r="I161" s="17"/>
      <c r="J161">
        <v>0</v>
      </c>
      <c r="K161" s="2">
        <v>0.0004</v>
      </c>
      <c r="L161">
        <v>0.0051</v>
      </c>
      <c r="M161"/>
      <c r="N161"/>
      <c r="O161"/>
      <c r="S161" s="18"/>
      <c r="T161" s="16"/>
      <c r="W161" s="31"/>
      <c r="Y161" s="6"/>
      <c r="Z161" s="6"/>
      <c r="AA161" s="6"/>
      <c r="AB161" s="6"/>
    </row>
    <row r="162" s="6" customFormat="1" ht="15" spans="1:30">
      <c r="A162" t="s">
        <v>1284</v>
      </c>
      <c r="B162">
        <v>2.03</v>
      </c>
      <c r="C162">
        <v>1.53</v>
      </c>
      <c r="D162">
        <v>2.04</v>
      </c>
      <c r="E162" s="2">
        <v>94029600</v>
      </c>
      <c r="F162" t="s">
        <v>1285</v>
      </c>
      <c r="G162" s="14"/>
      <c r="H162" s="28"/>
      <c r="I162" s="17"/>
      <c r="J162">
        <v>0.49</v>
      </c>
      <c r="K162"/>
      <c r="L162"/>
      <c r="M162"/>
      <c r="N162"/>
      <c r="O162"/>
      <c r="P162" s="4"/>
      <c r="Q162" s="4"/>
      <c r="R162" s="4"/>
      <c r="S162" s="18"/>
      <c r="T162" s="14"/>
      <c r="U162" s="16"/>
      <c r="V162" s="16"/>
      <c r="W162" s="31"/>
      <c r="X162" s="4"/>
      <c r="Y162" s="4"/>
      <c r="Z162" s="4"/>
      <c r="AA162" s="4"/>
      <c r="AB162" s="4"/>
      <c r="AD162" s="4"/>
    </row>
    <row r="163" ht="15" spans="1:30">
      <c r="A163" t="s">
        <v>1286</v>
      </c>
      <c r="B163">
        <v>20.17</v>
      </c>
      <c r="C163">
        <v>14.78</v>
      </c>
      <c r="D163">
        <v>23.49</v>
      </c>
      <c r="E163" s="2">
        <v>992755055.96</v>
      </c>
      <c r="F163" t="s">
        <v>1287</v>
      </c>
      <c r="G163" s="16"/>
      <c r="H163" s="27"/>
      <c r="I163" s="16"/>
      <c r="J163">
        <v>1.29</v>
      </c>
      <c r="K163">
        <v>11.4387</v>
      </c>
      <c r="L163">
        <v>9.839</v>
      </c>
      <c r="M163"/>
      <c r="N163"/>
      <c r="O163"/>
      <c r="P163" s="6"/>
      <c r="Q163" s="6"/>
      <c r="R163" s="6"/>
      <c r="S163" s="19"/>
      <c r="U163" s="16"/>
      <c r="V163" s="16"/>
      <c r="W163" s="31"/>
      <c r="X163" s="6"/>
      <c r="Y163" s="6"/>
      <c r="Z163" s="6"/>
      <c r="AD163" s="6"/>
    </row>
    <row r="164" ht="15" spans="1:23">
      <c r="A164" t="s">
        <v>593</v>
      </c>
      <c r="B164">
        <v>7.26</v>
      </c>
      <c r="C164">
        <v>4.93</v>
      </c>
      <c r="D164">
        <v>9.48</v>
      </c>
      <c r="E164" s="2">
        <v>241665768.96</v>
      </c>
      <c r="F164" t="s">
        <v>594</v>
      </c>
      <c r="H164" s="28"/>
      <c r="I164" s="17"/>
      <c r="J164">
        <v>3.32</v>
      </c>
      <c r="K164">
        <v>1.99</v>
      </c>
      <c r="L164">
        <v>23.5813</v>
      </c>
      <c r="M164">
        <v>40.3333</v>
      </c>
      <c r="N164"/>
      <c r="O164"/>
      <c r="S164" s="18"/>
      <c r="W164" s="31"/>
    </row>
    <row r="165" ht="15" spans="1:28">
      <c r="A165" t="s">
        <v>1288</v>
      </c>
      <c r="B165">
        <v>0.3</v>
      </c>
      <c r="C165">
        <v>0.26</v>
      </c>
      <c r="D165">
        <v>1.18</v>
      </c>
      <c r="E165">
        <v>0</v>
      </c>
      <c r="F165" t="s">
        <v>1289</v>
      </c>
      <c r="H165" s="28"/>
      <c r="I165" s="17"/>
      <c r="J165">
        <v>0</v>
      </c>
      <c r="K165"/>
      <c r="L165"/>
      <c r="M165"/>
      <c r="N165"/>
      <c r="O165"/>
      <c r="S165" s="18"/>
      <c r="U165" s="16"/>
      <c r="W165" s="31"/>
      <c r="AA165" s="6"/>
      <c r="AB165" s="6"/>
    </row>
    <row r="166" ht="15" spans="1:28">
      <c r="A166" t="s">
        <v>1290</v>
      </c>
      <c r="B166">
        <v>45.91</v>
      </c>
      <c r="C166">
        <v>32.5</v>
      </c>
      <c r="D166">
        <v>46.14</v>
      </c>
      <c r="E166" s="2">
        <v>3220353323.11</v>
      </c>
      <c r="F166" t="s">
        <v>1291</v>
      </c>
      <c r="G166" s="16"/>
      <c r="H166" s="26"/>
      <c r="I166" s="16"/>
      <c r="J166">
        <v>3.61</v>
      </c>
      <c r="K166">
        <v>21.72</v>
      </c>
      <c r="L166">
        <v>229.55</v>
      </c>
      <c r="M166"/>
      <c r="N166"/>
      <c r="O166"/>
      <c r="P166" s="6"/>
      <c r="Q166" s="6"/>
      <c r="R166" s="6"/>
      <c r="S166" s="19"/>
      <c r="W166" s="31"/>
      <c r="AA166" s="6"/>
      <c r="AB166" s="6"/>
    </row>
    <row r="167" s="6" customFormat="1" ht="15" spans="1:29">
      <c r="A167" t="s">
        <v>1292</v>
      </c>
      <c r="B167">
        <v>2.03</v>
      </c>
      <c r="C167">
        <v>0.85</v>
      </c>
      <c r="D167">
        <v>2.19</v>
      </c>
      <c r="E167" s="2">
        <v>98090000</v>
      </c>
      <c r="F167" t="s">
        <v>1293</v>
      </c>
      <c r="G167" s="16"/>
      <c r="H167" s="27"/>
      <c r="I167" s="16"/>
      <c r="J167">
        <v>0</v>
      </c>
      <c r="K167"/>
      <c r="L167"/>
      <c r="M167"/>
      <c r="N167"/>
      <c r="O167"/>
      <c r="S167" s="19"/>
      <c r="T167" s="14"/>
      <c r="U167" s="14"/>
      <c r="V167" s="14"/>
      <c r="W167" s="31"/>
      <c r="X167" s="4"/>
      <c r="AA167" s="4"/>
      <c r="AB167" s="4"/>
      <c r="AC167" s="4"/>
    </row>
    <row r="168" s="6" customFormat="1" ht="15" spans="1:30">
      <c r="A168" t="s">
        <v>1294</v>
      </c>
      <c r="B168">
        <v>0.62</v>
      </c>
      <c r="C168">
        <v>0.46</v>
      </c>
      <c r="D168">
        <v>2.85</v>
      </c>
      <c r="E168" s="2">
        <v>62551891.23</v>
      </c>
      <c r="F168" t="s">
        <v>1295</v>
      </c>
      <c r="G168" s="14"/>
      <c r="H168" s="28"/>
      <c r="I168" s="17"/>
      <c r="J168">
        <v>0</v>
      </c>
      <c r="K168"/>
      <c r="L168"/>
      <c r="M168"/>
      <c r="N168"/>
      <c r="O168"/>
      <c r="Q168" s="4"/>
      <c r="R168" s="4"/>
      <c r="S168" s="18"/>
      <c r="T168" s="16"/>
      <c r="U168" s="16"/>
      <c r="V168" s="14"/>
      <c r="W168" s="31"/>
      <c r="X168" s="4"/>
      <c r="Y168" s="4"/>
      <c r="Z168" s="4"/>
      <c r="AA168" s="4"/>
      <c r="AB168" s="4"/>
      <c r="AC168" s="4"/>
      <c r="AD168" s="4"/>
    </row>
    <row r="169" ht="15" spans="1:29">
      <c r="A169" t="s">
        <v>1296</v>
      </c>
      <c r="B169">
        <v>2.22</v>
      </c>
      <c r="C169">
        <v>1.65</v>
      </c>
      <c r="D169">
        <v>5.46</v>
      </c>
      <c r="E169" s="2">
        <v>31031395.32</v>
      </c>
      <c r="F169" t="s">
        <v>1297</v>
      </c>
      <c r="G169" s="16"/>
      <c r="H169" s="26"/>
      <c r="I169" s="16"/>
      <c r="J169">
        <v>0.78</v>
      </c>
      <c r="K169">
        <v>0.23</v>
      </c>
      <c r="L169">
        <v>24.14</v>
      </c>
      <c r="M169">
        <v>9.25</v>
      </c>
      <c r="N169"/>
      <c r="O169"/>
      <c r="P169" s="6"/>
      <c r="Q169" s="6"/>
      <c r="R169" s="6"/>
      <c r="S169" s="19"/>
      <c r="U169" s="16"/>
      <c r="W169" s="31"/>
      <c r="Y169" s="6"/>
      <c r="Z169" s="6"/>
      <c r="AC169" s="6"/>
    </row>
    <row r="170" s="6" customFormat="1" ht="15" spans="1:30">
      <c r="A170" t="s">
        <v>1298</v>
      </c>
      <c r="B170">
        <v>1.7</v>
      </c>
      <c r="C170">
        <v>1.46</v>
      </c>
      <c r="D170">
        <v>4.79</v>
      </c>
      <c r="E170">
        <v>3537358.3</v>
      </c>
      <c r="F170" t="s">
        <v>1299</v>
      </c>
      <c r="G170" s="16"/>
      <c r="H170" s="23"/>
      <c r="I170" s="16"/>
      <c r="J170">
        <v>0.11</v>
      </c>
      <c r="K170">
        <v>0.0785</v>
      </c>
      <c r="L170"/>
      <c r="M170"/>
      <c r="N170"/>
      <c r="O170"/>
      <c r="S170" s="19"/>
      <c r="T170" s="14"/>
      <c r="U170" s="16"/>
      <c r="V170" s="16"/>
      <c r="W170" s="31"/>
      <c r="X170" s="4"/>
      <c r="Y170" s="4"/>
      <c r="Z170" s="4"/>
      <c r="AA170" s="4"/>
      <c r="AB170" s="4"/>
      <c r="AD170" s="4"/>
    </row>
    <row r="171" ht="15" spans="1:28">
      <c r="A171" t="s">
        <v>1300</v>
      </c>
      <c r="B171">
        <v>0.1</v>
      </c>
      <c r="C171">
        <v>0.1</v>
      </c>
      <c r="D171">
        <v>0.65</v>
      </c>
      <c r="E171">
        <v>2972200</v>
      </c>
      <c r="F171" t="s">
        <v>1301</v>
      </c>
      <c r="H171" s="27"/>
      <c r="I171" s="17"/>
      <c r="J171">
        <v>0.4</v>
      </c>
      <c r="K171">
        <v>0.02</v>
      </c>
      <c r="L171"/>
      <c r="M171"/>
      <c r="N171"/>
      <c r="O171"/>
      <c r="S171" s="18"/>
      <c r="U171" s="16"/>
      <c r="V171" s="16"/>
      <c r="W171" s="31"/>
      <c r="AA171" s="6"/>
      <c r="AB171" s="6"/>
    </row>
    <row r="172" ht="15" spans="1:30">
      <c r="A172" t="s">
        <v>1302</v>
      </c>
      <c r="B172">
        <v>18.45</v>
      </c>
      <c r="C172">
        <v>10.5</v>
      </c>
      <c r="D172">
        <v>18.46</v>
      </c>
      <c r="E172" s="2">
        <v>856687374</v>
      </c>
      <c r="F172" t="s">
        <v>1303</v>
      </c>
      <c r="G172" s="16"/>
      <c r="H172" s="27"/>
      <c r="I172" s="16"/>
      <c r="J172">
        <v>3.86</v>
      </c>
      <c r="K172">
        <v>18.8265</v>
      </c>
      <c r="L172"/>
      <c r="M172"/>
      <c r="N172"/>
      <c r="O172"/>
      <c r="P172" s="6"/>
      <c r="Q172" s="6"/>
      <c r="R172" s="6"/>
      <c r="S172" s="19"/>
      <c r="W172" s="31"/>
      <c r="X172" s="6"/>
      <c r="AA172" s="6"/>
      <c r="AB172" s="6"/>
      <c r="AD172" s="6"/>
    </row>
    <row r="173" s="6" customFormat="1" ht="15" spans="1:30">
      <c r="A173" t="s">
        <v>1304</v>
      </c>
      <c r="B173">
        <v>1.65</v>
      </c>
      <c r="C173">
        <v>1.45</v>
      </c>
      <c r="D173">
        <v>1.76</v>
      </c>
      <c r="E173" s="2">
        <v>55690000</v>
      </c>
      <c r="F173" t="s">
        <v>1305</v>
      </c>
      <c r="G173" s="16"/>
      <c r="H173" s="23"/>
      <c r="I173" s="16"/>
      <c r="J173">
        <v>0.14</v>
      </c>
      <c r="K173">
        <v>1.65</v>
      </c>
      <c r="L173"/>
      <c r="M173"/>
      <c r="N173"/>
      <c r="O173"/>
      <c r="S173" s="19"/>
      <c r="T173" s="16"/>
      <c r="U173" s="16"/>
      <c r="V173" s="16"/>
      <c r="W173" s="31"/>
      <c r="Y173" s="4"/>
      <c r="Z173" s="4"/>
      <c r="AA173" s="4"/>
      <c r="AB173" s="4"/>
      <c r="AC173" s="4"/>
      <c r="AD173" s="4"/>
    </row>
    <row r="174" s="6" customFormat="1" ht="15" spans="1:29">
      <c r="A174" t="s">
        <v>1306</v>
      </c>
      <c r="B174">
        <v>0</v>
      </c>
      <c r="C174">
        <v>0</v>
      </c>
      <c r="D174">
        <v>0.01</v>
      </c>
      <c r="E174">
        <v>0</v>
      </c>
      <c r="F174" t="s">
        <v>1307</v>
      </c>
      <c r="G174" s="16"/>
      <c r="H174" s="27"/>
      <c r="I174" s="16"/>
      <c r="J174">
        <v>0</v>
      </c>
      <c r="K174" s="2">
        <v>0.0002</v>
      </c>
      <c r="L174"/>
      <c r="M174"/>
      <c r="N174"/>
      <c r="O174"/>
      <c r="R174" s="4"/>
      <c r="S174" s="19"/>
      <c r="T174" s="14"/>
      <c r="U174" s="14"/>
      <c r="V174" s="16"/>
      <c r="W174" s="31"/>
      <c r="X174" s="4"/>
      <c r="Y174" s="4"/>
      <c r="Z174" s="4"/>
      <c r="AA174" s="4"/>
      <c r="AB174" s="4"/>
      <c r="AC174" s="4"/>
    </row>
    <row r="175" s="6" customFormat="1" ht="15" spans="1:30">
      <c r="A175" t="s">
        <v>1308</v>
      </c>
      <c r="B175">
        <v>0</v>
      </c>
      <c r="C175">
        <v>0</v>
      </c>
      <c r="D175">
        <v>0</v>
      </c>
      <c r="E175">
        <v>0</v>
      </c>
      <c r="F175" t="s">
        <v>1309</v>
      </c>
      <c r="G175" s="14"/>
      <c r="H175" s="28"/>
      <c r="I175" s="17"/>
      <c r="J175">
        <v>0</v>
      </c>
      <c r="K175"/>
      <c r="L175"/>
      <c r="M175"/>
      <c r="N175"/>
      <c r="O175"/>
      <c r="P175" s="4"/>
      <c r="Q175" s="4"/>
      <c r="R175" s="4"/>
      <c r="S175" s="18"/>
      <c r="T175" s="16"/>
      <c r="U175" s="14"/>
      <c r="V175" s="14"/>
      <c r="W175" s="31"/>
      <c r="X175" s="4"/>
      <c r="Y175" s="4"/>
      <c r="Z175" s="4"/>
      <c r="AA175" s="4"/>
      <c r="AB175" s="4"/>
      <c r="AC175" s="4"/>
      <c r="AD175" s="4"/>
    </row>
    <row r="176" ht="15" spans="1:26">
      <c r="A176" t="s">
        <v>1310</v>
      </c>
      <c r="B176">
        <v>0.3</v>
      </c>
      <c r="C176">
        <v>0.2</v>
      </c>
      <c r="D176">
        <v>1.24</v>
      </c>
      <c r="E176">
        <v>6135900</v>
      </c>
      <c r="F176" t="s">
        <v>1311</v>
      </c>
      <c r="H176" s="28"/>
      <c r="I176" s="17"/>
      <c r="J176">
        <v>0.1</v>
      </c>
      <c r="K176">
        <v>0.188</v>
      </c>
      <c r="L176"/>
      <c r="M176"/>
      <c r="N176"/>
      <c r="O176"/>
      <c r="S176" s="18"/>
      <c r="T176" s="16"/>
      <c r="V176" s="16"/>
      <c r="W176" s="31"/>
      <c r="X176" s="6"/>
      <c r="Y176" s="6"/>
      <c r="Z176" s="6"/>
    </row>
    <row r="177" ht="15" spans="1:29">
      <c r="A177" t="s">
        <v>1312</v>
      </c>
      <c r="B177">
        <v>0.32</v>
      </c>
      <c r="C177">
        <v>0.18</v>
      </c>
      <c r="D177">
        <v>0.64</v>
      </c>
      <c r="E177">
        <v>7045286.4</v>
      </c>
      <c r="F177" t="s">
        <v>1313</v>
      </c>
      <c r="G177" s="16"/>
      <c r="H177" s="27"/>
      <c r="J177">
        <v>0</v>
      </c>
      <c r="K177"/>
      <c r="L177"/>
      <c r="M177"/>
      <c r="N177"/>
      <c r="O177"/>
      <c r="Q177" s="32"/>
      <c r="R177" s="6"/>
      <c r="S177" s="19"/>
      <c r="W177" s="31"/>
      <c r="AA177" s="6"/>
      <c r="AB177" s="6"/>
      <c r="AC177" s="6"/>
    </row>
    <row r="178" ht="15" spans="1:30">
      <c r="A178" t="s">
        <v>1314</v>
      </c>
      <c r="B178">
        <v>7.05</v>
      </c>
      <c r="C178">
        <v>5.17</v>
      </c>
      <c r="D178">
        <v>7.1</v>
      </c>
      <c r="E178" s="2">
        <v>357330000</v>
      </c>
      <c r="F178" t="s">
        <v>1315</v>
      </c>
      <c r="H178" s="28"/>
      <c r="I178" s="17"/>
      <c r="J178">
        <v>0.58</v>
      </c>
      <c r="K178">
        <v>2.1171</v>
      </c>
      <c r="L178"/>
      <c r="M178"/>
      <c r="N178"/>
      <c r="O178"/>
      <c r="S178" s="18"/>
      <c r="T178" s="16"/>
      <c r="W178" s="31"/>
      <c r="AD178" s="6"/>
    </row>
    <row r="179" s="6" customFormat="1" ht="14.25" spans="1:29">
      <c r="A179" t="s">
        <v>1316</v>
      </c>
      <c r="B179">
        <v>20.9</v>
      </c>
      <c r="C179">
        <v>11.24</v>
      </c>
      <c r="D179">
        <v>21.2</v>
      </c>
      <c r="E179" s="2">
        <v>1439006089.4</v>
      </c>
      <c r="F179" t="s">
        <v>1317</v>
      </c>
      <c r="G179" s="16"/>
      <c r="H179" s="23"/>
      <c r="I179" s="16"/>
      <c r="J179">
        <v>3.35</v>
      </c>
      <c r="K179">
        <v>47.5</v>
      </c>
      <c r="L179"/>
      <c r="M179"/>
      <c r="N179"/>
      <c r="O179"/>
      <c r="S179" s="19"/>
      <c r="T179" s="14"/>
      <c r="U179" s="14"/>
      <c r="V179" s="14"/>
      <c r="W179" s="31"/>
      <c r="X179" s="4"/>
      <c r="AC179" s="4"/>
    </row>
    <row r="180" ht="14.25" spans="1:30">
      <c r="A180" t="s">
        <v>1318</v>
      </c>
      <c r="B180">
        <v>0</v>
      </c>
      <c r="C180">
        <v>0</v>
      </c>
      <c r="D180">
        <v>0</v>
      </c>
      <c r="E180">
        <v>0</v>
      </c>
      <c r="F180" t="s">
        <v>1319</v>
      </c>
      <c r="G180" s="16"/>
      <c r="H180" s="29"/>
      <c r="I180" s="16"/>
      <c r="J180">
        <v>0</v>
      </c>
      <c r="K180"/>
      <c r="L180"/>
      <c r="M180"/>
      <c r="N180"/>
      <c r="O180"/>
      <c r="P180" s="6"/>
      <c r="Q180" s="6"/>
      <c r="R180" s="6"/>
      <c r="S180" s="19"/>
      <c r="T180" s="16"/>
      <c r="W180" s="31"/>
      <c r="AD180" s="6"/>
    </row>
    <row r="181" ht="15" spans="1:30">
      <c r="A181" t="s">
        <v>1320</v>
      </c>
      <c r="B181">
        <v>2.39</v>
      </c>
      <c r="C181">
        <v>1.7</v>
      </c>
      <c r="D181">
        <v>2.85</v>
      </c>
      <c r="E181" s="2">
        <v>70020000</v>
      </c>
      <c r="F181" t="s">
        <v>1321</v>
      </c>
      <c r="G181" s="16"/>
      <c r="H181" s="26"/>
      <c r="I181" s="16"/>
      <c r="J181">
        <v>0.3</v>
      </c>
      <c r="K181"/>
      <c r="L181"/>
      <c r="M181"/>
      <c r="N181"/>
      <c r="O181"/>
      <c r="P181" s="6"/>
      <c r="Q181" s="6"/>
      <c r="R181" s="6"/>
      <c r="S181" s="19"/>
      <c r="T181" s="16"/>
      <c r="U181" s="16"/>
      <c r="V181" s="16"/>
      <c r="W181" s="31"/>
      <c r="AC181" s="6"/>
      <c r="AD181" s="6"/>
    </row>
    <row r="182" s="6" customFormat="1" ht="15" spans="1:30">
      <c r="A182" t="s">
        <v>1322</v>
      </c>
      <c r="B182">
        <v>0</v>
      </c>
      <c r="C182">
        <v>5.81</v>
      </c>
      <c r="D182">
        <v>8.99</v>
      </c>
      <c r="E182">
        <v>0</v>
      </c>
      <c r="F182" t="s">
        <v>1323</v>
      </c>
      <c r="G182" s="14"/>
      <c r="H182" s="28"/>
      <c r="I182" s="17"/>
      <c r="J182">
        <v>0</v>
      </c>
      <c r="K182"/>
      <c r="L182"/>
      <c r="M182"/>
      <c r="N182"/>
      <c r="O182"/>
      <c r="Q182" s="4"/>
      <c r="R182" s="4"/>
      <c r="S182" s="18"/>
      <c r="T182" s="14"/>
      <c r="U182" s="14"/>
      <c r="V182" s="14"/>
      <c r="W182" s="31"/>
      <c r="X182" s="4"/>
      <c r="Y182" s="4"/>
      <c r="Z182" s="4"/>
      <c r="AC182" s="4"/>
      <c r="AD182" s="4"/>
    </row>
    <row r="183" s="6" customFormat="1" ht="14.25" spans="1:30">
      <c r="A183" t="s">
        <v>1324</v>
      </c>
      <c r="B183">
        <v>1.6</v>
      </c>
      <c r="C183">
        <v>0.62</v>
      </c>
      <c r="D183">
        <v>5.56</v>
      </c>
      <c r="E183" s="2">
        <v>91584000</v>
      </c>
      <c r="F183" t="s">
        <v>1325</v>
      </c>
      <c r="G183" s="14"/>
      <c r="H183" s="25"/>
      <c r="I183" s="17"/>
      <c r="J183">
        <v>0</v>
      </c>
      <c r="K183"/>
      <c r="L183"/>
      <c r="M183"/>
      <c r="N183"/>
      <c r="O183"/>
      <c r="P183" s="4"/>
      <c r="Q183" s="4"/>
      <c r="R183" s="4"/>
      <c r="S183" s="18"/>
      <c r="T183" s="14"/>
      <c r="U183" s="14"/>
      <c r="V183" s="14"/>
      <c r="W183" s="31"/>
      <c r="X183" s="4"/>
      <c r="Y183" s="4"/>
      <c r="Z183" s="4"/>
      <c r="AA183" s="4"/>
      <c r="AB183" s="4"/>
      <c r="AC183" s="4"/>
      <c r="AD183" s="4"/>
    </row>
    <row r="184" ht="14.25" spans="1:29">
      <c r="A184" t="s">
        <v>1326</v>
      </c>
      <c r="B184">
        <v>0</v>
      </c>
      <c r="C184">
        <v>0</v>
      </c>
      <c r="D184">
        <v>0</v>
      </c>
      <c r="E184">
        <v>0</v>
      </c>
      <c r="F184" t="s">
        <v>1327</v>
      </c>
      <c r="G184" s="16"/>
      <c r="H184" s="23"/>
      <c r="I184" s="16"/>
      <c r="J184">
        <v>0</v>
      </c>
      <c r="K184"/>
      <c r="L184"/>
      <c r="M184"/>
      <c r="N184"/>
      <c r="O184"/>
      <c r="P184" s="6"/>
      <c r="Q184" s="6"/>
      <c r="R184" s="6"/>
      <c r="S184" s="19"/>
      <c r="W184" s="31"/>
      <c r="AC184" s="6"/>
    </row>
    <row r="185" ht="15" spans="1:28">
      <c r="A185" t="s">
        <v>1328</v>
      </c>
      <c r="B185">
        <v>1.9</v>
      </c>
      <c r="C185">
        <v>0.9</v>
      </c>
      <c r="D185">
        <v>7.38</v>
      </c>
      <c r="E185" s="2">
        <v>52081135.6</v>
      </c>
      <c r="F185" t="s">
        <v>1329</v>
      </c>
      <c r="G185" s="16"/>
      <c r="H185" s="27"/>
      <c r="J185">
        <v>0</v>
      </c>
      <c r="K185"/>
      <c r="L185"/>
      <c r="M185"/>
      <c r="N185"/>
      <c r="O185"/>
      <c r="Q185" s="32"/>
      <c r="R185" s="6"/>
      <c r="S185" s="19"/>
      <c r="W185" s="31"/>
      <c r="X185" s="6"/>
      <c r="AA185" s="6"/>
      <c r="AB185" s="6"/>
    </row>
    <row r="186" s="6" customFormat="1" ht="14.25" spans="1:30">
      <c r="A186" t="s">
        <v>1330</v>
      </c>
      <c r="B186">
        <v>1.74</v>
      </c>
      <c r="C186">
        <v>1.5</v>
      </c>
      <c r="D186">
        <v>2.74</v>
      </c>
      <c r="E186" s="2">
        <v>66470000</v>
      </c>
      <c r="F186" t="s">
        <v>1331</v>
      </c>
      <c r="G186" s="14"/>
      <c r="H186" s="23"/>
      <c r="I186" s="17"/>
      <c r="J186">
        <v>0.42</v>
      </c>
      <c r="K186"/>
      <c r="L186"/>
      <c r="M186"/>
      <c r="N186"/>
      <c r="O186"/>
      <c r="P186" s="4"/>
      <c r="Q186" s="4"/>
      <c r="R186" s="4"/>
      <c r="S186" s="18"/>
      <c r="T186" s="16"/>
      <c r="U186" s="14"/>
      <c r="V186" s="16"/>
      <c r="W186" s="31"/>
      <c r="X186" s="4"/>
      <c r="Y186" s="4"/>
      <c r="Z186" s="4"/>
      <c r="AA186" s="4"/>
      <c r="AB186" s="4"/>
      <c r="AD186" s="4"/>
    </row>
    <row r="187" ht="14.25" spans="1:28">
      <c r="A187" t="s">
        <v>1332</v>
      </c>
      <c r="B187">
        <v>9.45</v>
      </c>
      <c r="C187">
        <v>5.72</v>
      </c>
      <c r="D187">
        <v>9.5</v>
      </c>
      <c r="E187" s="2">
        <v>362900000</v>
      </c>
      <c r="F187" t="s">
        <v>1333</v>
      </c>
      <c r="H187" s="25"/>
      <c r="I187" s="17"/>
      <c r="J187">
        <v>0</v>
      </c>
      <c r="K187">
        <v>14.1045</v>
      </c>
      <c r="L187"/>
      <c r="M187"/>
      <c r="N187"/>
      <c r="O187"/>
      <c r="S187" s="18"/>
      <c r="V187" s="16"/>
      <c r="W187" s="31"/>
      <c r="Y187" s="6"/>
      <c r="Z187" s="6"/>
      <c r="AA187" s="6"/>
      <c r="AB187" s="6"/>
    </row>
    <row r="188" ht="15" spans="1:30">
      <c r="A188" t="s">
        <v>1334</v>
      </c>
      <c r="B188">
        <v>0.09</v>
      </c>
      <c r="C188">
        <v>0.4</v>
      </c>
      <c r="D188">
        <v>3.75</v>
      </c>
      <c r="E188">
        <v>353700</v>
      </c>
      <c r="F188" t="s">
        <v>1335</v>
      </c>
      <c r="G188" s="16"/>
      <c r="H188" s="27"/>
      <c r="I188" s="16"/>
      <c r="J188">
        <v>0.14</v>
      </c>
      <c r="K188">
        <v>0.006</v>
      </c>
      <c r="L188"/>
      <c r="M188"/>
      <c r="N188"/>
      <c r="O188"/>
      <c r="P188" s="6"/>
      <c r="Q188" s="6"/>
      <c r="S188" s="19"/>
      <c r="W188" s="31"/>
      <c r="Y188" s="6"/>
      <c r="Z188" s="6"/>
      <c r="AD188" s="6"/>
    </row>
    <row r="189" ht="15" spans="1:30">
      <c r="A189" t="s">
        <v>1336</v>
      </c>
      <c r="B189">
        <v>6.98</v>
      </c>
      <c r="C189">
        <v>4.91</v>
      </c>
      <c r="D189">
        <v>7</v>
      </c>
      <c r="E189" s="2">
        <v>1877034789.82</v>
      </c>
      <c r="F189" t="s">
        <v>1337</v>
      </c>
      <c r="G189" s="16"/>
      <c r="H189" s="27"/>
      <c r="I189" s="16"/>
      <c r="J189">
        <v>6.23</v>
      </c>
      <c r="K189">
        <v>7.3817</v>
      </c>
      <c r="L189">
        <v>11.2581</v>
      </c>
      <c r="M189"/>
      <c r="N189"/>
      <c r="O189"/>
      <c r="P189" s="6"/>
      <c r="Q189" s="6"/>
      <c r="R189" s="6"/>
      <c r="S189" s="19"/>
      <c r="W189" s="31"/>
      <c r="AD189" s="6"/>
    </row>
    <row r="190" s="6" customFormat="1" ht="15" spans="1:30">
      <c r="A190" t="s">
        <v>1338</v>
      </c>
      <c r="B190">
        <v>4.82</v>
      </c>
      <c r="C190">
        <v>3.25</v>
      </c>
      <c r="D190">
        <v>6.65</v>
      </c>
      <c r="E190" s="2">
        <v>152664944.5</v>
      </c>
      <c r="F190" t="s">
        <v>1339</v>
      </c>
      <c r="G190" s="14"/>
      <c r="H190" s="28"/>
      <c r="I190" s="14"/>
      <c r="J190">
        <v>1.25</v>
      </c>
      <c r="K190">
        <v>10.3415</v>
      </c>
      <c r="L190"/>
      <c r="M190"/>
      <c r="N190"/>
      <c r="O190"/>
      <c r="P190" s="4"/>
      <c r="Q190" s="4"/>
      <c r="R190" s="4"/>
      <c r="S190" s="18"/>
      <c r="T190" s="16"/>
      <c r="U190" s="14"/>
      <c r="V190" s="14"/>
      <c r="W190" s="31"/>
      <c r="Y190" s="4"/>
      <c r="Z190" s="4"/>
      <c r="AA190" s="4"/>
      <c r="AB190" s="4"/>
      <c r="AD190" s="4"/>
    </row>
    <row r="191" s="6" customFormat="1" ht="14.25" spans="1:30">
      <c r="A191" t="s">
        <v>1340</v>
      </c>
      <c r="B191">
        <v>12.96</v>
      </c>
      <c r="C191">
        <v>5.57</v>
      </c>
      <c r="D191">
        <v>13.06</v>
      </c>
      <c r="E191" s="2">
        <v>304770000</v>
      </c>
      <c r="F191" t="s">
        <v>1341</v>
      </c>
      <c r="G191" s="14"/>
      <c r="H191" s="23"/>
      <c r="I191" s="17"/>
      <c r="J191"/>
      <c r="K191">
        <v>0</v>
      </c>
      <c r="L191"/>
      <c r="M191"/>
      <c r="N191"/>
      <c r="O191"/>
      <c r="P191" s="4"/>
      <c r="Q191" s="4"/>
      <c r="R191" s="4"/>
      <c r="S191" s="18"/>
      <c r="T191" s="14"/>
      <c r="U191" s="14"/>
      <c r="V191" s="16"/>
      <c r="W191" s="31"/>
      <c r="X191" s="4"/>
      <c r="AA191" s="4"/>
      <c r="AB191" s="4"/>
      <c r="AD191" s="4"/>
    </row>
    <row r="192" s="6" customFormat="1" ht="14.25" spans="1:30">
      <c r="A192" t="s">
        <v>1342</v>
      </c>
      <c r="B192">
        <v>0</v>
      </c>
      <c r="C192">
        <v>0.53</v>
      </c>
      <c r="D192">
        <v>8.01</v>
      </c>
      <c r="E192">
        <v>0</v>
      </c>
      <c r="F192" t="s">
        <v>1343</v>
      </c>
      <c r="G192" s="16"/>
      <c r="H192" s="23"/>
      <c r="I192" s="16"/>
      <c r="J192">
        <v>0</v>
      </c>
      <c r="K192"/>
      <c r="L192"/>
      <c r="M192"/>
      <c r="N192"/>
      <c r="O192"/>
      <c r="P192" s="4"/>
      <c r="R192" s="4"/>
      <c r="S192" s="18"/>
      <c r="T192" s="14"/>
      <c r="U192" s="16"/>
      <c r="V192" s="14"/>
      <c r="W192" s="31"/>
      <c r="X192" s="4"/>
      <c r="Y192" s="4"/>
      <c r="Z192" s="4"/>
      <c r="AA192" s="4"/>
      <c r="AB192" s="4"/>
      <c r="AC192" s="4"/>
      <c r="AD192" s="4"/>
    </row>
    <row r="193" ht="15" spans="1:24">
      <c r="A193" t="s">
        <v>456</v>
      </c>
      <c r="B193">
        <v>22.54</v>
      </c>
      <c r="C193">
        <v>14.16</v>
      </c>
      <c r="D193">
        <v>40.08</v>
      </c>
      <c r="E193" s="2">
        <v>1259873074.6</v>
      </c>
      <c r="F193" t="s">
        <v>457</v>
      </c>
      <c r="G193" s="16"/>
      <c r="H193" s="27"/>
      <c r="I193" s="16"/>
      <c r="J193">
        <v>1.65</v>
      </c>
      <c r="K193">
        <v>0.38</v>
      </c>
      <c r="L193">
        <v>6.24</v>
      </c>
      <c r="M193">
        <v>4.437</v>
      </c>
      <c r="N193"/>
      <c r="O193"/>
      <c r="P193" s="6"/>
      <c r="Q193" s="6"/>
      <c r="R193" s="6"/>
      <c r="S193" s="19"/>
      <c r="W193" s="31"/>
      <c r="X193" s="6"/>
    </row>
    <row r="194" s="6" customFormat="1" ht="15" spans="1:30">
      <c r="A194" t="s">
        <v>1344</v>
      </c>
      <c r="B194">
        <v>0.03</v>
      </c>
      <c r="C194">
        <v>0</v>
      </c>
      <c r="D194">
        <v>1.5</v>
      </c>
      <c r="E194">
        <v>345300</v>
      </c>
      <c r="F194" t="s">
        <v>1345</v>
      </c>
      <c r="G194" s="16"/>
      <c r="H194" s="27"/>
      <c r="I194" s="16"/>
      <c r="J194">
        <v>0</v>
      </c>
      <c r="K194">
        <v>0.007</v>
      </c>
      <c r="L194">
        <v>0.0123</v>
      </c>
      <c r="M194"/>
      <c r="N194"/>
      <c r="O194"/>
      <c r="P194" s="4"/>
      <c r="R194" s="4"/>
      <c r="S194" s="18"/>
      <c r="T194" s="14"/>
      <c r="U194" s="16"/>
      <c r="V194" s="14"/>
      <c r="W194" s="31"/>
      <c r="Y194" s="4"/>
      <c r="Z194" s="4"/>
      <c r="AA194" s="4"/>
      <c r="AB194" s="4"/>
      <c r="AD194" s="4"/>
    </row>
    <row r="195" ht="14.25" spans="1:28">
      <c r="A195" t="s">
        <v>1346</v>
      </c>
      <c r="B195">
        <v>0</v>
      </c>
      <c r="C195">
        <v>1.51</v>
      </c>
      <c r="D195">
        <v>3.28</v>
      </c>
      <c r="E195" s="2">
        <v>77750000</v>
      </c>
      <c r="F195" t="s">
        <v>1347</v>
      </c>
      <c r="H195" s="23"/>
      <c r="J195">
        <v>0</v>
      </c>
      <c r="K195"/>
      <c r="L195"/>
      <c r="M195"/>
      <c r="N195"/>
      <c r="O195"/>
      <c r="S195" s="18"/>
      <c r="T195" s="16"/>
      <c r="U195" s="16"/>
      <c r="W195" s="31"/>
      <c r="AA195" s="6"/>
      <c r="AB195" s="6"/>
    </row>
    <row r="196" ht="14.25" spans="1:30">
      <c r="A196" t="s">
        <v>1348</v>
      </c>
      <c r="B196">
        <v>0.14</v>
      </c>
      <c r="C196">
        <v>0.06</v>
      </c>
      <c r="D196">
        <v>0.89</v>
      </c>
      <c r="E196">
        <v>2755116</v>
      </c>
      <c r="F196" t="s">
        <v>1349</v>
      </c>
      <c r="H196" s="23"/>
      <c r="I196" s="17"/>
      <c r="J196">
        <v>0</v>
      </c>
      <c r="K196"/>
      <c r="L196"/>
      <c r="M196"/>
      <c r="N196"/>
      <c r="O196"/>
      <c r="S196" s="18"/>
      <c r="V196" s="16"/>
      <c r="W196" s="31"/>
      <c r="AD196" s="6"/>
    </row>
    <row r="197" ht="15" spans="1:28">
      <c r="A197" t="s">
        <v>1350</v>
      </c>
      <c r="B197">
        <v>0</v>
      </c>
      <c r="C197">
        <v>1.73</v>
      </c>
      <c r="D197">
        <v>3.47</v>
      </c>
      <c r="E197">
        <v>0</v>
      </c>
      <c r="F197" t="s">
        <v>1351</v>
      </c>
      <c r="H197" s="28"/>
      <c r="I197" s="17"/>
      <c r="J197">
        <v>0</v>
      </c>
      <c r="K197"/>
      <c r="L197"/>
      <c r="M197"/>
      <c r="N197"/>
      <c r="O197"/>
      <c r="S197" s="18"/>
      <c r="U197" s="16"/>
      <c r="W197" s="31"/>
      <c r="AA197" s="6"/>
      <c r="AB197" s="6"/>
    </row>
    <row r="198" s="6" customFormat="1" ht="15" spans="1:30">
      <c r="A198" t="s">
        <v>1352</v>
      </c>
      <c r="B198">
        <v>0.68</v>
      </c>
      <c r="C198">
        <v>0.56</v>
      </c>
      <c r="D198">
        <v>2.3</v>
      </c>
      <c r="E198" s="2">
        <v>10112847.8</v>
      </c>
      <c r="F198" t="s">
        <v>1353</v>
      </c>
      <c r="G198" s="16"/>
      <c r="H198" s="26"/>
      <c r="I198" s="14"/>
      <c r="J198">
        <v>0.27</v>
      </c>
      <c r="K198"/>
      <c r="L198"/>
      <c r="M198"/>
      <c r="N198"/>
      <c r="O198"/>
      <c r="P198" s="4"/>
      <c r="Q198" s="32"/>
      <c r="S198" s="19"/>
      <c r="T198" s="14"/>
      <c r="U198" s="14"/>
      <c r="V198" s="14"/>
      <c r="W198" s="31"/>
      <c r="X198" s="4"/>
      <c r="AA198" s="4"/>
      <c r="AB198" s="4"/>
      <c r="AD198" s="4"/>
    </row>
    <row r="199" s="6" customFormat="1" ht="15" spans="1:30">
      <c r="A199" t="s">
        <v>1354</v>
      </c>
      <c r="B199">
        <v>0</v>
      </c>
      <c r="C199">
        <v>1.49</v>
      </c>
      <c r="D199">
        <v>1.61</v>
      </c>
      <c r="E199">
        <v>0</v>
      </c>
      <c r="F199" t="s">
        <v>1355</v>
      </c>
      <c r="G199" s="14"/>
      <c r="H199" s="27"/>
      <c r="I199" s="14"/>
      <c r="J199">
        <v>0</v>
      </c>
      <c r="K199"/>
      <c r="L199"/>
      <c r="M199"/>
      <c r="N199"/>
      <c r="O199"/>
      <c r="P199" s="4"/>
      <c r="Q199" s="4"/>
      <c r="R199" s="4"/>
      <c r="S199" s="18"/>
      <c r="T199" s="16"/>
      <c r="U199" s="14"/>
      <c r="V199" s="16"/>
      <c r="W199" s="31"/>
      <c r="X199" s="4"/>
      <c r="Y199" s="4"/>
      <c r="Z199" s="4"/>
      <c r="AA199" s="4"/>
      <c r="AB199" s="4"/>
      <c r="AD199" s="4"/>
    </row>
    <row r="200" ht="15" spans="1:30">
      <c r="A200" t="s">
        <v>587</v>
      </c>
      <c r="B200">
        <v>2.96</v>
      </c>
      <c r="C200">
        <v>1.01</v>
      </c>
      <c r="D200">
        <v>285000.01</v>
      </c>
      <c r="E200" s="2">
        <v>20770320</v>
      </c>
      <c r="F200" t="s">
        <v>588</v>
      </c>
      <c r="H200" s="27"/>
      <c r="I200" s="17"/>
      <c r="J200">
        <v>0.24</v>
      </c>
      <c r="K200"/>
      <c r="L200"/>
      <c r="M200"/>
      <c r="N200"/>
      <c r="O200"/>
      <c r="S200" s="18"/>
      <c r="T200" s="16"/>
      <c r="U200" s="16"/>
      <c r="V200" s="16"/>
      <c r="W200" s="31"/>
      <c r="X200" s="6"/>
      <c r="AA200" s="6"/>
      <c r="AB200" s="6"/>
      <c r="AC200" s="6"/>
      <c r="AD200" s="6"/>
    </row>
    <row r="201" ht="14.25" spans="1:23">
      <c r="A201" t="s">
        <v>1356</v>
      </c>
      <c r="B201">
        <v>0</v>
      </c>
      <c r="C201">
        <v>0</v>
      </c>
      <c r="D201">
        <v>0</v>
      </c>
      <c r="E201">
        <v>0</v>
      </c>
      <c r="F201" t="s">
        <v>1357</v>
      </c>
      <c r="H201" s="23"/>
      <c r="J201">
        <v>0</v>
      </c>
      <c r="K201"/>
      <c r="L201"/>
      <c r="M201"/>
      <c r="N201"/>
      <c r="O201"/>
      <c r="S201" s="18"/>
      <c r="V201" s="16"/>
      <c r="W201" s="31"/>
    </row>
    <row r="202" ht="14.25" spans="1:26">
      <c r="A202" t="s">
        <v>1358</v>
      </c>
      <c r="B202">
        <v>0.53</v>
      </c>
      <c r="C202">
        <v>0.35</v>
      </c>
      <c r="D202">
        <v>1.35</v>
      </c>
      <c r="E202" s="2">
        <v>19143600</v>
      </c>
      <c r="F202" t="s">
        <v>1359</v>
      </c>
      <c r="G202" s="16"/>
      <c r="H202" s="23"/>
      <c r="I202" s="16"/>
      <c r="J202">
        <v>0.08</v>
      </c>
      <c r="K202">
        <v>0.5408</v>
      </c>
      <c r="L202"/>
      <c r="M202"/>
      <c r="N202"/>
      <c r="O202"/>
      <c r="P202" s="6"/>
      <c r="Q202" s="6"/>
      <c r="R202" s="6"/>
      <c r="S202" s="19"/>
      <c r="T202" s="16"/>
      <c r="W202" s="31"/>
      <c r="Y202" s="6"/>
      <c r="Z202" s="6"/>
    </row>
    <row r="203" s="6" customFormat="1" ht="15" spans="1:30">
      <c r="A203" t="s">
        <v>1208</v>
      </c>
      <c r="B203">
        <v>0.6</v>
      </c>
      <c r="C203">
        <v>0.54</v>
      </c>
      <c r="D203">
        <v>2.89</v>
      </c>
      <c r="E203" s="2">
        <v>13692790</v>
      </c>
      <c r="F203" t="s">
        <v>1209</v>
      </c>
      <c r="G203" s="16"/>
      <c r="H203" s="26"/>
      <c r="I203" s="16"/>
      <c r="J203">
        <v>0.11</v>
      </c>
      <c r="K203"/>
      <c r="L203"/>
      <c r="M203"/>
      <c r="N203"/>
      <c r="O203"/>
      <c r="S203" s="19"/>
      <c r="T203" s="14"/>
      <c r="U203" s="14"/>
      <c r="V203" s="14"/>
      <c r="W203" s="31"/>
      <c r="X203" s="4"/>
      <c r="Y203" s="4"/>
      <c r="Z203" s="4"/>
      <c r="AA203" s="4"/>
      <c r="AB203" s="4"/>
      <c r="AD203" s="4"/>
    </row>
    <row r="204" s="6" customFormat="1" ht="15" spans="1:30">
      <c r="A204" t="s">
        <v>1210</v>
      </c>
      <c r="B204">
        <v>0.65</v>
      </c>
      <c r="C204">
        <v>0.58</v>
      </c>
      <c r="D204">
        <v>4.6</v>
      </c>
      <c r="E204" s="2">
        <v>38689891.5</v>
      </c>
      <c r="F204" t="s">
        <v>1211</v>
      </c>
      <c r="G204" s="14"/>
      <c r="H204" s="28"/>
      <c r="I204" s="14"/>
      <c r="J204">
        <v>0.02</v>
      </c>
      <c r="K204">
        <v>0.04</v>
      </c>
      <c r="L204"/>
      <c r="M204"/>
      <c r="N204"/>
      <c r="O204"/>
      <c r="P204" s="4"/>
      <c r="Q204" s="4"/>
      <c r="R204" s="4"/>
      <c r="S204" s="18"/>
      <c r="T204" s="14"/>
      <c r="U204" s="14"/>
      <c r="V204" s="14"/>
      <c r="W204" s="31"/>
      <c r="Y204" s="4"/>
      <c r="Z204" s="4"/>
      <c r="AD204" s="4"/>
    </row>
    <row r="205" ht="15" spans="1:30">
      <c r="A205" t="s">
        <v>1360</v>
      </c>
      <c r="B205">
        <v>0.48</v>
      </c>
      <c r="C205">
        <v>0.2</v>
      </c>
      <c r="D205">
        <v>4.48</v>
      </c>
      <c r="E205" s="2">
        <v>52680000</v>
      </c>
      <c r="F205" t="s">
        <v>1361</v>
      </c>
      <c r="H205" s="28"/>
      <c r="I205" s="17"/>
      <c r="J205">
        <v>0.14</v>
      </c>
      <c r="K205">
        <v>13.7078</v>
      </c>
      <c r="L205">
        <v>2.8235</v>
      </c>
      <c r="M205"/>
      <c r="N205"/>
      <c r="O205"/>
      <c r="S205" s="18"/>
      <c r="W205" s="31"/>
      <c r="Y205" s="6"/>
      <c r="Z205" s="6"/>
      <c r="AA205" s="6"/>
      <c r="AB205" s="6"/>
      <c r="AC205" s="6"/>
      <c r="AD205" s="6"/>
    </row>
    <row r="206" s="6" customFormat="1" ht="15" spans="1:29">
      <c r="A206" t="s">
        <v>1212</v>
      </c>
      <c r="B206">
        <v>0</v>
      </c>
      <c r="C206">
        <v>4.95</v>
      </c>
      <c r="D206">
        <v>7.25</v>
      </c>
      <c r="E206">
        <v>0</v>
      </c>
      <c r="F206" t="s">
        <v>1213</v>
      </c>
      <c r="G206" s="16"/>
      <c r="H206" s="27"/>
      <c r="I206" s="16"/>
      <c r="J206">
        <v>0</v>
      </c>
      <c r="K206"/>
      <c r="L206"/>
      <c r="M206"/>
      <c r="N206"/>
      <c r="O206"/>
      <c r="S206" s="19"/>
      <c r="T206" s="14"/>
      <c r="U206" s="14"/>
      <c r="V206" s="14"/>
      <c r="W206" s="31"/>
      <c r="Y206" s="4"/>
      <c r="Z206" s="4"/>
      <c r="AA206" s="4"/>
      <c r="AB206" s="4"/>
      <c r="AC206" s="4"/>
    </row>
    <row r="207" ht="15" spans="1:29">
      <c r="A207" t="s">
        <v>1207</v>
      </c>
      <c r="B207">
        <v>16.59</v>
      </c>
      <c r="C207">
        <v>10.15</v>
      </c>
      <c r="D207">
        <v>16.7</v>
      </c>
      <c r="E207" s="2">
        <v>366100000</v>
      </c>
      <c r="F207" t="s">
        <v>390</v>
      </c>
      <c r="H207" s="28"/>
      <c r="I207" s="17"/>
      <c r="J207">
        <v>0</v>
      </c>
      <c r="K207">
        <v>23.3662</v>
      </c>
      <c r="L207"/>
      <c r="M207"/>
      <c r="N207"/>
      <c r="O207"/>
      <c r="S207" s="18"/>
      <c r="T207" s="16"/>
      <c r="W207" s="31"/>
      <c r="X207" s="6"/>
      <c r="Y207" s="6"/>
      <c r="Z207" s="6"/>
      <c r="AA207" s="6"/>
      <c r="AB207" s="6"/>
      <c r="AC207" s="6"/>
    </row>
    <row r="208" s="6" customFormat="1" ht="14.25" spans="1:30">
      <c r="A208" t="s">
        <v>1214</v>
      </c>
      <c r="B208">
        <v>13.41</v>
      </c>
      <c r="C208">
        <v>9.1</v>
      </c>
      <c r="D208">
        <v>13.39</v>
      </c>
      <c r="E208" s="2">
        <v>498980000</v>
      </c>
      <c r="F208" t="s">
        <v>1215</v>
      </c>
      <c r="G208" s="14"/>
      <c r="H208" s="25"/>
      <c r="I208" s="17"/>
      <c r="J208">
        <v>0</v>
      </c>
      <c r="K208">
        <v>11.8673</v>
      </c>
      <c r="L208"/>
      <c r="M208"/>
      <c r="N208"/>
      <c r="O208"/>
      <c r="P208" s="4"/>
      <c r="Q208" s="4"/>
      <c r="R208" s="4"/>
      <c r="S208" s="18"/>
      <c r="T208" s="14"/>
      <c r="U208" s="14"/>
      <c r="V208" s="14"/>
      <c r="W208" s="31"/>
      <c r="X208" s="4"/>
      <c r="AA208" s="4"/>
      <c r="AB208" s="4"/>
      <c r="AC208" s="4"/>
      <c r="AD208" s="4"/>
    </row>
    <row r="209" ht="14.25" spans="1:29">
      <c r="A209" t="s">
        <v>1216</v>
      </c>
      <c r="B209">
        <v>0.12</v>
      </c>
      <c r="C209">
        <v>0.05</v>
      </c>
      <c r="D209">
        <v>0.34</v>
      </c>
      <c r="E209">
        <v>4071120</v>
      </c>
      <c r="F209" t="s">
        <v>1217</v>
      </c>
      <c r="H209" s="25"/>
      <c r="I209" s="17"/>
      <c r="J209">
        <v>0.05</v>
      </c>
      <c r="K209">
        <v>0.01</v>
      </c>
      <c r="L209"/>
      <c r="M209"/>
      <c r="N209"/>
      <c r="O209"/>
      <c r="S209" s="18"/>
      <c r="T209" s="16"/>
      <c r="U209" s="16"/>
      <c r="V209" s="16"/>
      <c r="W209" s="31"/>
      <c r="X209" s="6"/>
      <c r="Y209" s="6"/>
      <c r="Z209" s="6"/>
      <c r="AC209" s="6"/>
    </row>
    <row r="210" s="6" customFormat="1" ht="15" spans="1:30">
      <c r="A210" t="s">
        <v>1218</v>
      </c>
      <c r="B210">
        <v>0.04</v>
      </c>
      <c r="C210">
        <v>0.01</v>
      </c>
      <c r="D210">
        <v>1.16</v>
      </c>
      <c r="E210">
        <v>1727360</v>
      </c>
      <c r="F210" t="s">
        <v>1219</v>
      </c>
      <c r="G210" s="16"/>
      <c r="H210" s="26"/>
      <c r="I210" s="14"/>
      <c r="J210">
        <v>0.01</v>
      </c>
      <c r="K210">
        <v>0.0021</v>
      </c>
      <c r="L210">
        <v>0.0691</v>
      </c>
      <c r="M210"/>
      <c r="N210"/>
      <c r="O210"/>
      <c r="P210" s="4"/>
      <c r="Q210" s="32"/>
      <c r="S210" s="19"/>
      <c r="T210" s="14"/>
      <c r="U210" s="14"/>
      <c r="V210" s="16"/>
      <c r="W210" s="31"/>
      <c r="X210" s="4"/>
      <c r="AA210" s="4"/>
      <c r="AB210" s="4"/>
      <c r="AC210" s="4"/>
      <c r="AD210" s="4"/>
    </row>
    <row r="211" ht="15" spans="1:29">
      <c r="A211" t="s">
        <v>1222</v>
      </c>
      <c r="B211">
        <v>0.65</v>
      </c>
      <c r="C211">
        <v>0.645</v>
      </c>
      <c r="D211">
        <v>1.81</v>
      </c>
      <c r="E211" s="2">
        <v>111041975.2</v>
      </c>
      <c r="F211" t="s">
        <v>1223</v>
      </c>
      <c r="H211" s="28"/>
      <c r="I211" s="17"/>
      <c r="J211">
        <v>0.46</v>
      </c>
      <c r="K211">
        <v>12.9</v>
      </c>
      <c r="L211"/>
      <c r="M211"/>
      <c r="N211"/>
      <c r="O211"/>
      <c r="S211" s="18"/>
      <c r="T211" s="16"/>
      <c r="V211" s="16"/>
      <c r="W211" s="31"/>
      <c r="AA211" s="6"/>
      <c r="AB211" s="6"/>
      <c r="AC211" s="6"/>
    </row>
    <row r="212" ht="15" spans="1:23">
      <c r="A212" t="s">
        <v>1362</v>
      </c>
      <c r="B212">
        <v>0</v>
      </c>
      <c r="C212">
        <v>5.82</v>
      </c>
      <c r="D212">
        <v>23.72</v>
      </c>
      <c r="E212">
        <v>0</v>
      </c>
      <c r="F212" t="s">
        <v>1363</v>
      </c>
      <c r="G212" s="16"/>
      <c r="H212" s="27"/>
      <c r="I212" s="16"/>
      <c r="J212">
        <v>0</v>
      </c>
      <c r="K212"/>
      <c r="L212"/>
      <c r="M212"/>
      <c r="N212"/>
      <c r="O212"/>
      <c r="P212" s="6"/>
      <c r="Q212" s="6"/>
      <c r="S212" s="19"/>
      <c r="T212" s="16"/>
      <c r="W212" s="31"/>
    </row>
    <row r="213" s="6" customFormat="1" ht="15" spans="1:30">
      <c r="A213" t="s">
        <v>1364</v>
      </c>
      <c r="B213">
        <v>1.21</v>
      </c>
      <c r="C213">
        <v>1.16</v>
      </c>
      <c r="D213">
        <v>4.5</v>
      </c>
      <c r="E213" s="2">
        <v>48931190</v>
      </c>
      <c r="F213" t="s">
        <v>1365</v>
      </c>
      <c r="G213" s="14"/>
      <c r="H213" s="27"/>
      <c r="I213" s="14"/>
      <c r="J213">
        <v>0.33</v>
      </c>
      <c r="K213"/>
      <c r="L213"/>
      <c r="M213"/>
      <c r="N213"/>
      <c r="O213"/>
      <c r="P213" s="4"/>
      <c r="Q213" s="4"/>
      <c r="R213" s="4"/>
      <c r="S213" s="18"/>
      <c r="T213" s="14"/>
      <c r="U213" s="14"/>
      <c r="V213" s="14"/>
      <c r="W213" s="31"/>
      <c r="AA213" s="4"/>
      <c r="AB213" s="4"/>
      <c r="AC213" s="4"/>
      <c r="AD213" s="4"/>
    </row>
    <row r="214" s="6" customFormat="1" ht="15" spans="1:30">
      <c r="A214" t="s">
        <v>1366</v>
      </c>
      <c r="B214">
        <v>0</v>
      </c>
      <c r="C214">
        <v>0.42</v>
      </c>
      <c r="D214">
        <v>3.18</v>
      </c>
      <c r="E214">
        <v>0</v>
      </c>
      <c r="F214" t="s">
        <v>1367</v>
      </c>
      <c r="G214" s="14"/>
      <c r="H214" s="28"/>
      <c r="I214" s="17"/>
      <c r="J214">
        <v>0</v>
      </c>
      <c r="K214"/>
      <c r="L214"/>
      <c r="M214"/>
      <c r="N214"/>
      <c r="O214"/>
      <c r="P214" s="4"/>
      <c r="Q214" s="4"/>
      <c r="R214" s="4"/>
      <c r="S214" s="18"/>
      <c r="T214" s="14"/>
      <c r="U214" s="16"/>
      <c r="V214" s="14"/>
      <c r="W214" s="31"/>
      <c r="X214" s="4"/>
      <c r="Y214" s="4"/>
      <c r="Z214" s="4"/>
      <c r="AC214" s="4"/>
      <c r="AD214" s="4"/>
    </row>
    <row r="215" ht="14.25" spans="1:29">
      <c r="A215" t="s">
        <v>1220</v>
      </c>
      <c r="B215">
        <v>0.03</v>
      </c>
      <c r="C215">
        <v>0</v>
      </c>
      <c r="D215">
        <v>0.13</v>
      </c>
      <c r="E215">
        <v>1007760</v>
      </c>
      <c r="F215" t="s">
        <v>1221</v>
      </c>
      <c r="G215" s="16"/>
      <c r="H215" s="29"/>
      <c r="I215" s="16"/>
      <c r="J215">
        <v>0.01</v>
      </c>
      <c r="K215">
        <v>0</v>
      </c>
      <c r="L215">
        <v>0.0252</v>
      </c>
      <c r="M215"/>
      <c r="N215"/>
      <c r="O215"/>
      <c r="P215" s="6"/>
      <c r="Q215" s="6"/>
      <c r="R215" s="6"/>
      <c r="S215" s="19"/>
      <c r="T215" s="16"/>
      <c r="U215" s="16"/>
      <c r="W215" s="31"/>
      <c r="AA215" s="6"/>
      <c r="AB215" s="6"/>
      <c r="AC215" s="6"/>
    </row>
    <row r="216" ht="14.25" spans="1:30">
      <c r="A216" t="s">
        <v>1368</v>
      </c>
      <c r="B216">
        <v>5.63</v>
      </c>
      <c r="C216">
        <v>4.66</v>
      </c>
      <c r="D216">
        <v>5.65</v>
      </c>
      <c r="E216" s="2">
        <v>329210000</v>
      </c>
      <c r="F216" t="s">
        <v>1369</v>
      </c>
      <c r="G216" s="16"/>
      <c r="H216" s="29"/>
      <c r="J216">
        <v>0.97</v>
      </c>
      <c r="K216"/>
      <c r="L216"/>
      <c r="M216"/>
      <c r="N216"/>
      <c r="O216"/>
      <c r="Q216" s="32"/>
      <c r="R216" s="6"/>
      <c r="S216" s="19"/>
      <c r="W216" s="31"/>
      <c r="X216" s="6"/>
      <c r="AA216" s="6"/>
      <c r="AB216" s="6"/>
      <c r="AD216" s="6"/>
    </row>
    <row r="217" ht="15" spans="1:30">
      <c r="A217" t="s">
        <v>1370</v>
      </c>
      <c r="B217">
        <v>0</v>
      </c>
      <c r="C217">
        <v>1.56</v>
      </c>
      <c r="D217">
        <v>4.22</v>
      </c>
      <c r="E217" s="2">
        <v>103180000</v>
      </c>
      <c r="F217" t="s">
        <v>1371</v>
      </c>
      <c r="H217" s="28"/>
      <c r="I217" s="17"/>
      <c r="J217">
        <v>0</v>
      </c>
      <c r="K217"/>
      <c r="L217"/>
      <c r="M217"/>
      <c r="N217"/>
      <c r="O217"/>
      <c r="S217" s="18"/>
      <c r="U217" s="16"/>
      <c r="W217" s="31"/>
      <c r="AD217" s="6"/>
    </row>
    <row r="218" ht="15" spans="1:30">
      <c r="A218" t="s">
        <v>1294</v>
      </c>
      <c r="B218">
        <v>0.62</v>
      </c>
      <c r="C218">
        <v>0.46</v>
      </c>
      <c r="D218">
        <v>2.85</v>
      </c>
      <c r="E218" s="2">
        <v>62551891.23</v>
      </c>
      <c r="F218" t="s">
        <v>1295</v>
      </c>
      <c r="G218" s="16"/>
      <c r="H218" s="26"/>
      <c r="J218">
        <v>0</v>
      </c>
      <c r="K218"/>
      <c r="L218"/>
      <c r="M218"/>
      <c r="N218"/>
      <c r="O218"/>
      <c r="Q218" s="32"/>
      <c r="R218" s="6"/>
      <c r="S218" s="19"/>
      <c r="V218" s="16"/>
      <c r="W218" s="31"/>
      <c r="AD218" s="6"/>
    </row>
    <row r="219" ht="15" spans="1:29">
      <c r="A219" t="s">
        <v>1304</v>
      </c>
      <c r="B219">
        <v>1.65</v>
      </c>
      <c r="C219">
        <v>1.45</v>
      </c>
      <c r="D219">
        <v>1.76</v>
      </c>
      <c r="E219" s="2">
        <v>55690000</v>
      </c>
      <c r="F219" t="s">
        <v>1305</v>
      </c>
      <c r="H219" s="28"/>
      <c r="I219" s="17"/>
      <c r="J219">
        <v>0.14</v>
      </c>
      <c r="K219">
        <v>1.65</v>
      </c>
      <c r="L219"/>
      <c r="M219"/>
      <c r="N219"/>
      <c r="O219"/>
      <c r="S219" s="18"/>
      <c r="V219" s="16"/>
      <c r="W219" s="31"/>
      <c r="AC219" s="6"/>
    </row>
    <row r="220" ht="14.25" spans="1:30">
      <c r="A220" t="s">
        <v>1292</v>
      </c>
      <c r="B220">
        <v>2.03</v>
      </c>
      <c r="C220">
        <v>0.85</v>
      </c>
      <c r="D220">
        <v>2.19</v>
      </c>
      <c r="E220" s="2">
        <v>98090000</v>
      </c>
      <c r="F220" t="s">
        <v>1293</v>
      </c>
      <c r="G220" s="16"/>
      <c r="H220" s="23"/>
      <c r="I220" s="16"/>
      <c r="J220">
        <v>0</v>
      </c>
      <c r="K220"/>
      <c r="L220"/>
      <c r="M220"/>
      <c r="N220"/>
      <c r="O220"/>
      <c r="P220" s="6"/>
      <c r="Q220" s="6"/>
      <c r="R220" s="6"/>
      <c r="S220" s="19"/>
      <c r="W220" s="31"/>
      <c r="Y220" s="6"/>
      <c r="Z220" s="6"/>
      <c r="AC220" s="6"/>
      <c r="AD220" s="6"/>
    </row>
    <row r="221" s="6" customFormat="1" spans="1:30">
      <c r="A221" t="s">
        <v>1300</v>
      </c>
      <c r="B221">
        <v>0.1</v>
      </c>
      <c r="C221">
        <v>0.1</v>
      </c>
      <c r="D221">
        <v>0.65</v>
      </c>
      <c r="E221">
        <v>2972200</v>
      </c>
      <c r="F221" t="s">
        <v>1301</v>
      </c>
      <c r="G221" s="16"/>
      <c r="H221" s="23"/>
      <c r="I221" s="16"/>
      <c r="J221">
        <v>0.4</v>
      </c>
      <c r="K221">
        <v>0.02</v>
      </c>
      <c r="L221"/>
      <c r="M221"/>
      <c r="N221"/>
      <c r="O221"/>
      <c r="S221" s="19"/>
      <c r="T221" s="14"/>
      <c r="U221" s="16"/>
      <c r="V221" s="14"/>
      <c r="W221" s="31"/>
      <c r="Y221" s="4"/>
      <c r="Z221" s="4"/>
      <c r="AC221" s="4"/>
      <c r="AD221" s="4"/>
    </row>
    <row r="222" ht="14.25" spans="1:30">
      <c r="A222" t="s">
        <v>1302</v>
      </c>
      <c r="B222">
        <v>18.45</v>
      </c>
      <c r="C222">
        <v>10.5</v>
      </c>
      <c r="D222">
        <v>18.46</v>
      </c>
      <c r="E222" s="2">
        <v>856687374</v>
      </c>
      <c r="F222" t="s">
        <v>1303</v>
      </c>
      <c r="G222" s="16"/>
      <c r="H222" s="23"/>
      <c r="I222" s="16"/>
      <c r="J222">
        <v>3.86</v>
      </c>
      <c r="K222">
        <v>18.8265</v>
      </c>
      <c r="L222"/>
      <c r="M222"/>
      <c r="N222"/>
      <c r="O222"/>
      <c r="P222" s="6"/>
      <c r="Q222" s="6"/>
      <c r="R222" s="6"/>
      <c r="S222" s="19"/>
      <c r="T222" s="16"/>
      <c r="U222" s="16"/>
      <c r="V222" s="16"/>
      <c r="W222" s="31"/>
      <c r="AD222" s="6"/>
    </row>
    <row r="223" s="6" customFormat="1" ht="15" spans="1:28">
      <c r="A223" t="s">
        <v>1298</v>
      </c>
      <c r="B223">
        <v>1.7</v>
      </c>
      <c r="C223">
        <v>1.46</v>
      </c>
      <c r="D223">
        <v>4.79</v>
      </c>
      <c r="E223">
        <v>3537358.3</v>
      </c>
      <c r="F223" t="s">
        <v>1299</v>
      </c>
      <c r="G223" s="16"/>
      <c r="H223" s="27"/>
      <c r="I223" s="16"/>
      <c r="J223">
        <v>0.11</v>
      </c>
      <c r="K223">
        <v>0.0785</v>
      </c>
      <c r="L223"/>
      <c r="M223"/>
      <c r="N223"/>
      <c r="O223"/>
      <c r="P223" s="4"/>
      <c r="R223" s="4"/>
      <c r="S223" s="18"/>
      <c r="T223" s="16"/>
      <c r="U223" s="14"/>
      <c r="V223" s="16"/>
      <c r="W223" s="31"/>
      <c r="Y223" s="4"/>
      <c r="Z223" s="4"/>
      <c r="AA223" s="4"/>
      <c r="AB223" s="4"/>
    </row>
    <row r="224" s="6" customFormat="1" ht="15" spans="1:30">
      <c r="A224" t="s">
        <v>1306</v>
      </c>
      <c r="B224">
        <v>0</v>
      </c>
      <c r="C224">
        <v>0</v>
      </c>
      <c r="D224">
        <v>0.01</v>
      </c>
      <c r="E224">
        <v>0</v>
      </c>
      <c r="F224" t="s">
        <v>1307</v>
      </c>
      <c r="G224" s="14"/>
      <c r="H224" s="27"/>
      <c r="I224" s="17"/>
      <c r="J224">
        <v>0</v>
      </c>
      <c r="K224" s="2">
        <v>0.0002</v>
      </c>
      <c r="L224"/>
      <c r="M224"/>
      <c r="N224"/>
      <c r="O224"/>
      <c r="P224" s="4"/>
      <c r="Q224" s="4"/>
      <c r="R224" s="4"/>
      <c r="S224" s="18"/>
      <c r="T224" s="14"/>
      <c r="U224" s="14"/>
      <c r="V224" s="14"/>
      <c r="W224" s="31"/>
      <c r="X224" s="4"/>
      <c r="AA224" s="4"/>
      <c r="AB224" s="4"/>
      <c r="AC224" s="4"/>
      <c r="AD224" s="4"/>
    </row>
    <row r="225" s="6" customFormat="1" ht="15" spans="1:30">
      <c r="A225" t="s">
        <v>1312</v>
      </c>
      <c r="B225">
        <v>0.32</v>
      </c>
      <c r="C225">
        <v>0.18</v>
      </c>
      <c r="D225">
        <v>0.64</v>
      </c>
      <c r="E225">
        <v>7045286.4</v>
      </c>
      <c r="F225" t="s">
        <v>1313</v>
      </c>
      <c r="G225" s="14"/>
      <c r="H225" s="25"/>
      <c r="I225" s="14"/>
      <c r="J225">
        <v>0</v>
      </c>
      <c r="K225"/>
      <c r="L225"/>
      <c r="M225"/>
      <c r="N225"/>
      <c r="O225"/>
      <c r="P225" s="4"/>
      <c r="Q225" s="33"/>
      <c r="R225" s="4"/>
      <c r="S225" s="18"/>
      <c r="T225" s="14"/>
      <c r="U225" s="14"/>
      <c r="V225" s="14"/>
      <c r="W225" s="34"/>
      <c r="X225" s="4"/>
      <c r="Y225" s="4"/>
      <c r="Z225" s="4"/>
      <c r="AA225" s="4"/>
      <c r="AB225" s="4"/>
      <c r="AC225" s="4"/>
      <c r="AD225" s="4"/>
    </row>
    <row r="226" ht="15" spans="1:28">
      <c r="A226" t="s">
        <v>1308</v>
      </c>
      <c r="B226">
        <v>0</v>
      </c>
      <c r="C226">
        <v>0</v>
      </c>
      <c r="D226">
        <v>0</v>
      </c>
      <c r="E226">
        <v>0</v>
      </c>
      <c r="F226" t="s">
        <v>1309</v>
      </c>
      <c r="H226" s="28"/>
      <c r="I226" s="17"/>
      <c r="J226">
        <v>0</v>
      </c>
      <c r="K226"/>
      <c r="L226"/>
      <c r="M226"/>
      <c r="N226"/>
      <c r="O226"/>
      <c r="S226" s="18"/>
      <c r="T226" s="16"/>
      <c r="W226" s="31"/>
      <c r="X226" s="6"/>
      <c r="AA226" s="6"/>
      <c r="AB226" s="6"/>
    </row>
    <row r="227" ht="15" spans="1:30">
      <c r="A227" t="s">
        <v>1310</v>
      </c>
      <c r="B227">
        <v>0.3</v>
      </c>
      <c r="C227">
        <v>0.2</v>
      </c>
      <c r="D227">
        <v>1.24</v>
      </c>
      <c r="E227">
        <v>6135900</v>
      </c>
      <c r="F227" t="s">
        <v>1311</v>
      </c>
      <c r="H227" s="28"/>
      <c r="I227" s="17"/>
      <c r="J227">
        <v>0.1</v>
      </c>
      <c r="K227">
        <v>0.188</v>
      </c>
      <c r="L227"/>
      <c r="M227"/>
      <c r="N227"/>
      <c r="O227"/>
      <c r="S227" s="18"/>
      <c r="U227" s="16"/>
      <c r="W227" s="31"/>
      <c r="AC227" s="6"/>
      <c r="AD227" s="6"/>
    </row>
    <row r="228" s="6" customFormat="1" ht="15" spans="1:30">
      <c r="A228" t="s">
        <v>1314</v>
      </c>
      <c r="B228">
        <v>7.05</v>
      </c>
      <c r="C228">
        <v>5.17</v>
      </c>
      <c r="D228">
        <v>7.1</v>
      </c>
      <c r="E228" s="2">
        <v>357330000</v>
      </c>
      <c r="F228" t="s">
        <v>1315</v>
      </c>
      <c r="G228" s="16"/>
      <c r="H228" s="27"/>
      <c r="I228" s="16"/>
      <c r="J228">
        <v>0.58</v>
      </c>
      <c r="K228">
        <v>2.1171</v>
      </c>
      <c r="L228"/>
      <c r="M228"/>
      <c r="N228"/>
      <c r="O228"/>
      <c r="R228" s="4"/>
      <c r="S228" s="19"/>
      <c r="T228" s="14"/>
      <c r="U228" s="14"/>
      <c r="V228" s="16"/>
      <c r="W228" s="31"/>
      <c r="AA228" s="4"/>
      <c r="AB228" s="4"/>
      <c r="AC228" s="4"/>
      <c r="AD228" s="4"/>
    </row>
    <row r="229" ht="15" spans="1:30">
      <c r="A229" t="s">
        <v>1332</v>
      </c>
      <c r="B229">
        <v>9.45</v>
      </c>
      <c r="C229">
        <v>5.72</v>
      </c>
      <c r="D229">
        <v>9.5</v>
      </c>
      <c r="E229" s="2">
        <v>362900000</v>
      </c>
      <c r="F229" t="s">
        <v>1333</v>
      </c>
      <c r="G229" s="16"/>
      <c r="H229" s="26"/>
      <c r="I229" s="16"/>
      <c r="J229">
        <v>0</v>
      </c>
      <c r="K229">
        <v>14.1045</v>
      </c>
      <c r="L229"/>
      <c r="M229"/>
      <c r="N229"/>
      <c r="O229"/>
      <c r="P229" s="6"/>
      <c r="Q229" s="6"/>
      <c r="R229" s="6"/>
      <c r="S229" s="19"/>
      <c r="V229" s="16"/>
      <c r="W229" s="31"/>
      <c r="AA229" s="6"/>
      <c r="AB229" s="6"/>
      <c r="AC229" s="6"/>
      <c r="AD229" s="6"/>
    </row>
    <row r="230" s="6" customFormat="1" ht="15" spans="1:30">
      <c r="A230" t="s">
        <v>1316</v>
      </c>
      <c r="B230">
        <v>20.9</v>
      </c>
      <c r="C230">
        <v>11.24</v>
      </c>
      <c r="D230">
        <v>21.2</v>
      </c>
      <c r="E230" s="2">
        <v>1439006089.4</v>
      </c>
      <c r="F230" t="s">
        <v>1317</v>
      </c>
      <c r="G230" s="16"/>
      <c r="H230" s="26"/>
      <c r="I230" s="16"/>
      <c r="J230">
        <v>3.35</v>
      </c>
      <c r="K230">
        <v>47.5</v>
      </c>
      <c r="L230"/>
      <c r="M230"/>
      <c r="N230"/>
      <c r="O230"/>
      <c r="S230" s="19"/>
      <c r="T230" s="14"/>
      <c r="U230" s="14"/>
      <c r="V230" s="16"/>
      <c r="W230" s="31"/>
      <c r="Y230" s="4"/>
      <c r="Z230" s="4"/>
      <c r="AD230" s="4"/>
    </row>
    <row r="231" s="6" customFormat="1" ht="14.25" spans="1:30">
      <c r="A231" t="s">
        <v>1318</v>
      </c>
      <c r="B231">
        <v>0</v>
      </c>
      <c r="C231">
        <v>0</v>
      </c>
      <c r="D231">
        <v>0</v>
      </c>
      <c r="E231">
        <v>0</v>
      </c>
      <c r="F231" t="s">
        <v>1319</v>
      </c>
      <c r="G231" s="14"/>
      <c r="H231" s="25"/>
      <c r="I231" s="14"/>
      <c r="J231">
        <v>0</v>
      </c>
      <c r="K231"/>
      <c r="L231"/>
      <c r="M231"/>
      <c r="N231"/>
      <c r="O231"/>
      <c r="P231" s="4"/>
      <c r="Q231" s="33"/>
      <c r="R231" s="4"/>
      <c r="S231" s="18"/>
      <c r="T231" s="14"/>
      <c r="U231" s="14"/>
      <c r="V231" s="14"/>
      <c r="W231" s="34"/>
      <c r="X231" s="4"/>
      <c r="Y231" s="4"/>
      <c r="Z231" s="4"/>
      <c r="AA231" s="4"/>
      <c r="AB231" s="4"/>
      <c r="AC231" s="4"/>
      <c r="AD231" s="4"/>
    </row>
    <row r="232" ht="14.25" spans="1:29">
      <c r="A232" t="s">
        <v>1320</v>
      </c>
      <c r="B232">
        <v>2.39</v>
      </c>
      <c r="C232">
        <v>1.7</v>
      </c>
      <c r="D232">
        <v>2.85</v>
      </c>
      <c r="E232" s="2">
        <v>70020000</v>
      </c>
      <c r="F232" t="s">
        <v>1321</v>
      </c>
      <c r="H232" s="25"/>
      <c r="I232" s="17"/>
      <c r="J232">
        <v>0.3</v>
      </c>
      <c r="K232"/>
      <c r="L232"/>
      <c r="M232"/>
      <c r="N232"/>
      <c r="O232"/>
      <c r="S232" s="18"/>
      <c r="T232" s="16"/>
      <c r="V232" s="16"/>
      <c r="W232" s="31"/>
      <c r="Y232" s="6"/>
      <c r="Z232" s="6"/>
      <c r="AA232" s="6"/>
      <c r="AB232" s="6"/>
      <c r="AC232" s="6"/>
    </row>
    <row r="233" s="6" customFormat="1" ht="15" spans="1:26">
      <c r="A233" t="s">
        <v>1322</v>
      </c>
      <c r="B233">
        <v>0</v>
      </c>
      <c r="C233">
        <v>5.81</v>
      </c>
      <c r="D233">
        <v>8.99</v>
      </c>
      <c r="E233">
        <v>0</v>
      </c>
      <c r="F233" t="s">
        <v>1323</v>
      </c>
      <c r="G233" s="16"/>
      <c r="H233" s="27"/>
      <c r="I233" s="16"/>
      <c r="J233">
        <v>0</v>
      </c>
      <c r="K233"/>
      <c r="L233"/>
      <c r="M233"/>
      <c r="N233"/>
      <c r="O233"/>
      <c r="P233" s="4"/>
      <c r="R233" s="4"/>
      <c r="S233" s="18"/>
      <c r="T233" s="16"/>
      <c r="U233" s="14"/>
      <c r="V233" s="16"/>
      <c r="W233" s="31"/>
      <c r="X233" s="4"/>
      <c r="Y233" s="4"/>
      <c r="Z233" s="4"/>
    </row>
    <row r="234" s="6" customFormat="1" ht="14.25" spans="1:30">
      <c r="A234" t="s">
        <v>1336</v>
      </c>
      <c r="B234">
        <v>6.98</v>
      </c>
      <c r="C234">
        <v>4.91</v>
      </c>
      <c r="D234">
        <v>7</v>
      </c>
      <c r="E234" s="2">
        <v>1877034789.82</v>
      </c>
      <c r="F234" t="s">
        <v>1337</v>
      </c>
      <c r="G234" s="16"/>
      <c r="H234" s="23"/>
      <c r="I234" s="16"/>
      <c r="J234">
        <v>6.23</v>
      </c>
      <c r="K234">
        <v>7.3817</v>
      </c>
      <c r="L234">
        <v>11.2581</v>
      </c>
      <c r="M234"/>
      <c r="N234"/>
      <c r="O234"/>
      <c r="S234" s="19"/>
      <c r="T234" s="14"/>
      <c r="U234" s="14"/>
      <c r="V234" s="14"/>
      <c r="W234" s="31"/>
      <c r="Y234" s="4"/>
      <c r="Z234" s="4"/>
      <c r="AA234" s="4"/>
      <c r="AB234" s="4"/>
      <c r="AC234" s="4"/>
      <c r="AD234" s="4"/>
    </row>
    <row r="235" ht="14.25" spans="1:30">
      <c r="A235" t="s">
        <v>1328</v>
      </c>
      <c r="B235">
        <v>1.9</v>
      </c>
      <c r="C235">
        <v>0.9</v>
      </c>
      <c r="D235">
        <v>7.38</v>
      </c>
      <c r="E235" s="2">
        <v>52081135.6</v>
      </c>
      <c r="F235" t="s">
        <v>1329</v>
      </c>
      <c r="H235" s="25"/>
      <c r="I235" s="17"/>
      <c r="J235">
        <v>0</v>
      </c>
      <c r="K235"/>
      <c r="L235"/>
      <c r="M235"/>
      <c r="N235"/>
      <c r="O235"/>
      <c r="S235" s="18"/>
      <c r="T235" s="16"/>
      <c r="V235" s="16"/>
      <c r="W235" s="31"/>
      <c r="X235" s="6"/>
      <c r="Y235" s="6"/>
      <c r="Z235" s="6"/>
      <c r="AA235" s="6"/>
      <c r="AB235" s="6"/>
      <c r="AD235" s="6"/>
    </row>
    <row r="236" s="6" customFormat="1" ht="15" spans="1:30">
      <c r="A236" t="s">
        <v>1324</v>
      </c>
      <c r="B236">
        <v>1.6</v>
      </c>
      <c r="C236">
        <v>0.62</v>
      </c>
      <c r="D236">
        <v>5.56</v>
      </c>
      <c r="E236" s="2">
        <v>91584000</v>
      </c>
      <c r="F236" t="s">
        <v>1325</v>
      </c>
      <c r="G236" s="16"/>
      <c r="H236" s="26"/>
      <c r="I236" s="14"/>
      <c r="J236">
        <v>0</v>
      </c>
      <c r="K236"/>
      <c r="L236"/>
      <c r="M236"/>
      <c r="N236"/>
      <c r="O236"/>
      <c r="P236" s="4"/>
      <c r="Q236" s="32"/>
      <c r="S236" s="19"/>
      <c r="T236" s="14"/>
      <c r="U236" s="14"/>
      <c r="V236" s="16"/>
      <c r="W236" s="31"/>
      <c r="Y236" s="4"/>
      <c r="Z236" s="4"/>
      <c r="AA236" s="4"/>
      <c r="AB236" s="4"/>
      <c r="AC236" s="4"/>
      <c r="AD236" s="4"/>
    </row>
    <row r="237" ht="15" spans="1:30">
      <c r="A237" t="s">
        <v>1326</v>
      </c>
      <c r="B237">
        <v>0</v>
      </c>
      <c r="C237">
        <v>0</v>
      </c>
      <c r="D237">
        <v>0</v>
      </c>
      <c r="E237">
        <v>0</v>
      </c>
      <c r="F237" t="s">
        <v>1327</v>
      </c>
      <c r="G237" s="16"/>
      <c r="H237" s="27"/>
      <c r="I237" s="16"/>
      <c r="J237">
        <v>0</v>
      </c>
      <c r="K237"/>
      <c r="L237"/>
      <c r="M237"/>
      <c r="N237"/>
      <c r="O237"/>
      <c r="P237" s="6"/>
      <c r="Q237" s="6"/>
      <c r="R237" s="6"/>
      <c r="S237" s="19"/>
      <c r="T237" s="16"/>
      <c r="U237" s="16"/>
      <c r="V237" s="16"/>
      <c r="W237" s="35"/>
      <c r="X237" s="6"/>
      <c r="Y237" s="6"/>
      <c r="Z237" s="6"/>
      <c r="AA237" s="6"/>
      <c r="AB237" s="6"/>
      <c r="AC237" s="6"/>
      <c r="AD237" s="6"/>
    </row>
    <row r="238" ht="15" spans="1:29">
      <c r="A238" t="s">
        <v>1330</v>
      </c>
      <c r="B238">
        <v>1.74</v>
      </c>
      <c r="C238">
        <v>1.5</v>
      </c>
      <c r="D238">
        <v>2.74</v>
      </c>
      <c r="E238" s="2">
        <v>66470000</v>
      </c>
      <c r="F238" t="s">
        <v>1331</v>
      </c>
      <c r="H238" s="28"/>
      <c r="I238" s="17"/>
      <c r="J238">
        <v>0.42</v>
      </c>
      <c r="K238"/>
      <c r="L238"/>
      <c r="M238"/>
      <c r="N238"/>
      <c r="O238"/>
      <c r="S238" s="18"/>
      <c r="U238" s="16"/>
      <c r="V238" s="16"/>
      <c r="W238" s="31"/>
      <c r="X238" s="6"/>
      <c r="AA238" s="6"/>
      <c r="AB238" s="6"/>
      <c r="AC238" s="6"/>
    </row>
    <row r="239" ht="15" spans="1:30">
      <c r="A239" t="s">
        <v>1334</v>
      </c>
      <c r="B239">
        <v>0.09</v>
      </c>
      <c r="C239">
        <v>0.4</v>
      </c>
      <c r="D239">
        <v>3.75</v>
      </c>
      <c r="E239">
        <v>353700</v>
      </c>
      <c r="F239" t="s">
        <v>1335</v>
      </c>
      <c r="G239" s="16"/>
      <c r="H239" s="27"/>
      <c r="I239" s="16"/>
      <c r="J239">
        <v>0.14</v>
      </c>
      <c r="K239">
        <v>0.006</v>
      </c>
      <c r="L239"/>
      <c r="M239"/>
      <c r="N239"/>
      <c r="O239"/>
      <c r="P239" s="6"/>
      <c r="Q239" s="6"/>
      <c r="R239" s="6"/>
      <c r="S239" s="19"/>
      <c r="U239" s="16"/>
      <c r="W239" s="31"/>
      <c r="AA239" s="6"/>
      <c r="AB239" s="6"/>
      <c r="AD239" s="6"/>
    </row>
    <row r="240" ht="15" spans="1:30">
      <c r="A240" t="s">
        <v>1338</v>
      </c>
      <c r="B240">
        <v>4.82</v>
      </c>
      <c r="C240">
        <v>3.25</v>
      </c>
      <c r="D240">
        <v>6.65</v>
      </c>
      <c r="E240" s="2">
        <v>152664944.5</v>
      </c>
      <c r="F240" t="s">
        <v>1339</v>
      </c>
      <c r="G240" s="16"/>
      <c r="H240" s="27"/>
      <c r="I240" s="16"/>
      <c r="J240">
        <v>1.25</v>
      </c>
      <c r="K240">
        <v>10.3415</v>
      </c>
      <c r="L240"/>
      <c r="M240"/>
      <c r="N240"/>
      <c r="O240"/>
      <c r="P240" s="6"/>
      <c r="Q240" s="6"/>
      <c r="S240" s="19"/>
      <c r="W240" s="31"/>
      <c r="Y240" s="6"/>
      <c r="Z240" s="6"/>
      <c r="AD240" s="6"/>
    </row>
    <row r="241" s="6" customFormat="1" ht="15" spans="1:28">
      <c r="A241" t="s">
        <v>456</v>
      </c>
      <c r="B241">
        <v>22.54</v>
      </c>
      <c r="C241">
        <v>14.16</v>
      </c>
      <c r="D241">
        <v>40.08</v>
      </c>
      <c r="E241" s="2">
        <v>1259873074.6</v>
      </c>
      <c r="F241" t="s">
        <v>457</v>
      </c>
      <c r="G241" s="16"/>
      <c r="H241" s="26"/>
      <c r="I241" s="14"/>
      <c r="J241">
        <v>1.65</v>
      </c>
      <c r="K241">
        <v>0.38</v>
      </c>
      <c r="L241">
        <v>6.24</v>
      </c>
      <c r="M241">
        <v>4.437</v>
      </c>
      <c r="N241"/>
      <c r="O241"/>
      <c r="P241" s="4"/>
      <c r="Q241" s="32"/>
      <c r="S241" s="19"/>
      <c r="T241" s="14"/>
      <c r="U241" s="14"/>
      <c r="V241" s="14"/>
      <c r="W241" s="31"/>
      <c r="AA241" s="4"/>
      <c r="AB241" s="4"/>
    </row>
    <row r="242" ht="15" spans="1:30">
      <c r="A242" t="s">
        <v>1340</v>
      </c>
      <c r="B242">
        <v>12.96</v>
      </c>
      <c r="C242">
        <v>5.57</v>
      </c>
      <c r="D242">
        <v>13.06</v>
      </c>
      <c r="E242" s="2">
        <v>304770000</v>
      </c>
      <c r="F242" t="s">
        <v>1341</v>
      </c>
      <c r="H242" s="28"/>
      <c r="J242">
        <v>0</v>
      </c>
      <c r="L242"/>
      <c r="M242"/>
      <c r="N242"/>
      <c r="O242"/>
      <c r="Q242" s="33"/>
      <c r="S242" s="18"/>
      <c r="W242" s="34"/>
      <c r="AD242" s="6"/>
    </row>
    <row r="243" s="6" customFormat="1" ht="15" spans="1:30">
      <c r="A243" t="s">
        <v>1344</v>
      </c>
      <c r="B243">
        <v>0.03</v>
      </c>
      <c r="C243">
        <v>0</v>
      </c>
      <c r="D243">
        <v>1.5</v>
      </c>
      <c r="E243">
        <v>345300</v>
      </c>
      <c r="F243" t="s">
        <v>1345</v>
      </c>
      <c r="G243" s="16"/>
      <c r="H243" s="27"/>
      <c r="I243" s="16"/>
      <c r="J243">
        <v>0</v>
      </c>
      <c r="K243">
        <v>0.007</v>
      </c>
      <c r="L243">
        <v>0.0123</v>
      </c>
      <c r="M243"/>
      <c r="N243"/>
      <c r="O243"/>
      <c r="S243" s="19"/>
      <c r="T243" s="14"/>
      <c r="U243" s="14"/>
      <c r="V243" s="16"/>
      <c r="W243" s="31"/>
      <c r="AA243" s="4"/>
      <c r="AB243" s="4"/>
      <c r="AC243" s="4"/>
      <c r="AD243" s="4"/>
    </row>
    <row r="244" ht="15" spans="1:26">
      <c r="A244" t="s">
        <v>1342</v>
      </c>
      <c r="B244">
        <v>0</v>
      </c>
      <c r="C244">
        <v>0.53</v>
      </c>
      <c r="D244">
        <v>8.01</v>
      </c>
      <c r="E244">
        <v>0</v>
      </c>
      <c r="F244" t="s">
        <v>1343</v>
      </c>
      <c r="H244" s="28"/>
      <c r="I244" s="17"/>
      <c r="J244">
        <v>0</v>
      </c>
      <c r="K244"/>
      <c r="L244"/>
      <c r="M244"/>
      <c r="N244"/>
      <c r="O244"/>
      <c r="S244" s="18"/>
      <c r="W244" s="31"/>
      <c r="Y244" s="6"/>
      <c r="Z244" s="6"/>
    </row>
    <row r="245" ht="15" spans="1:28">
      <c r="A245" t="s">
        <v>1346</v>
      </c>
      <c r="B245">
        <v>0</v>
      </c>
      <c r="C245">
        <v>1.51</v>
      </c>
      <c r="D245">
        <v>3.28</v>
      </c>
      <c r="E245" s="2">
        <v>77750000</v>
      </c>
      <c r="F245" t="s">
        <v>1347</v>
      </c>
      <c r="G245" s="16"/>
      <c r="H245" s="27"/>
      <c r="I245" s="16"/>
      <c r="J245">
        <v>0</v>
      </c>
      <c r="K245"/>
      <c r="L245"/>
      <c r="M245"/>
      <c r="N245"/>
      <c r="O245"/>
      <c r="P245" s="6"/>
      <c r="Q245" s="6"/>
      <c r="R245" s="6"/>
      <c r="S245" s="19"/>
      <c r="W245" s="31"/>
      <c r="Y245" s="6"/>
      <c r="Z245" s="6"/>
      <c r="AA245" s="6"/>
      <c r="AB245" s="6"/>
    </row>
    <row r="246" ht="15" spans="1:29">
      <c r="A246" t="s">
        <v>1348</v>
      </c>
      <c r="B246">
        <v>0.14</v>
      </c>
      <c r="C246">
        <v>0.06</v>
      </c>
      <c r="D246">
        <v>0.89</v>
      </c>
      <c r="E246">
        <v>2755116</v>
      </c>
      <c r="F246" t="s">
        <v>1349</v>
      </c>
      <c r="G246" s="16"/>
      <c r="H246" s="26"/>
      <c r="J246">
        <v>0</v>
      </c>
      <c r="K246"/>
      <c r="L246"/>
      <c r="M246"/>
      <c r="N246"/>
      <c r="O246"/>
      <c r="Q246" s="32"/>
      <c r="R246" s="6"/>
      <c r="S246" s="19"/>
      <c r="W246" s="31"/>
      <c r="X246" s="6"/>
      <c r="AC246" s="6"/>
    </row>
    <row r="247" s="6" customFormat="1" ht="15" spans="1:28">
      <c r="A247" t="s">
        <v>1350</v>
      </c>
      <c r="B247">
        <v>0</v>
      </c>
      <c r="C247">
        <v>1.73</v>
      </c>
      <c r="D247">
        <v>3.47</v>
      </c>
      <c r="E247">
        <v>0</v>
      </c>
      <c r="F247" t="s">
        <v>1351</v>
      </c>
      <c r="G247" s="14"/>
      <c r="H247" s="25"/>
      <c r="I247" s="17"/>
      <c r="J247">
        <v>0</v>
      </c>
      <c r="K247"/>
      <c r="L247"/>
      <c r="M247"/>
      <c r="N247"/>
      <c r="O247"/>
      <c r="P247" s="4"/>
      <c r="Q247" s="4"/>
      <c r="R247" s="4"/>
      <c r="S247" s="18"/>
      <c r="T247" s="14"/>
      <c r="U247" s="16"/>
      <c r="V247" s="14"/>
      <c r="W247" s="31"/>
      <c r="AA247" s="4"/>
      <c r="AB247" s="4"/>
    </row>
    <row r="248" s="6" customFormat="1" ht="15" spans="1:30">
      <c r="A248" t="s">
        <v>1354</v>
      </c>
      <c r="B248">
        <v>0</v>
      </c>
      <c r="C248">
        <v>1.49</v>
      </c>
      <c r="D248">
        <v>1.61</v>
      </c>
      <c r="E248">
        <v>0</v>
      </c>
      <c r="F248" t="s">
        <v>1355</v>
      </c>
      <c r="G248" s="14"/>
      <c r="H248" s="28"/>
      <c r="I248" s="17"/>
      <c r="J248">
        <v>0</v>
      </c>
      <c r="K248"/>
      <c r="L248"/>
      <c r="M248"/>
      <c r="N248"/>
      <c r="O248"/>
      <c r="P248" s="4"/>
      <c r="Q248" s="4"/>
      <c r="R248" s="4"/>
      <c r="S248" s="18"/>
      <c r="T248" s="14"/>
      <c r="U248" s="14"/>
      <c r="V248" s="14"/>
      <c r="W248" s="31"/>
      <c r="Y248" s="4"/>
      <c r="Z248" s="4"/>
      <c r="AC248" s="4"/>
      <c r="AD248" s="4"/>
    </row>
    <row r="249" ht="15" spans="1:29">
      <c r="A249" t="s">
        <v>1360</v>
      </c>
      <c r="B249">
        <v>0.48</v>
      </c>
      <c r="C249">
        <v>0.2</v>
      </c>
      <c r="D249">
        <v>4.48</v>
      </c>
      <c r="E249" s="2">
        <v>52680000</v>
      </c>
      <c r="F249" t="s">
        <v>1361</v>
      </c>
      <c r="H249" s="28"/>
      <c r="I249" s="17"/>
      <c r="J249">
        <v>0.14</v>
      </c>
      <c r="K249">
        <v>13.7078</v>
      </c>
      <c r="L249">
        <v>2.8235</v>
      </c>
      <c r="M249"/>
      <c r="N249"/>
      <c r="O249"/>
      <c r="S249" s="18"/>
      <c r="W249" s="31"/>
      <c r="AC249" s="6"/>
    </row>
    <row r="250" s="6" customFormat="1" ht="15" spans="1:30">
      <c r="A250" t="s">
        <v>1352</v>
      </c>
      <c r="B250">
        <v>0.68</v>
      </c>
      <c r="C250">
        <v>0.56</v>
      </c>
      <c r="D250">
        <v>2.3</v>
      </c>
      <c r="E250" s="2">
        <v>10112847.8</v>
      </c>
      <c r="F250" t="s">
        <v>1353</v>
      </c>
      <c r="G250" s="16"/>
      <c r="H250" s="27"/>
      <c r="I250" s="16"/>
      <c r="J250">
        <v>0.27</v>
      </c>
      <c r="K250"/>
      <c r="L250"/>
      <c r="M250"/>
      <c r="N250"/>
      <c r="O250"/>
      <c r="R250" s="4"/>
      <c r="S250" s="19"/>
      <c r="T250" s="14"/>
      <c r="U250" s="16"/>
      <c r="V250" s="14"/>
      <c r="W250" s="31"/>
      <c r="Y250" s="4"/>
      <c r="Z250" s="4"/>
      <c r="AD250" s="4"/>
    </row>
    <row r="251" ht="15" spans="1:29">
      <c r="A251" t="s">
        <v>587</v>
      </c>
      <c r="B251">
        <v>2.96</v>
      </c>
      <c r="C251">
        <v>1.01</v>
      </c>
      <c r="D251">
        <v>285000.01</v>
      </c>
      <c r="E251" s="2">
        <v>20770320</v>
      </c>
      <c r="F251" t="s">
        <v>588</v>
      </c>
      <c r="G251" s="16"/>
      <c r="H251" s="26"/>
      <c r="J251">
        <v>0.24</v>
      </c>
      <c r="K251"/>
      <c r="L251"/>
      <c r="M251"/>
      <c r="N251"/>
      <c r="O251"/>
      <c r="Q251" s="32"/>
      <c r="R251" s="6"/>
      <c r="S251" s="19"/>
      <c r="V251" s="16"/>
      <c r="W251" s="31"/>
      <c r="Y251" s="6"/>
      <c r="Z251" s="6"/>
      <c r="AC251" s="6"/>
    </row>
    <row r="252" ht="15" spans="1:29">
      <c r="A252" t="s">
        <v>1356</v>
      </c>
      <c r="B252">
        <v>0</v>
      </c>
      <c r="C252">
        <v>0</v>
      </c>
      <c r="D252">
        <v>0</v>
      </c>
      <c r="E252">
        <v>0</v>
      </c>
      <c r="F252" t="s">
        <v>1357</v>
      </c>
      <c r="G252" s="16"/>
      <c r="H252" s="27"/>
      <c r="I252" s="16"/>
      <c r="J252">
        <v>0</v>
      </c>
      <c r="K252"/>
      <c r="L252"/>
      <c r="M252"/>
      <c r="N252"/>
      <c r="O252"/>
      <c r="P252" s="6"/>
      <c r="Q252" s="6"/>
      <c r="R252" s="6"/>
      <c r="S252" s="19"/>
      <c r="T252" s="16"/>
      <c r="W252" s="31"/>
      <c r="AC252" s="6"/>
    </row>
    <row r="253" ht="15" spans="1:29">
      <c r="A253" t="s">
        <v>1358</v>
      </c>
      <c r="B253">
        <v>0.53</v>
      </c>
      <c r="C253">
        <v>0.35</v>
      </c>
      <c r="D253">
        <v>1.35</v>
      </c>
      <c r="E253" s="2">
        <v>19143600</v>
      </c>
      <c r="F253" t="s">
        <v>1359</v>
      </c>
      <c r="G253" s="16"/>
      <c r="H253" s="29"/>
      <c r="J253">
        <v>0.08</v>
      </c>
      <c r="K253">
        <v>0.5408</v>
      </c>
      <c r="L253"/>
      <c r="M253"/>
      <c r="N253"/>
      <c r="O253"/>
      <c r="Q253" s="32"/>
      <c r="R253" s="6"/>
      <c r="S253" s="19"/>
      <c r="V253" s="16"/>
      <c r="W253" s="31"/>
      <c r="Y253" s="6"/>
      <c r="Z253" s="6"/>
      <c r="AC253" s="6"/>
    </row>
    <row r="254" ht="15" spans="1:23">
      <c r="A254" t="s">
        <v>1372</v>
      </c>
      <c r="B254">
        <v>35.02</v>
      </c>
      <c r="C254">
        <v>21.56</v>
      </c>
      <c r="D254">
        <v>35.34</v>
      </c>
      <c r="E254" s="2">
        <v>1686410740.74</v>
      </c>
      <c r="F254" t="s">
        <v>1373</v>
      </c>
      <c r="H254" s="28"/>
      <c r="J254">
        <v>2.07</v>
      </c>
      <c r="K254">
        <v>1.77</v>
      </c>
      <c r="L254">
        <v>53.7328</v>
      </c>
      <c r="M254">
        <v>40.2069</v>
      </c>
      <c r="N254"/>
      <c r="O254"/>
      <c r="Q254" s="33"/>
      <c r="S254" s="18"/>
      <c r="W254" s="34"/>
    </row>
    <row r="255" s="6" customFormat="1" ht="15" spans="1:29">
      <c r="A255" t="s">
        <v>764</v>
      </c>
      <c r="B255">
        <v>7.4</v>
      </c>
      <c r="C255">
        <v>4.9</v>
      </c>
      <c r="D255">
        <v>8.58</v>
      </c>
      <c r="E255" s="2">
        <v>347712994.14</v>
      </c>
      <c r="F255" t="s">
        <v>765</v>
      </c>
      <c r="G255" s="16"/>
      <c r="H255" s="23"/>
      <c r="I255" s="16"/>
      <c r="J255">
        <v>1.15</v>
      </c>
      <c r="K255">
        <v>1.75</v>
      </c>
      <c r="L255">
        <v>9.71</v>
      </c>
      <c r="M255">
        <v>16.4222</v>
      </c>
      <c r="N255"/>
      <c r="O255"/>
      <c r="S255" s="19"/>
      <c r="T255" s="16"/>
      <c r="U255" s="14"/>
      <c r="V255" s="14"/>
      <c r="W255" s="31"/>
      <c r="X255" s="4"/>
      <c r="Y255" s="4"/>
      <c r="Z255" s="4"/>
      <c r="AA255" s="4"/>
      <c r="AB255" s="4"/>
      <c r="AC255" s="4"/>
    </row>
    <row r="256" ht="15" spans="1:28">
      <c r="A256" t="s">
        <v>819</v>
      </c>
      <c r="B256">
        <v>74.81</v>
      </c>
      <c r="C256">
        <v>41.64</v>
      </c>
      <c r="D256">
        <v>75.08</v>
      </c>
      <c r="E256" s="2">
        <v>9617949444.39</v>
      </c>
      <c r="F256" t="s">
        <v>820</v>
      </c>
      <c r="H256" s="28"/>
      <c r="I256" s="17"/>
      <c r="J256">
        <v>8.44</v>
      </c>
      <c r="K256">
        <v>5.66</v>
      </c>
      <c r="L256">
        <v>25.3</v>
      </c>
      <c r="M256">
        <v>26.9278</v>
      </c>
      <c r="N256"/>
      <c r="O256"/>
      <c r="S256" s="18"/>
      <c r="V256" s="16"/>
      <c r="W256" s="31"/>
      <c r="X256" s="6"/>
      <c r="Y256" s="6"/>
      <c r="Z256" s="6"/>
      <c r="AA256" s="6"/>
      <c r="AB256" s="6"/>
    </row>
    <row r="257" ht="15" spans="1:26">
      <c r="A257" t="s">
        <v>751</v>
      </c>
      <c r="B257">
        <v>50.2</v>
      </c>
      <c r="C257">
        <v>26.48</v>
      </c>
      <c r="D257">
        <v>52.66</v>
      </c>
      <c r="E257" s="2">
        <v>3995696900</v>
      </c>
      <c r="F257" t="s">
        <v>752</v>
      </c>
      <c r="G257" s="16"/>
      <c r="H257" s="27"/>
      <c r="I257" s="16"/>
      <c r="J257">
        <v>9.51</v>
      </c>
      <c r="K257">
        <v>7.07</v>
      </c>
      <c r="L257">
        <v>30.37</v>
      </c>
      <c r="M257">
        <v>39.0625</v>
      </c>
      <c r="N257"/>
      <c r="O257"/>
      <c r="P257" s="6"/>
      <c r="Q257" s="6"/>
      <c r="S257" s="19"/>
      <c r="T257" s="16"/>
      <c r="W257" s="31"/>
      <c r="Y257" s="6"/>
      <c r="Z257" s="6"/>
    </row>
    <row r="258" ht="15" spans="1:23">
      <c r="A258" t="s">
        <v>1374</v>
      </c>
      <c r="B258">
        <v>6.42</v>
      </c>
      <c r="C258">
        <v>4.38</v>
      </c>
      <c r="D258">
        <v>7.16</v>
      </c>
      <c r="E258" s="2">
        <v>357181830.4</v>
      </c>
      <c r="F258" t="s">
        <v>1375</v>
      </c>
      <c r="H258" s="28"/>
      <c r="J258">
        <v>2.92</v>
      </c>
      <c r="K258">
        <v>5.58</v>
      </c>
      <c r="L258"/>
      <c r="M258"/>
      <c r="N258"/>
      <c r="O258"/>
      <c r="Q258" s="33"/>
      <c r="S258" s="18"/>
      <c r="W258" s="34"/>
    </row>
    <row r="259" ht="15" spans="1:24">
      <c r="A259" t="s">
        <v>656</v>
      </c>
      <c r="B259">
        <v>12.4</v>
      </c>
      <c r="C259">
        <v>8</v>
      </c>
      <c r="D259">
        <v>19</v>
      </c>
      <c r="E259" s="2">
        <v>845157283.3</v>
      </c>
      <c r="F259" t="s">
        <v>657</v>
      </c>
      <c r="G259" s="16"/>
      <c r="H259" s="27"/>
      <c r="I259" s="16"/>
      <c r="J259">
        <v>1.4</v>
      </c>
      <c r="K259">
        <v>4.33</v>
      </c>
      <c r="L259">
        <v>8.8777</v>
      </c>
      <c r="M259"/>
      <c r="N259"/>
      <c r="O259"/>
      <c r="P259" s="6"/>
      <c r="Q259" s="6"/>
      <c r="R259" s="6"/>
      <c r="S259" s="19"/>
      <c r="T259" s="16"/>
      <c r="U259" s="16"/>
      <c r="V259" s="16"/>
      <c r="W259" s="31"/>
      <c r="X259" s="6"/>
    </row>
    <row r="260" ht="15" spans="1:28">
      <c r="A260" t="s">
        <v>1376</v>
      </c>
      <c r="B260">
        <v>3.97</v>
      </c>
      <c r="C260">
        <v>2.2</v>
      </c>
      <c r="D260">
        <v>4.1</v>
      </c>
      <c r="E260" s="2">
        <v>290443108.95</v>
      </c>
      <c r="F260" t="s">
        <v>1377</v>
      </c>
      <c r="G260" s="16"/>
      <c r="H260" s="27"/>
      <c r="I260" s="16"/>
      <c r="J260">
        <v>0.31</v>
      </c>
      <c r="K260">
        <v>0.26</v>
      </c>
      <c r="L260">
        <v>4.3407</v>
      </c>
      <c r="M260"/>
      <c r="N260"/>
      <c r="O260"/>
      <c r="P260" s="6"/>
      <c r="Q260" s="6"/>
      <c r="S260" s="19"/>
      <c r="T260" s="16"/>
      <c r="U260" s="16"/>
      <c r="W260" s="31"/>
      <c r="AA260" s="6"/>
      <c r="AB260" s="6"/>
    </row>
    <row r="261" ht="15" spans="1:29">
      <c r="A261" t="s">
        <v>665</v>
      </c>
      <c r="B261">
        <v>9.22</v>
      </c>
      <c r="C261">
        <v>6.3</v>
      </c>
      <c r="D261">
        <v>10.8</v>
      </c>
      <c r="E261" s="2">
        <v>462721712.11</v>
      </c>
      <c r="F261" t="s">
        <v>666</v>
      </c>
      <c r="G261" s="16"/>
      <c r="H261" s="27"/>
      <c r="I261" s="16"/>
      <c r="J261">
        <v>0.51</v>
      </c>
      <c r="K261">
        <v>0.23</v>
      </c>
      <c r="L261">
        <v>5.8782</v>
      </c>
      <c r="M261"/>
      <c r="N261"/>
      <c r="O261"/>
      <c r="P261" s="6"/>
      <c r="Q261" s="6"/>
      <c r="R261" s="6"/>
      <c r="S261" s="19"/>
      <c r="T261" s="16"/>
      <c r="W261" s="31"/>
      <c r="AC261" s="6"/>
    </row>
    <row r="262" ht="15" spans="1:30">
      <c r="A262" t="s">
        <v>150</v>
      </c>
      <c r="B262">
        <v>1.73</v>
      </c>
      <c r="C262">
        <v>1.22</v>
      </c>
      <c r="D262">
        <v>4.29</v>
      </c>
      <c r="E262" s="2">
        <v>10054561</v>
      </c>
      <c r="F262" t="s">
        <v>151</v>
      </c>
      <c r="G262" s="16"/>
      <c r="H262" s="27"/>
      <c r="I262" s="16"/>
      <c r="J262">
        <v>0.28</v>
      </c>
      <c r="K262">
        <v>1.54</v>
      </c>
      <c r="L262">
        <v>9.5556</v>
      </c>
      <c r="M262"/>
      <c r="N262"/>
      <c r="O262"/>
      <c r="P262" s="6"/>
      <c r="Q262" s="6"/>
      <c r="S262" s="19"/>
      <c r="V262" s="16"/>
      <c r="W262" s="31"/>
      <c r="Y262" s="6"/>
      <c r="Z262" s="6"/>
      <c r="AD262" s="6"/>
    </row>
    <row r="263" s="6" customFormat="1" ht="15" spans="1:29">
      <c r="A263" t="s">
        <v>1378</v>
      </c>
      <c r="B263">
        <v>110.7</v>
      </c>
      <c r="C263">
        <v>78.51</v>
      </c>
      <c r="D263">
        <v>144.29</v>
      </c>
      <c r="E263" s="2">
        <v>2811358110</v>
      </c>
      <c r="F263" t="s">
        <v>1379</v>
      </c>
      <c r="G263" s="16"/>
      <c r="H263" s="26"/>
      <c r="I263" s="14"/>
      <c r="J263">
        <v>7.65</v>
      </c>
      <c r="K263">
        <v>9.93</v>
      </c>
      <c r="L263">
        <v>25.07</v>
      </c>
      <c r="M263">
        <v>37.8007</v>
      </c>
      <c r="N263"/>
      <c r="O263"/>
      <c r="P263" s="4"/>
      <c r="Q263" s="32"/>
      <c r="S263" s="19"/>
      <c r="T263" s="14"/>
      <c r="U263" s="14"/>
      <c r="V263" s="14"/>
      <c r="W263" s="31"/>
      <c r="X263" s="4"/>
      <c r="Y263" s="4"/>
      <c r="Z263" s="4"/>
      <c r="AA263" s="4"/>
      <c r="AB263" s="4"/>
      <c r="AC263" s="4"/>
    </row>
    <row r="264" ht="15" spans="1:23">
      <c r="A264" t="s">
        <v>1380</v>
      </c>
      <c r="B264">
        <v>3.88</v>
      </c>
      <c r="C264">
        <v>3.31</v>
      </c>
      <c r="D264">
        <v>9.9</v>
      </c>
      <c r="E264" s="2">
        <v>273969207.05</v>
      </c>
      <c r="F264" t="s">
        <v>1381</v>
      </c>
      <c r="G264" s="16"/>
      <c r="H264" s="27"/>
      <c r="I264" s="16"/>
      <c r="J264">
        <v>1.03</v>
      </c>
      <c r="K264">
        <v>1.21</v>
      </c>
      <c r="L264">
        <v>6.1105</v>
      </c>
      <c r="M264">
        <v>22.6471</v>
      </c>
      <c r="N264"/>
      <c r="O264"/>
      <c r="P264" s="6"/>
      <c r="Q264" s="6"/>
      <c r="R264" s="6"/>
      <c r="S264" s="19"/>
      <c r="T264" s="16"/>
      <c r="U264" s="16"/>
      <c r="W264" s="31"/>
    </row>
    <row r="265" ht="15" spans="1:30">
      <c r="A265" t="s">
        <v>645</v>
      </c>
      <c r="B265">
        <v>2.41</v>
      </c>
      <c r="C265">
        <v>1.86</v>
      </c>
      <c r="D265">
        <v>3.82</v>
      </c>
      <c r="E265" s="2">
        <v>298930060.21</v>
      </c>
      <c r="F265" t="s">
        <v>646</v>
      </c>
      <c r="H265" s="28"/>
      <c r="I265" s="17"/>
      <c r="J265">
        <v>0.56</v>
      </c>
      <c r="K265">
        <v>0.37</v>
      </c>
      <c r="L265">
        <v>7.2424</v>
      </c>
      <c r="M265"/>
      <c r="N265"/>
      <c r="O265"/>
      <c r="S265" s="18"/>
      <c r="T265" s="16"/>
      <c r="U265" s="16"/>
      <c r="W265" s="31"/>
      <c r="AA265" s="6"/>
      <c r="AB265" s="6"/>
      <c r="AD265" s="6"/>
    </row>
    <row r="266" ht="15" spans="1:30">
      <c r="A266" t="s">
        <v>152</v>
      </c>
      <c r="B266">
        <v>1.03</v>
      </c>
      <c r="C266">
        <v>0.43</v>
      </c>
      <c r="D266">
        <v>1.46</v>
      </c>
      <c r="E266" s="2">
        <v>52657500</v>
      </c>
      <c r="F266" t="s">
        <v>153</v>
      </c>
      <c r="G266" s="16"/>
      <c r="H266" s="27"/>
      <c r="I266" s="16"/>
      <c r="J266">
        <v>0.13</v>
      </c>
      <c r="K266">
        <v>0.1312</v>
      </c>
      <c r="L266">
        <v>1.4114</v>
      </c>
      <c r="M266">
        <v>11.3333</v>
      </c>
      <c r="N266"/>
      <c r="O266"/>
      <c r="P266" s="6"/>
      <c r="Q266" s="6"/>
      <c r="S266" s="19"/>
      <c r="V266" s="16"/>
      <c r="W266" s="31"/>
      <c r="AA266" s="6"/>
      <c r="AB266" s="6"/>
      <c r="AC266" s="6"/>
      <c r="AD266" s="6"/>
    </row>
    <row r="267" ht="15" spans="1:30">
      <c r="A267" t="s">
        <v>758</v>
      </c>
      <c r="B267">
        <v>15.93</v>
      </c>
      <c r="C267">
        <v>8.78</v>
      </c>
      <c r="D267">
        <v>20.7</v>
      </c>
      <c r="E267" s="2">
        <v>3211687180.41</v>
      </c>
      <c r="F267" t="s">
        <v>759</v>
      </c>
      <c r="G267" s="16"/>
      <c r="H267" s="27"/>
      <c r="I267" s="16"/>
      <c r="J267">
        <v>5.53</v>
      </c>
      <c r="K267">
        <v>7.61</v>
      </c>
      <c r="L267">
        <v>157.7</v>
      </c>
      <c r="M267"/>
      <c r="N267"/>
      <c r="O267"/>
      <c r="P267" s="6"/>
      <c r="Q267" s="6"/>
      <c r="S267" s="18"/>
      <c r="W267" s="31"/>
      <c r="AD267" s="6"/>
    </row>
    <row r="268" ht="15" spans="1:28">
      <c r="A268" t="s">
        <v>1382</v>
      </c>
      <c r="B268">
        <v>1.87</v>
      </c>
      <c r="C268">
        <v>1.31</v>
      </c>
      <c r="D268">
        <v>2.95</v>
      </c>
      <c r="E268" s="2">
        <v>84933270.6</v>
      </c>
      <c r="F268" t="s">
        <v>1383</v>
      </c>
      <c r="H268" s="27"/>
      <c r="I268" s="17"/>
      <c r="J268">
        <v>0.25</v>
      </c>
      <c r="K268">
        <v>0.57</v>
      </c>
      <c r="L268">
        <v>4.0217</v>
      </c>
      <c r="M268"/>
      <c r="N268"/>
      <c r="O268"/>
      <c r="S268" s="18"/>
      <c r="V268" s="16"/>
      <c r="W268" s="31"/>
      <c r="Y268" s="6"/>
      <c r="Z268" s="6"/>
      <c r="AA268" s="6"/>
      <c r="AB268" s="6"/>
    </row>
    <row r="269" ht="15" spans="1:29">
      <c r="A269" t="s">
        <v>1384</v>
      </c>
      <c r="B269">
        <v>4.11</v>
      </c>
      <c r="C269">
        <v>2.48</v>
      </c>
      <c r="D269">
        <v>7.6</v>
      </c>
      <c r="E269" s="2">
        <v>230260922.78</v>
      </c>
      <c r="F269" t="s">
        <v>1385</v>
      </c>
      <c r="G269" s="16"/>
      <c r="H269" s="27"/>
      <c r="J269">
        <v>0.78</v>
      </c>
      <c r="K269">
        <v>2.72</v>
      </c>
      <c r="L269"/>
      <c r="M269"/>
      <c r="N269"/>
      <c r="O269"/>
      <c r="Q269" s="32"/>
      <c r="R269" s="6"/>
      <c r="S269" s="19"/>
      <c r="W269" s="31"/>
      <c r="X269" s="6"/>
      <c r="AC269" s="6"/>
    </row>
    <row r="270" ht="15" spans="1:30">
      <c r="A270" t="s">
        <v>1386</v>
      </c>
      <c r="B270">
        <v>2.4</v>
      </c>
      <c r="C270">
        <v>1.42</v>
      </c>
      <c r="D270">
        <v>4.87</v>
      </c>
      <c r="E270" s="2">
        <v>40633650</v>
      </c>
      <c r="F270" t="s">
        <v>1387</v>
      </c>
      <c r="G270" s="16"/>
      <c r="H270" s="27"/>
      <c r="I270" s="16"/>
      <c r="J270">
        <v>2.1</v>
      </c>
      <c r="K270">
        <v>2.52</v>
      </c>
      <c r="L270"/>
      <c r="M270"/>
      <c r="N270"/>
      <c r="O270"/>
      <c r="P270" s="6"/>
      <c r="Q270" s="6"/>
      <c r="S270" s="19"/>
      <c r="T270" s="16"/>
      <c r="W270" s="31"/>
      <c r="X270" s="6"/>
      <c r="AC270" s="6"/>
      <c r="AD270" s="6"/>
    </row>
    <row r="271" ht="15" spans="1:30">
      <c r="A271" t="s">
        <v>1388</v>
      </c>
      <c r="B271">
        <v>7.89</v>
      </c>
      <c r="C271">
        <v>5.07</v>
      </c>
      <c r="D271">
        <v>9.75</v>
      </c>
      <c r="E271" s="2">
        <v>232969508.33</v>
      </c>
      <c r="F271" t="s">
        <v>1389</v>
      </c>
      <c r="H271" s="25"/>
      <c r="I271" s="17"/>
      <c r="J271">
        <v>1.64</v>
      </c>
      <c r="K271">
        <v>1.19</v>
      </c>
      <c r="L271">
        <v>14.1636</v>
      </c>
      <c r="M271"/>
      <c r="N271"/>
      <c r="O271"/>
      <c r="S271" s="18"/>
      <c r="U271" s="16"/>
      <c r="W271" s="31"/>
      <c r="X271" s="6"/>
      <c r="AC271" s="6"/>
      <c r="AD271" s="6"/>
    </row>
    <row r="272" ht="15" spans="1:30">
      <c r="A272" t="s">
        <v>1390</v>
      </c>
      <c r="B272">
        <v>1.5</v>
      </c>
      <c r="C272">
        <v>1.21</v>
      </c>
      <c r="D272">
        <v>2.82</v>
      </c>
      <c r="E272" s="2">
        <v>39286909.32</v>
      </c>
      <c r="F272" t="s">
        <v>1391</v>
      </c>
      <c r="H272" s="28"/>
      <c r="J272">
        <v>0.46</v>
      </c>
      <c r="K272">
        <v>0.7</v>
      </c>
      <c r="L272"/>
      <c r="M272"/>
      <c r="N272"/>
      <c r="O272"/>
      <c r="Q272" s="33"/>
      <c r="S272" s="18"/>
      <c r="W272" s="34"/>
      <c r="AD272" s="6"/>
    </row>
    <row r="273" ht="15" spans="1:30">
      <c r="A273" t="s">
        <v>454</v>
      </c>
      <c r="B273">
        <v>23.69</v>
      </c>
      <c r="C273">
        <v>14.32</v>
      </c>
      <c r="D273">
        <v>32.28</v>
      </c>
      <c r="E273" s="2">
        <v>728375393.45</v>
      </c>
      <c r="F273" t="s">
        <v>455</v>
      </c>
      <c r="H273" s="28"/>
      <c r="I273" s="17"/>
      <c r="J273">
        <v>1.2</v>
      </c>
      <c r="K273">
        <v>0.37</v>
      </c>
      <c r="L273">
        <v>24.1952</v>
      </c>
      <c r="M273">
        <v>14.2378</v>
      </c>
      <c r="N273"/>
      <c r="O273"/>
      <c r="S273" s="18"/>
      <c r="V273" s="16"/>
      <c r="W273" s="31"/>
      <c r="AA273" s="6"/>
      <c r="AB273" s="6"/>
      <c r="AD273" s="6"/>
    </row>
    <row r="274" s="6" customFormat="1" ht="15" spans="1:30">
      <c r="A274" t="s">
        <v>1392</v>
      </c>
      <c r="B274">
        <v>0.69</v>
      </c>
      <c r="C274">
        <v>0.6</v>
      </c>
      <c r="D274">
        <v>3.48</v>
      </c>
      <c r="E274" s="2">
        <v>51829740.9</v>
      </c>
      <c r="F274" t="s">
        <v>1393</v>
      </c>
      <c r="G274" s="14"/>
      <c r="H274" s="28"/>
      <c r="I274" s="17"/>
      <c r="J274">
        <v>2.76</v>
      </c>
      <c r="K274">
        <v>1.6711</v>
      </c>
      <c r="L274">
        <v>5.7636</v>
      </c>
      <c r="M274"/>
      <c r="N274"/>
      <c r="O274"/>
      <c r="P274" s="4"/>
      <c r="Q274" s="4"/>
      <c r="R274" s="4"/>
      <c r="S274" s="18"/>
      <c r="T274" s="14"/>
      <c r="U274" s="16"/>
      <c r="V274" s="14"/>
      <c r="W274" s="31"/>
      <c r="X274" s="4"/>
      <c r="Y274" s="4"/>
      <c r="Z274" s="4"/>
      <c r="AC274" s="4"/>
      <c r="AD274" s="4"/>
    </row>
    <row r="275" s="6" customFormat="1" ht="15" spans="1:30">
      <c r="A275" t="s">
        <v>1394</v>
      </c>
      <c r="B275">
        <v>15.8</v>
      </c>
      <c r="C275">
        <v>11.65</v>
      </c>
      <c r="D275">
        <v>17.66</v>
      </c>
      <c r="E275" s="2">
        <v>972207693.45</v>
      </c>
      <c r="F275" t="s">
        <v>1395</v>
      </c>
      <c r="G275" s="16"/>
      <c r="H275" s="26"/>
      <c r="I275" s="16"/>
      <c r="J275">
        <v>4.61</v>
      </c>
      <c r="K275">
        <v>4.02</v>
      </c>
      <c r="L275">
        <v>32.6421</v>
      </c>
      <c r="M275">
        <v>21.0405</v>
      </c>
      <c r="N275"/>
      <c r="O275"/>
      <c r="S275" s="19"/>
      <c r="T275" s="14"/>
      <c r="U275" s="16"/>
      <c r="V275" s="14"/>
      <c r="W275" s="31"/>
      <c r="X275" s="4"/>
      <c r="AA275" s="4"/>
      <c r="AB275" s="4"/>
      <c r="AD275" s="4"/>
    </row>
    <row r="276" s="6" customFormat="1" ht="15" spans="1:30">
      <c r="A276" t="s">
        <v>1396</v>
      </c>
      <c r="B276">
        <v>4.65</v>
      </c>
      <c r="C276">
        <v>4.11</v>
      </c>
      <c r="D276">
        <v>13</v>
      </c>
      <c r="E276" s="2">
        <v>358981815.22</v>
      </c>
      <c r="F276" t="s">
        <v>1397</v>
      </c>
      <c r="G276" s="16"/>
      <c r="H276" s="27"/>
      <c r="I276" s="14"/>
      <c r="J276">
        <v>-1.55</v>
      </c>
      <c r="K276">
        <v>11.91</v>
      </c>
      <c r="L276"/>
      <c r="M276"/>
      <c r="N276"/>
      <c r="O276"/>
      <c r="P276" s="4"/>
      <c r="Q276" s="32"/>
      <c r="S276" s="19"/>
      <c r="T276" s="14"/>
      <c r="U276" s="14"/>
      <c r="V276" s="14"/>
      <c r="W276" s="31"/>
      <c r="X276" s="4"/>
      <c r="Y276" s="4"/>
      <c r="Z276" s="4"/>
      <c r="AA276" s="4"/>
      <c r="AB276" s="4"/>
      <c r="AC276" s="4"/>
      <c r="AD276" s="4"/>
    </row>
    <row r="277" ht="15" spans="1:26">
      <c r="A277" t="s">
        <v>744</v>
      </c>
      <c r="B277">
        <v>5.8</v>
      </c>
      <c r="C277">
        <v>5.14</v>
      </c>
      <c r="D277">
        <v>14.34</v>
      </c>
      <c r="E277" s="2">
        <v>385470114.71</v>
      </c>
      <c r="F277" t="s">
        <v>745</v>
      </c>
      <c r="G277" s="16"/>
      <c r="H277" s="27"/>
      <c r="I277" s="16"/>
      <c r="J277">
        <v>0.85</v>
      </c>
      <c r="K277">
        <v>2.52</v>
      </c>
      <c r="L277">
        <v>63.92</v>
      </c>
      <c r="M277"/>
      <c r="N277"/>
      <c r="O277"/>
      <c r="P277" s="6"/>
      <c r="Q277" s="6"/>
      <c r="S277" s="19"/>
      <c r="T277" s="16"/>
      <c r="U277" s="16"/>
      <c r="V277" s="16"/>
      <c r="W277" s="31"/>
      <c r="Y277" s="6"/>
      <c r="Z277" s="6"/>
    </row>
    <row r="278" s="6" customFormat="1" ht="15" spans="1:30">
      <c r="A278" t="s">
        <v>1398</v>
      </c>
      <c r="B278">
        <v>1.3</v>
      </c>
      <c r="C278">
        <v>0.94</v>
      </c>
      <c r="D278">
        <v>2.3</v>
      </c>
      <c r="E278" s="2">
        <v>26004480</v>
      </c>
      <c r="F278" t="s">
        <v>1399</v>
      </c>
      <c r="G278" s="14"/>
      <c r="H278" s="25"/>
      <c r="I278" s="17"/>
      <c r="J278">
        <v>0.15</v>
      </c>
      <c r="K278">
        <v>0.2</v>
      </c>
      <c r="L278">
        <v>2.2456</v>
      </c>
      <c r="M278"/>
      <c r="N278"/>
      <c r="O278"/>
      <c r="Q278" s="4"/>
      <c r="R278" s="4"/>
      <c r="S278" s="18"/>
      <c r="T278" s="16"/>
      <c r="U278" s="14"/>
      <c r="V278" s="16"/>
      <c r="W278" s="31"/>
      <c r="X278" s="4"/>
      <c r="Y278" s="4"/>
      <c r="Z278" s="4"/>
      <c r="AA278" s="4"/>
      <c r="AB278" s="4"/>
      <c r="AC278" s="4"/>
      <c r="AD278" s="4"/>
    </row>
    <row r="279" s="6" customFormat="1" ht="15" spans="1:30">
      <c r="A279" t="s">
        <v>1400</v>
      </c>
      <c r="B279">
        <v>10.01</v>
      </c>
      <c r="C279">
        <v>6.47</v>
      </c>
      <c r="D279">
        <v>11.71</v>
      </c>
      <c r="E279" s="2">
        <v>488575651.65</v>
      </c>
      <c r="F279" t="s">
        <v>1401</v>
      </c>
      <c r="G279" s="14"/>
      <c r="H279" s="27"/>
      <c r="I279" s="17"/>
      <c r="J279">
        <v>2.93</v>
      </c>
      <c r="K279">
        <v>3.17</v>
      </c>
      <c r="L279">
        <v>13.39</v>
      </c>
      <c r="M279">
        <v>17.2807</v>
      </c>
      <c r="N279"/>
      <c r="O279"/>
      <c r="P279" s="4"/>
      <c r="Q279" s="4"/>
      <c r="R279" s="4"/>
      <c r="S279" s="18"/>
      <c r="T279" s="16"/>
      <c r="U279" s="16"/>
      <c r="V279" s="14"/>
      <c r="W279" s="31"/>
      <c r="X279" s="4"/>
      <c r="Y279" s="4"/>
      <c r="Z279" s="4"/>
      <c r="AD279" s="4"/>
    </row>
    <row r="280" ht="15" spans="1:23">
      <c r="A280" t="s">
        <v>684</v>
      </c>
      <c r="B280">
        <v>1.08</v>
      </c>
      <c r="C280">
        <v>0.66</v>
      </c>
      <c r="D280">
        <v>2.74</v>
      </c>
      <c r="E280">
        <v>4276040</v>
      </c>
      <c r="F280" t="s">
        <v>685</v>
      </c>
      <c r="G280" s="16"/>
      <c r="H280" s="27"/>
      <c r="I280" s="16"/>
      <c r="J280">
        <v>0.14</v>
      </c>
      <c r="K280">
        <v>0.01</v>
      </c>
      <c r="L280"/>
      <c r="M280"/>
      <c r="N280"/>
      <c r="O280"/>
      <c r="P280" s="6"/>
      <c r="Q280" s="6"/>
      <c r="R280" s="6"/>
      <c r="S280" s="19"/>
      <c r="W280" s="31"/>
    </row>
    <row r="281" ht="15" spans="1:29">
      <c r="A281" t="s">
        <v>1402</v>
      </c>
      <c r="B281">
        <v>9.57</v>
      </c>
      <c r="C281">
        <v>7.72</v>
      </c>
      <c r="D281">
        <v>11.55</v>
      </c>
      <c r="E281" s="2">
        <v>275172618</v>
      </c>
      <c r="F281" t="s">
        <v>1403</v>
      </c>
      <c r="G281" s="16"/>
      <c r="H281" s="27"/>
      <c r="J281">
        <v>1.47</v>
      </c>
      <c r="K281">
        <v>3.9176</v>
      </c>
      <c r="L281">
        <v>8.7746</v>
      </c>
      <c r="M281"/>
      <c r="N281"/>
      <c r="O281"/>
      <c r="Q281" s="32"/>
      <c r="R281" s="6"/>
      <c r="S281" s="19"/>
      <c r="W281" s="31"/>
      <c r="X281" s="6"/>
      <c r="AA281" s="6"/>
      <c r="AB281" s="6"/>
      <c r="AC281" s="6"/>
    </row>
    <row r="282" s="6" customFormat="1" ht="15" spans="1:30">
      <c r="A282" t="s">
        <v>1404</v>
      </c>
      <c r="B282">
        <v>2.16</v>
      </c>
      <c r="C282">
        <v>1.75</v>
      </c>
      <c r="D282">
        <v>6.6</v>
      </c>
      <c r="E282" s="2">
        <v>59572000</v>
      </c>
      <c r="F282" t="s">
        <v>1405</v>
      </c>
      <c r="G282" s="14"/>
      <c r="H282" s="23"/>
      <c r="I282" s="17"/>
      <c r="J282">
        <v>0.61</v>
      </c>
      <c r="K282">
        <v>0.51</v>
      </c>
      <c r="L282">
        <v>74.4054</v>
      </c>
      <c r="M282">
        <v>10.0952</v>
      </c>
      <c r="N282"/>
      <c r="O282"/>
      <c r="P282" s="4"/>
      <c r="Q282" s="4"/>
      <c r="R282" s="4"/>
      <c r="S282" s="18"/>
      <c r="T282" s="14"/>
      <c r="U282" s="14"/>
      <c r="V282" s="16"/>
      <c r="W282" s="31"/>
      <c r="X282" s="4"/>
      <c r="Y282" s="4"/>
      <c r="Z282" s="4"/>
      <c r="AA282" s="4"/>
      <c r="AB282" s="4"/>
      <c r="AC282" s="4"/>
      <c r="AD282" s="4"/>
    </row>
    <row r="283" s="6" customFormat="1" ht="15" spans="1:30">
      <c r="A283" t="s">
        <v>1406</v>
      </c>
      <c r="B283">
        <v>10</v>
      </c>
      <c r="C283">
        <v>7.34</v>
      </c>
      <c r="D283">
        <v>12.5</v>
      </c>
      <c r="E283" s="2">
        <v>242415000</v>
      </c>
      <c r="F283" t="s">
        <v>1407</v>
      </c>
      <c r="G283" s="14"/>
      <c r="H283" s="28"/>
      <c r="I283" s="17"/>
      <c r="J283">
        <v>21.74</v>
      </c>
      <c r="K283">
        <v>31.07</v>
      </c>
      <c r="L283">
        <v>10</v>
      </c>
      <c r="M283"/>
      <c r="N283"/>
      <c r="O283"/>
      <c r="P283" s="4"/>
      <c r="Q283" s="4"/>
      <c r="R283" s="4"/>
      <c r="S283" s="18"/>
      <c r="T283" s="14"/>
      <c r="U283" s="16"/>
      <c r="V283" s="14"/>
      <c r="W283" s="31"/>
      <c r="X283" s="4"/>
      <c r="Y283" s="4"/>
      <c r="Z283" s="4"/>
      <c r="AA283" s="4"/>
      <c r="AB283" s="4"/>
      <c r="AC283" s="4"/>
      <c r="AD283" s="4"/>
    </row>
    <row r="284" s="6" customFormat="1" ht="15" spans="1:30">
      <c r="A284" t="s">
        <v>720</v>
      </c>
      <c r="B284">
        <v>15.33</v>
      </c>
      <c r="C284">
        <v>13.33</v>
      </c>
      <c r="D284">
        <v>36.63</v>
      </c>
      <c r="E284" s="2">
        <v>2135852820</v>
      </c>
      <c r="F284" t="s">
        <v>721</v>
      </c>
      <c r="G284" s="16"/>
      <c r="H284" s="29"/>
      <c r="I284" s="14"/>
      <c r="J284">
        <v>4.98</v>
      </c>
      <c r="K284">
        <v>4.4</v>
      </c>
      <c r="L284">
        <v>215.1355</v>
      </c>
      <c r="M284">
        <v>88.2353</v>
      </c>
      <c r="N284"/>
      <c r="O284"/>
      <c r="P284" s="4"/>
      <c r="Q284" s="32"/>
      <c r="S284" s="19"/>
      <c r="T284" s="14"/>
      <c r="U284" s="14"/>
      <c r="V284" s="14"/>
      <c r="W284" s="31"/>
      <c r="Y284" s="4"/>
      <c r="Z284" s="4"/>
      <c r="AD284" s="4"/>
    </row>
    <row r="285" s="6" customFormat="1" ht="15" spans="1:30">
      <c r="A285" t="s">
        <v>1408</v>
      </c>
      <c r="B285">
        <v>1.71</v>
      </c>
      <c r="C285">
        <v>0.86</v>
      </c>
      <c r="D285">
        <v>1.9</v>
      </c>
      <c r="E285" s="2">
        <v>42960750</v>
      </c>
      <c r="F285" t="s">
        <v>1409</v>
      </c>
      <c r="G285" s="16"/>
      <c r="H285" s="27"/>
      <c r="I285" s="16"/>
      <c r="J285">
        <v>0.16</v>
      </c>
      <c r="K285">
        <v>0.1119</v>
      </c>
      <c r="L285">
        <v>3.3536</v>
      </c>
      <c r="M285">
        <v>4.7714</v>
      </c>
      <c r="N285"/>
      <c r="O285"/>
      <c r="S285" s="19"/>
      <c r="T285" s="14"/>
      <c r="U285" s="16"/>
      <c r="V285" s="14"/>
      <c r="W285" s="31"/>
      <c r="X285" s="4"/>
      <c r="Y285" s="4"/>
      <c r="Z285" s="4"/>
      <c r="AA285" s="4"/>
      <c r="AB285" s="4"/>
      <c r="AC285" s="4"/>
      <c r="AD285" s="4"/>
    </row>
    <row r="286" ht="15" spans="1:30">
      <c r="A286" t="s">
        <v>625</v>
      </c>
      <c r="B286">
        <v>31.8</v>
      </c>
      <c r="C286">
        <v>18.09</v>
      </c>
      <c r="D286">
        <v>33.56</v>
      </c>
      <c r="E286" s="2">
        <v>4909060000</v>
      </c>
      <c r="F286" t="s">
        <v>626</v>
      </c>
      <c r="H286" s="27"/>
      <c r="I286" s="17"/>
      <c r="J286">
        <v>3.78</v>
      </c>
      <c r="K286">
        <v>3.68</v>
      </c>
      <c r="L286">
        <v>15.28</v>
      </c>
      <c r="M286">
        <v>23.3609</v>
      </c>
      <c r="N286"/>
      <c r="O286"/>
      <c r="S286" s="18"/>
      <c r="W286" s="31"/>
      <c r="AA286" s="6"/>
      <c r="AB286" s="6"/>
      <c r="AD286" s="6"/>
    </row>
    <row r="287" ht="15" spans="1:23">
      <c r="A287" t="s">
        <v>1410</v>
      </c>
      <c r="B287">
        <v>25.61</v>
      </c>
      <c r="C287">
        <v>19.34</v>
      </c>
      <c r="D287">
        <v>48.23</v>
      </c>
      <c r="E287" s="2">
        <v>468184500</v>
      </c>
      <c r="F287" t="s">
        <v>1411</v>
      </c>
      <c r="H287" s="28"/>
      <c r="I287" s="17"/>
      <c r="J287">
        <v>0.83</v>
      </c>
      <c r="K287">
        <v>1.67</v>
      </c>
      <c r="L287">
        <v>56.61</v>
      </c>
      <c r="M287">
        <v>104.375</v>
      </c>
      <c r="S287" s="18"/>
      <c r="V287" s="16"/>
      <c r="W287" s="31"/>
    </row>
    <row r="288" s="6" customFormat="1" ht="15" spans="1:30">
      <c r="A288" t="s">
        <v>1412</v>
      </c>
      <c r="B288">
        <v>3.38</v>
      </c>
      <c r="C288">
        <v>2.48</v>
      </c>
      <c r="D288">
        <v>12.15</v>
      </c>
      <c r="E288" s="2">
        <v>120344400</v>
      </c>
      <c r="F288" t="s">
        <v>1413</v>
      </c>
      <c r="G288" s="14"/>
      <c r="H288" s="28"/>
      <c r="I288" s="17"/>
      <c r="J288">
        <v>0.98</v>
      </c>
      <c r="K288">
        <v>2.86</v>
      </c>
      <c r="L288"/>
      <c r="M288"/>
      <c r="N288"/>
      <c r="O288"/>
      <c r="P288" s="4"/>
      <c r="Q288" s="4"/>
      <c r="R288" s="4"/>
      <c r="S288" s="18"/>
      <c r="T288" s="14"/>
      <c r="U288" s="16"/>
      <c r="V288" s="14"/>
      <c r="W288" s="31"/>
      <c r="Y288" s="4"/>
      <c r="Z288" s="4"/>
      <c r="AA288" s="4"/>
      <c r="AB288" s="4"/>
      <c r="AC288" s="4"/>
      <c r="AD288" s="4"/>
    </row>
    <row r="289" s="6" customFormat="1" ht="15" spans="1:30">
      <c r="A289" t="s">
        <v>1414</v>
      </c>
      <c r="B289">
        <v>4.2</v>
      </c>
      <c r="C289">
        <v>3.5</v>
      </c>
      <c r="D289">
        <v>8.97</v>
      </c>
      <c r="E289" s="2">
        <v>131374967.71</v>
      </c>
      <c r="F289" t="s">
        <v>1415</v>
      </c>
      <c r="G289" s="14"/>
      <c r="H289" s="27"/>
      <c r="I289" s="17"/>
      <c r="J289">
        <v>0.44</v>
      </c>
      <c r="K289">
        <v>0.29</v>
      </c>
      <c r="L289">
        <v>5.42</v>
      </c>
      <c r="M289">
        <v>15.1481</v>
      </c>
      <c r="N289"/>
      <c r="O289"/>
      <c r="P289" s="4"/>
      <c r="Q289" s="4"/>
      <c r="R289" s="4"/>
      <c r="S289" s="18"/>
      <c r="T289" s="14"/>
      <c r="U289" s="14"/>
      <c r="V289" s="14"/>
      <c r="W289" s="31"/>
      <c r="AC289" s="4"/>
      <c r="AD289" s="4"/>
    </row>
    <row r="290" ht="15" spans="1:23">
      <c r="A290" t="s">
        <v>1416</v>
      </c>
      <c r="B290">
        <v>1.01</v>
      </c>
      <c r="C290">
        <v>0.8822</v>
      </c>
      <c r="D290">
        <v>1.89</v>
      </c>
      <c r="E290" s="2">
        <v>54391938.93</v>
      </c>
      <c r="F290" t="s">
        <v>1417</v>
      </c>
      <c r="G290" s="16"/>
      <c r="H290" s="27"/>
      <c r="I290" s="16"/>
      <c r="J290">
        <v>0.96</v>
      </c>
      <c r="K290">
        <v>0.0592</v>
      </c>
      <c r="L290">
        <v>9.821</v>
      </c>
      <c r="M290"/>
      <c r="N290"/>
      <c r="O290"/>
      <c r="Q290" s="6"/>
      <c r="S290" s="18"/>
      <c r="T290" s="16"/>
      <c r="V290" s="16"/>
      <c r="W290" s="31"/>
    </row>
    <row r="291" ht="15" spans="1:24">
      <c r="A291" t="s">
        <v>1418</v>
      </c>
      <c r="B291">
        <v>0.71</v>
      </c>
      <c r="C291">
        <v>0.61</v>
      </c>
      <c r="D291">
        <v>1.93</v>
      </c>
      <c r="E291" s="2">
        <v>20410289.7</v>
      </c>
      <c r="F291" t="s">
        <v>1419</v>
      </c>
      <c r="H291" s="27"/>
      <c r="J291">
        <v>0.64</v>
      </c>
      <c r="K291">
        <v>0.59</v>
      </c>
      <c r="L291"/>
      <c r="M291"/>
      <c r="N291"/>
      <c r="O291"/>
      <c r="S291" s="18"/>
      <c r="W291" s="31"/>
      <c r="X291" s="6"/>
    </row>
    <row r="292" s="6" customFormat="1" ht="15" spans="1:30">
      <c r="A292" t="s">
        <v>639</v>
      </c>
      <c r="B292">
        <v>5.31</v>
      </c>
      <c r="C292">
        <v>2.9</v>
      </c>
      <c r="D292">
        <v>6.85</v>
      </c>
      <c r="E292" s="2">
        <v>116015303.76</v>
      </c>
      <c r="F292" t="s">
        <v>640</v>
      </c>
      <c r="G292" s="16"/>
      <c r="H292" s="27"/>
      <c r="I292" s="16"/>
      <c r="J292">
        <v>1.5</v>
      </c>
      <c r="K292">
        <v>1.27</v>
      </c>
      <c r="L292">
        <v>39.6923</v>
      </c>
      <c r="M292"/>
      <c r="N292"/>
      <c r="O292"/>
      <c r="P292" s="4"/>
      <c r="R292" s="4"/>
      <c r="S292" s="18"/>
      <c r="T292" s="16"/>
      <c r="U292" s="16"/>
      <c r="V292" s="14"/>
      <c r="W292" s="31"/>
      <c r="X292" s="4"/>
      <c r="AA292" s="4"/>
      <c r="AB292" s="4"/>
      <c r="AC292" s="4"/>
      <c r="AD292" s="4"/>
    </row>
    <row r="293" ht="15" spans="1:29">
      <c r="A293" t="s">
        <v>1420</v>
      </c>
      <c r="B293">
        <v>0.52</v>
      </c>
      <c r="C293">
        <v>0.5</v>
      </c>
      <c r="D293">
        <v>3.94</v>
      </c>
      <c r="E293">
        <v>791440</v>
      </c>
      <c r="F293" t="s">
        <v>1421</v>
      </c>
      <c r="H293" s="28"/>
      <c r="I293" s="17"/>
      <c r="J293">
        <v>0.05</v>
      </c>
      <c r="K293">
        <v>0</v>
      </c>
      <c r="L293"/>
      <c r="M293"/>
      <c r="N293"/>
      <c r="O293"/>
      <c r="S293" s="18"/>
      <c r="W293" s="31"/>
      <c r="Y293" s="6"/>
      <c r="Z293" s="6"/>
      <c r="AC293" s="6"/>
    </row>
    <row r="294" ht="15" spans="1:23">
      <c r="A294" t="s">
        <v>603</v>
      </c>
      <c r="B294">
        <v>32.89</v>
      </c>
      <c r="C294">
        <v>22.23</v>
      </c>
      <c r="D294">
        <v>37.77</v>
      </c>
      <c r="E294" s="2">
        <v>1870465667.04</v>
      </c>
      <c r="F294" t="s">
        <v>604</v>
      </c>
      <c r="G294" s="16"/>
      <c r="H294" s="27"/>
      <c r="J294">
        <v>3.1</v>
      </c>
      <c r="K294">
        <v>6.39</v>
      </c>
      <c r="L294">
        <v>23.3155</v>
      </c>
      <c r="M294">
        <v>23.7612</v>
      </c>
      <c r="N294"/>
      <c r="O294"/>
      <c r="Q294" s="32"/>
      <c r="R294" s="6"/>
      <c r="S294" s="19"/>
      <c r="V294" s="16"/>
      <c r="W294" s="31"/>
    </row>
    <row r="295" s="6" customFormat="1" ht="15" spans="1:30">
      <c r="A295" t="s">
        <v>1422</v>
      </c>
      <c r="B295">
        <v>1.5</v>
      </c>
      <c r="C295">
        <v>0.91</v>
      </c>
      <c r="D295">
        <v>1.97</v>
      </c>
      <c r="E295" s="2">
        <v>148354911.4</v>
      </c>
      <c r="F295" t="s">
        <v>1423</v>
      </c>
      <c r="G295" s="16"/>
      <c r="H295" s="27"/>
      <c r="I295" s="16"/>
      <c r="J295">
        <v>1.34</v>
      </c>
      <c r="K295">
        <v>0.11</v>
      </c>
      <c r="L295"/>
      <c r="M295"/>
      <c r="N295"/>
      <c r="O295"/>
      <c r="P295" s="4"/>
      <c r="R295" s="4"/>
      <c r="S295" s="18"/>
      <c r="T295" s="14"/>
      <c r="U295" s="14"/>
      <c r="V295" s="16"/>
      <c r="W295" s="31"/>
      <c r="X295" s="4"/>
      <c r="AA295" s="4"/>
      <c r="AB295" s="4"/>
      <c r="AD295" s="4"/>
    </row>
    <row r="296" ht="15" spans="1:23">
      <c r="A296" t="s">
        <v>252</v>
      </c>
      <c r="B296">
        <v>5.92</v>
      </c>
      <c r="C296">
        <v>0.47</v>
      </c>
      <c r="D296">
        <v>20.85</v>
      </c>
      <c r="E296" s="2">
        <v>158071431.73</v>
      </c>
      <c r="F296" t="s">
        <v>253</v>
      </c>
      <c r="H296" s="28"/>
      <c r="J296">
        <v>0.26</v>
      </c>
      <c r="K296">
        <v>0.26</v>
      </c>
      <c r="L296"/>
      <c r="M296"/>
      <c r="N296"/>
      <c r="O296"/>
      <c r="S296" s="18"/>
      <c r="V296" s="16"/>
      <c r="W296" s="31"/>
    </row>
    <row r="297" ht="15" spans="1:29">
      <c r="A297" t="s">
        <v>786</v>
      </c>
      <c r="B297">
        <v>18.69</v>
      </c>
      <c r="C297">
        <v>9.19</v>
      </c>
      <c r="D297">
        <v>30.67</v>
      </c>
      <c r="E297" s="2">
        <v>754510633.83</v>
      </c>
      <c r="F297" t="s">
        <v>787</v>
      </c>
      <c r="H297" s="28"/>
      <c r="I297" s="17"/>
      <c r="J297">
        <v>2.7</v>
      </c>
      <c r="K297">
        <v>20.81</v>
      </c>
      <c r="L297">
        <v>44.4521</v>
      </c>
      <c r="M297"/>
      <c r="N297"/>
      <c r="O297"/>
      <c r="S297" s="18"/>
      <c r="T297" s="16"/>
      <c r="W297" s="31"/>
      <c r="Y297" s="6"/>
      <c r="Z297" s="6"/>
      <c r="AC297" s="6"/>
    </row>
    <row r="298" ht="15" spans="1:28">
      <c r="A298" t="s">
        <v>167</v>
      </c>
      <c r="B298">
        <v>0.7725</v>
      </c>
      <c r="C298">
        <v>0.521</v>
      </c>
      <c r="D298">
        <v>2.45</v>
      </c>
      <c r="E298">
        <v>4849220</v>
      </c>
      <c r="F298" t="s">
        <v>168</v>
      </c>
      <c r="G298" s="16"/>
      <c r="H298" s="29"/>
      <c r="I298" s="16"/>
      <c r="J298">
        <v>0.15</v>
      </c>
      <c r="K298">
        <v>0.58</v>
      </c>
      <c r="L298"/>
      <c r="M298"/>
      <c r="N298"/>
      <c r="O298"/>
      <c r="Q298" s="6"/>
      <c r="S298" s="18"/>
      <c r="V298" s="16"/>
      <c r="W298" s="31"/>
      <c r="X298" s="6"/>
      <c r="AA298" s="6"/>
      <c r="AB298" s="6"/>
    </row>
    <row r="299" ht="15" spans="1:29">
      <c r="A299" t="s">
        <v>64</v>
      </c>
      <c r="B299">
        <v>1.59</v>
      </c>
      <c r="C299">
        <v>0.53</v>
      </c>
      <c r="D299">
        <v>5.2</v>
      </c>
      <c r="E299" s="2">
        <v>94354285.82</v>
      </c>
      <c r="F299" t="s">
        <v>65</v>
      </c>
      <c r="H299" s="28"/>
      <c r="I299" s="17"/>
      <c r="J299">
        <v>-0.02</v>
      </c>
      <c r="K299">
        <v>0.01</v>
      </c>
      <c r="L299"/>
      <c r="M299"/>
      <c r="N299"/>
      <c r="O299"/>
      <c r="S299" s="18"/>
      <c r="T299" s="16"/>
      <c r="U299" s="16"/>
      <c r="V299" s="16"/>
      <c r="W299" s="31"/>
      <c r="AC299" s="6"/>
    </row>
    <row r="300" ht="15" spans="1:23">
      <c r="A300" t="s">
        <v>605</v>
      </c>
      <c r="B300">
        <v>7.2</v>
      </c>
      <c r="C300">
        <v>3.8</v>
      </c>
      <c r="D300">
        <v>18.38</v>
      </c>
      <c r="E300" s="2">
        <v>27016902.64</v>
      </c>
      <c r="F300" t="s">
        <v>606</v>
      </c>
      <c r="G300" s="16"/>
      <c r="H300" s="23"/>
      <c r="I300" s="16"/>
      <c r="J300">
        <v>1.59</v>
      </c>
      <c r="K300">
        <v>1.02</v>
      </c>
      <c r="L300">
        <v>17.6667</v>
      </c>
      <c r="M300"/>
      <c r="N300"/>
      <c r="O300"/>
      <c r="P300" s="6"/>
      <c r="Q300" s="6"/>
      <c r="S300" s="19"/>
      <c r="U300" s="16"/>
      <c r="W300" s="31"/>
    </row>
    <row r="301" s="6" customFormat="1" ht="15" spans="1:30">
      <c r="A301" t="s">
        <v>1424</v>
      </c>
      <c r="B301">
        <v>1.2</v>
      </c>
      <c r="C301">
        <v>1.03</v>
      </c>
      <c r="D301">
        <v>2.44</v>
      </c>
      <c r="E301" s="2">
        <v>63760673.76</v>
      </c>
      <c r="F301" t="s">
        <v>1425</v>
      </c>
      <c r="G301" s="16"/>
      <c r="H301" s="26"/>
      <c r="I301" s="16"/>
      <c r="J301">
        <v>0.08</v>
      </c>
      <c r="K301">
        <v>0.1794</v>
      </c>
      <c r="L301">
        <v>4.105</v>
      </c>
      <c r="M301"/>
      <c r="N301"/>
      <c r="O301"/>
      <c r="S301" s="19"/>
      <c r="T301" s="16"/>
      <c r="U301" s="14"/>
      <c r="V301" s="14"/>
      <c r="W301" s="31"/>
      <c r="X301" s="4"/>
      <c r="AA301" s="4"/>
      <c r="AB301" s="4"/>
      <c r="AC301" s="4"/>
      <c r="AD301" s="4"/>
    </row>
    <row r="302" s="6" customFormat="1" ht="15" spans="1:30">
      <c r="A302" t="s">
        <v>1426</v>
      </c>
      <c r="B302">
        <v>0.325</v>
      </c>
      <c r="C302">
        <v>0.25</v>
      </c>
      <c r="D302">
        <v>2.25</v>
      </c>
      <c r="E302">
        <v>3717018.6</v>
      </c>
      <c r="F302" t="s">
        <v>1427</v>
      </c>
      <c r="G302" s="14"/>
      <c r="H302" s="28"/>
      <c r="I302" s="14"/>
      <c r="J302">
        <v>0.17</v>
      </c>
      <c r="K302"/>
      <c r="L302"/>
      <c r="M302"/>
      <c r="N302"/>
      <c r="O302"/>
      <c r="P302" s="4"/>
      <c r="Q302" s="4"/>
      <c r="R302" s="4"/>
      <c r="S302" s="18"/>
      <c r="T302" s="16"/>
      <c r="U302" s="14"/>
      <c r="V302" s="14"/>
      <c r="W302" s="31"/>
      <c r="Y302" s="4"/>
      <c r="Z302" s="4"/>
      <c r="AC302" s="4"/>
      <c r="AD302" s="4"/>
    </row>
    <row r="303" ht="15" spans="1:30">
      <c r="A303" t="s">
        <v>1428</v>
      </c>
      <c r="B303">
        <v>0.44</v>
      </c>
      <c r="C303">
        <v>0.3103</v>
      </c>
      <c r="D303">
        <v>1.94</v>
      </c>
      <c r="E303">
        <v>8172335.2</v>
      </c>
      <c r="F303" t="s">
        <v>1429</v>
      </c>
      <c r="G303" s="16"/>
      <c r="H303" s="23"/>
      <c r="J303">
        <v>0.04</v>
      </c>
      <c r="K303">
        <v>0.06</v>
      </c>
      <c r="L303"/>
      <c r="M303"/>
      <c r="N303"/>
      <c r="O303"/>
      <c r="Q303" s="32"/>
      <c r="R303" s="6"/>
      <c r="S303" s="19"/>
      <c r="W303" s="31"/>
      <c r="AD303" s="6"/>
    </row>
    <row r="304" ht="15" spans="1:28">
      <c r="A304" t="s">
        <v>212</v>
      </c>
      <c r="B304">
        <v>5.98</v>
      </c>
      <c r="C304">
        <v>3.35</v>
      </c>
      <c r="D304">
        <v>10.39</v>
      </c>
      <c r="E304" s="2">
        <v>268500000</v>
      </c>
      <c r="F304" t="s">
        <v>213</v>
      </c>
      <c r="G304" s="16"/>
      <c r="H304" s="27"/>
      <c r="I304" s="16"/>
      <c r="J304">
        <v>4.1</v>
      </c>
      <c r="K304">
        <v>1.91</v>
      </c>
      <c r="L304">
        <v>7.2177</v>
      </c>
      <c r="M304"/>
      <c r="N304"/>
      <c r="O304"/>
      <c r="P304" s="6"/>
      <c r="Q304" s="6"/>
      <c r="S304" s="19"/>
      <c r="W304" s="31"/>
      <c r="AA304" s="6"/>
      <c r="AB304" s="6"/>
    </row>
    <row r="305" ht="15" spans="1:30">
      <c r="A305" t="s">
        <v>243</v>
      </c>
      <c r="B305">
        <v>0.1498</v>
      </c>
      <c r="C305">
        <v>0.12</v>
      </c>
      <c r="D305">
        <v>0.44</v>
      </c>
      <c r="E305">
        <v>5678416.28</v>
      </c>
      <c r="F305" t="s">
        <v>244</v>
      </c>
      <c r="H305" s="25"/>
      <c r="I305" s="17"/>
      <c r="J305">
        <v>0.07</v>
      </c>
      <c r="K305">
        <v>0.3404</v>
      </c>
      <c r="L305"/>
      <c r="M305"/>
      <c r="N305"/>
      <c r="O305"/>
      <c r="S305" s="18"/>
      <c r="W305" s="31"/>
      <c r="X305" s="6"/>
      <c r="AD305" s="6"/>
    </row>
    <row r="306" ht="15" spans="1:24">
      <c r="A306" t="s">
        <v>1430</v>
      </c>
      <c r="B306">
        <v>0.01</v>
      </c>
      <c r="C306">
        <v>0</v>
      </c>
      <c r="D306">
        <v>0.27</v>
      </c>
      <c r="E306">
        <v>0</v>
      </c>
      <c r="F306" t="s">
        <v>1431</v>
      </c>
      <c r="G306" s="16"/>
      <c r="H306" s="27"/>
      <c r="I306" s="16"/>
      <c r="J306">
        <v>0</v>
      </c>
      <c r="K306">
        <v>0</v>
      </c>
      <c r="L306"/>
      <c r="M306"/>
      <c r="N306"/>
      <c r="O306"/>
      <c r="Q306" s="6"/>
      <c r="S306" s="18"/>
      <c r="U306" s="16"/>
      <c r="W306" s="31"/>
      <c r="X306" s="6"/>
    </row>
    <row r="307" ht="15" spans="5:29">
      <c r="E307" s="13"/>
      <c r="H307" s="28"/>
      <c r="I307" s="17"/>
      <c r="S307" s="18"/>
      <c r="T307" s="16"/>
      <c r="U307" s="16"/>
      <c r="W307" s="31"/>
      <c r="X307" s="6"/>
      <c r="Y307" s="6"/>
      <c r="Z307" s="6"/>
      <c r="AC307" s="6"/>
    </row>
    <row r="308" s="6" customFormat="1" ht="15" spans="5:30">
      <c r="E308" s="15"/>
      <c r="G308" s="16"/>
      <c r="H308" s="23"/>
      <c r="I308" s="16"/>
      <c r="S308" s="19"/>
      <c r="T308" s="14"/>
      <c r="U308" s="14"/>
      <c r="V308" s="16"/>
      <c r="W308" s="31"/>
      <c r="X308" s="4"/>
      <c r="Y308" s="4"/>
      <c r="Z308" s="4"/>
      <c r="AC308" s="4"/>
      <c r="AD308" s="4"/>
    </row>
    <row r="309" ht="15" spans="5:30">
      <c r="E309" s="13"/>
      <c r="H309" s="28"/>
      <c r="K309" s="14"/>
      <c r="S309" s="18"/>
      <c r="T309" s="16"/>
      <c r="U309" s="16"/>
      <c r="W309" s="31"/>
      <c r="AC309" s="6"/>
      <c r="AD309" s="6"/>
    </row>
    <row r="310" s="6" customFormat="1" ht="15" spans="1:29">
      <c r="A310" s="4"/>
      <c r="B310" s="4"/>
      <c r="C310" s="4"/>
      <c r="D310" s="4"/>
      <c r="E310" s="13"/>
      <c r="F310" s="4"/>
      <c r="G310" s="14"/>
      <c r="H310" s="28"/>
      <c r="I310" s="17"/>
      <c r="J310" s="4"/>
      <c r="K310" s="4"/>
      <c r="L310" s="4"/>
      <c r="M310" s="4"/>
      <c r="N310" s="4"/>
      <c r="O310" s="4"/>
      <c r="P310" s="4"/>
      <c r="Q310" s="4"/>
      <c r="R310" s="4"/>
      <c r="S310" s="18"/>
      <c r="T310" s="16"/>
      <c r="U310" s="14"/>
      <c r="V310" s="14"/>
      <c r="W310" s="31"/>
      <c r="X310" s="4"/>
      <c r="Y310" s="4"/>
      <c r="Z310" s="4"/>
      <c r="AA310" s="4"/>
      <c r="AB310" s="4"/>
      <c r="AC310" s="4"/>
    </row>
    <row r="311" ht="15" spans="1:30">
      <c r="A311" s="6"/>
      <c r="B311" s="6"/>
      <c r="C311" s="6"/>
      <c r="D311" s="6"/>
      <c r="E311" s="15"/>
      <c r="F311" s="6"/>
      <c r="G311" s="16"/>
      <c r="H311" s="26"/>
      <c r="I311" s="16"/>
      <c r="J311" s="6"/>
      <c r="K311" s="16"/>
      <c r="L311" s="6"/>
      <c r="M311" s="6"/>
      <c r="N311" s="6"/>
      <c r="O311" s="6"/>
      <c r="P311" s="6"/>
      <c r="Q311" s="6"/>
      <c r="R311" s="6"/>
      <c r="S311" s="19"/>
      <c r="T311" s="16"/>
      <c r="W311" s="31"/>
      <c r="X311" s="6"/>
      <c r="Y311" s="6"/>
      <c r="Z311" s="6"/>
      <c r="AD311" s="6"/>
    </row>
    <row r="312" s="6" customFormat="1" ht="15" spans="1:29">
      <c r="A312" s="4"/>
      <c r="B312" s="4"/>
      <c r="C312" s="4"/>
      <c r="D312" s="4"/>
      <c r="E312" s="13"/>
      <c r="F312" s="4"/>
      <c r="G312" s="14"/>
      <c r="H312" s="28"/>
      <c r="I312" s="17"/>
      <c r="J312" s="4"/>
      <c r="K312" s="4"/>
      <c r="L312" s="4"/>
      <c r="M312" s="4"/>
      <c r="N312" s="4"/>
      <c r="O312" s="4"/>
      <c r="P312" s="4"/>
      <c r="Q312" s="4"/>
      <c r="R312" s="4"/>
      <c r="S312" s="18"/>
      <c r="T312" s="14"/>
      <c r="U312" s="14"/>
      <c r="V312" s="14"/>
      <c r="W312" s="31"/>
      <c r="X312" s="4"/>
      <c r="Y312" s="4"/>
      <c r="Z312" s="4"/>
      <c r="AA312" s="4"/>
      <c r="AB312" s="4"/>
      <c r="AC312" s="4"/>
    </row>
    <row r="313" ht="15" spans="5:26">
      <c r="E313" s="13"/>
      <c r="H313" s="28"/>
      <c r="I313" s="17"/>
      <c r="S313" s="18"/>
      <c r="V313" s="16"/>
      <c r="W313" s="31"/>
      <c r="Y313" s="6"/>
      <c r="Z313" s="6"/>
    </row>
    <row r="314" ht="14.25" spans="1:23">
      <c r="A314" s="6"/>
      <c r="B314" s="6"/>
      <c r="C314" s="6"/>
      <c r="D314" s="6"/>
      <c r="E314" s="15"/>
      <c r="F314" s="6"/>
      <c r="G314" s="16"/>
      <c r="H314" s="23"/>
      <c r="I314" s="16"/>
      <c r="J314" s="6"/>
      <c r="K314" s="6"/>
      <c r="L314" s="6"/>
      <c r="M314" s="6"/>
      <c r="N314" s="6"/>
      <c r="O314" s="6"/>
      <c r="Q314" s="6"/>
      <c r="S314" s="18"/>
      <c r="W314" s="31"/>
    </row>
    <row r="315" ht="14.25" spans="5:29">
      <c r="E315" s="13"/>
      <c r="G315" s="16"/>
      <c r="H315" s="29"/>
      <c r="Q315" s="32"/>
      <c r="R315" s="6"/>
      <c r="S315" s="19"/>
      <c r="W315" s="31"/>
      <c r="AC315" s="6"/>
    </row>
    <row r="316" s="6" customFormat="1" ht="15" spans="1:30">
      <c r="A316" s="4"/>
      <c r="B316" s="4"/>
      <c r="C316" s="4"/>
      <c r="D316" s="4"/>
      <c r="E316" s="13"/>
      <c r="F316" s="4"/>
      <c r="G316" s="14"/>
      <c r="H316" s="28"/>
      <c r="I316" s="17"/>
      <c r="J316" s="4"/>
      <c r="K316" s="14"/>
      <c r="L316" s="4"/>
      <c r="M316" s="4"/>
      <c r="N316" s="4"/>
      <c r="O316" s="4"/>
      <c r="P316" s="4"/>
      <c r="Q316" s="4"/>
      <c r="R316" s="4"/>
      <c r="S316" s="18"/>
      <c r="T316" s="14"/>
      <c r="U316" s="16"/>
      <c r="V316" s="14"/>
      <c r="W316" s="31"/>
      <c r="AA316" s="4"/>
      <c r="AB316" s="4"/>
      <c r="AC316" s="4"/>
      <c r="AD316" s="4"/>
    </row>
    <row r="317" ht="15" spans="1:24">
      <c r="A317" s="6"/>
      <c r="B317" s="6"/>
      <c r="C317" s="6"/>
      <c r="D317" s="6"/>
      <c r="E317" s="15"/>
      <c r="F317" s="6"/>
      <c r="G317" s="16"/>
      <c r="H317" s="29"/>
      <c r="I317" s="16"/>
      <c r="J317" s="6"/>
      <c r="K317" s="6"/>
      <c r="L317" s="6"/>
      <c r="M317" s="6"/>
      <c r="N317" s="6"/>
      <c r="O317" s="6"/>
      <c r="P317" s="6"/>
      <c r="Q317" s="6"/>
      <c r="R317" s="6"/>
      <c r="S317" s="19"/>
      <c r="T317" s="16"/>
      <c r="U317" s="16"/>
      <c r="W317" s="31"/>
      <c r="X317" s="6"/>
    </row>
    <row r="318" ht="15" spans="5:23">
      <c r="E318" s="13"/>
      <c r="H318" s="28"/>
      <c r="Q318" s="33"/>
      <c r="S318" s="18"/>
      <c r="W318" s="34"/>
    </row>
    <row r="319" ht="15" spans="1:30">
      <c r="A319" s="6"/>
      <c r="B319" s="6"/>
      <c r="C319" s="6"/>
      <c r="D319" s="6"/>
      <c r="E319" s="15"/>
      <c r="F319" s="6"/>
      <c r="G319" s="16"/>
      <c r="H319" s="27"/>
      <c r="I319" s="16"/>
      <c r="J319" s="6"/>
      <c r="K319" s="6"/>
      <c r="L319" s="6"/>
      <c r="M319" s="6"/>
      <c r="N319" s="6"/>
      <c r="O319" s="6"/>
      <c r="P319" s="6"/>
      <c r="Q319" s="6"/>
      <c r="S319" s="19"/>
      <c r="V319" s="16"/>
      <c r="W319" s="31"/>
      <c r="X319" s="6"/>
      <c r="AD319" s="6"/>
    </row>
    <row r="320" s="6" customFormat="1" ht="15" spans="5:29">
      <c r="E320" s="15"/>
      <c r="G320" s="16"/>
      <c r="H320" s="27"/>
      <c r="I320" s="16"/>
      <c r="S320" s="19"/>
      <c r="T320" s="14"/>
      <c r="U320" s="14"/>
      <c r="V320" s="16"/>
      <c r="W320" s="31"/>
      <c r="Y320" s="4"/>
      <c r="Z320" s="4"/>
      <c r="AA320" s="4"/>
      <c r="AB320" s="4"/>
      <c r="AC320" s="4"/>
    </row>
    <row r="321" s="6" customFormat="1" ht="15" spans="1:30">
      <c r="A321" s="4"/>
      <c r="B321" s="4"/>
      <c r="C321" s="4"/>
      <c r="D321" s="4"/>
      <c r="E321" s="13"/>
      <c r="F321" s="4"/>
      <c r="G321" s="14"/>
      <c r="H321" s="28"/>
      <c r="I321" s="17"/>
      <c r="J321" s="4"/>
      <c r="K321" s="4"/>
      <c r="L321" s="4"/>
      <c r="M321" s="4"/>
      <c r="N321" s="4"/>
      <c r="O321" s="4"/>
      <c r="P321" s="4"/>
      <c r="Q321" s="4"/>
      <c r="R321" s="4"/>
      <c r="S321" s="18"/>
      <c r="T321" s="16"/>
      <c r="U321" s="14"/>
      <c r="V321" s="14"/>
      <c r="W321" s="31"/>
      <c r="X321" s="4"/>
      <c r="AA321" s="4"/>
      <c r="AB321" s="4"/>
      <c r="AC321" s="4"/>
      <c r="AD321" s="4"/>
    </row>
    <row r="322" ht="15" spans="5:30">
      <c r="E322" s="13"/>
      <c r="H322" s="28"/>
      <c r="I322" s="17"/>
      <c r="S322" s="18"/>
      <c r="U322" s="16"/>
      <c r="W322" s="31"/>
      <c r="X322" s="6"/>
      <c r="AC322" s="6"/>
      <c r="AD322" s="6"/>
    </row>
    <row r="323" ht="14.25" spans="5:23">
      <c r="E323" s="13"/>
      <c r="H323" s="25"/>
      <c r="I323" s="17"/>
      <c r="S323" s="18"/>
      <c r="T323" s="16"/>
      <c r="U323" s="16"/>
      <c r="W323" s="31"/>
    </row>
    <row r="324" s="6" customFormat="1" ht="14.25" spans="5:29">
      <c r="E324" s="15"/>
      <c r="G324" s="16"/>
      <c r="H324" s="23"/>
      <c r="I324" s="16"/>
      <c r="S324" s="19"/>
      <c r="T324" s="14"/>
      <c r="U324" s="16"/>
      <c r="V324" s="14"/>
      <c r="W324" s="31"/>
      <c r="X324" s="4"/>
      <c r="Y324" s="4"/>
      <c r="Z324" s="4"/>
      <c r="AC324" s="4"/>
    </row>
    <row r="325" ht="15" spans="5:29">
      <c r="E325" s="13"/>
      <c r="G325" s="16"/>
      <c r="H325" s="27"/>
      <c r="Q325" s="32"/>
      <c r="R325" s="6"/>
      <c r="S325" s="19"/>
      <c r="V325" s="16"/>
      <c r="W325" s="31"/>
      <c r="AC325" s="6"/>
    </row>
    <row r="326" s="6" customFormat="1" ht="15" spans="5:30">
      <c r="E326" s="15"/>
      <c r="G326" s="16"/>
      <c r="H326" s="27"/>
      <c r="I326" s="16"/>
      <c r="R326" s="4"/>
      <c r="S326" s="19"/>
      <c r="T326" s="14"/>
      <c r="U326" s="16"/>
      <c r="V326" s="14"/>
      <c r="W326" s="31"/>
      <c r="X326" s="4"/>
      <c r="AA326" s="4"/>
      <c r="AB326" s="4"/>
      <c r="AD326" s="4"/>
    </row>
    <row r="327" s="6" customFormat="1" ht="15" spans="1:23">
      <c r="A327" s="4"/>
      <c r="B327" s="4"/>
      <c r="C327" s="4"/>
      <c r="D327" s="4"/>
      <c r="E327" s="13"/>
      <c r="F327" s="4"/>
      <c r="G327" s="14"/>
      <c r="H327" s="28"/>
      <c r="I327" s="17"/>
      <c r="J327" s="4"/>
      <c r="K327" s="4"/>
      <c r="L327" s="4"/>
      <c r="M327" s="4"/>
      <c r="N327" s="4"/>
      <c r="O327" s="4"/>
      <c r="P327" s="4"/>
      <c r="Q327" s="4"/>
      <c r="R327" s="4"/>
      <c r="S327" s="18"/>
      <c r="T327" s="14"/>
      <c r="U327" s="16"/>
      <c r="V327" s="14"/>
      <c r="W327" s="31"/>
    </row>
    <row r="328" ht="15" spans="1:23">
      <c r="A328" s="6"/>
      <c r="B328" s="6"/>
      <c r="C328" s="6"/>
      <c r="D328" s="6"/>
      <c r="E328" s="15"/>
      <c r="F328" s="6"/>
      <c r="G328" s="16"/>
      <c r="H328" s="27"/>
      <c r="I328" s="16"/>
      <c r="J328" s="6"/>
      <c r="K328" s="6"/>
      <c r="L328" s="6"/>
      <c r="M328" s="6"/>
      <c r="N328" s="6"/>
      <c r="O328" s="6"/>
      <c r="Q328" s="6"/>
      <c r="S328" s="18"/>
      <c r="T328" s="16"/>
      <c r="U328" s="16"/>
      <c r="W328" s="31"/>
    </row>
    <row r="329" ht="15" spans="5:29">
      <c r="E329" s="13"/>
      <c r="H329" s="27"/>
      <c r="I329" s="17"/>
      <c r="S329" s="18"/>
      <c r="T329" s="16"/>
      <c r="W329" s="31"/>
      <c r="Y329" s="6"/>
      <c r="Z329" s="6"/>
      <c r="AC329" s="6"/>
    </row>
    <row r="330" s="6" customFormat="1" ht="15" spans="5:30">
      <c r="E330" s="15"/>
      <c r="G330" s="16"/>
      <c r="H330" s="27"/>
      <c r="I330" s="16"/>
      <c r="S330" s="19"/>
      <c r="T330" s="14"/>
      <c r="U330" s="16"/>
      <c r="V330" s="14"/>
      <c r="W330" s="31"/>
      <c r="X330" s="4"/>
      <c r="Y330" s="4"/>
      <c r="Z330" s="4"/>
      <c r="AA330" s="4"/>
      <c r="AB330" s="4"/>
      <c r="AD330" s="4"/>
    </row>
    <row r="331" s="6" customFormat="1" ht="15" spans="1:30">
      <c r="A331" s="4"/>
      <c r="B331" s="4"/>
      <c r="C331" s="4"/>
      <c r="D331" s="4"/>
      <c r="E331" s="13"/>
      <c r="F331" s="4"/>
      <c r="G331" s="14"/>
      <c r="H331" s="28"/>
      <c r="I331" s="14"/>
      <c r="J331" s="4"/>
      <c r="K331" s="4"/>
      <c r="L331" s="4"/>
      <c r="M331" s="4"/>
      <c r="N331" s="4"/>
      <c r="O331" s="4"/>
      <c r="P331" s="4"/>
      <c r="Q331" s="4"/>
      <c r="R331" s="4"/>
      <c r="S331" s="18"/>
      <c r="T331" s="14"/>
      <c r="U331" s="14"/>
      <c r="V331" s="14"/>
      <c r="W331" s="31"/>
      <c r="Y331" s="4"/>
      <c r="Z331" s="4"/>
      <c r="AD331" s="4"/>
    </row>
    <row r="332" ht="15" spans="1:29">
      <c r="A332" s="6"/>
      <c r="B332" s="6"/>
      <c r="C332" s="6"/>
      <c r="D332" s="6"/>
      <c r="E332" s="15"/>
      <c r="F332" s="6"/>
      <c r="G332" s="16"/>
      <c r="H332" s="26"/>
      <c r="I332" s="16"/>
      <c r="J332" s="6"/>
      <c r="K332" s="6"/>
      <c r="L332" s="6"/>
      <c r="M332" s="6"/>
      <c r="N332" s="6"/>
      <c r="O332" s="6"/>
      <c r="P332" s="6"/>
      <c r="Q332" s="6"/>
      <c r="R332" s="6"/>
      <c r="S332" s="19"/>
      <c r="T332" s="16"/>
      <c r="U332" s="16"/>
      <c r="W332" s="31"/>
      <c r="X332" s="6"/>
      <c r="AC332" s="6"/>
    </row>
    <row r="333" s="6" customFormat="1" ht="15" spans="1:30">
      <c r="A333" s="4"/>
      <c r="B333" s="4"/>
      <c r="C333" s="4"/>
      <c r="D333" s="4"/>
      <c r="E333" s="13"/>
      <c r="F333" s="4"/>
      <c r="G333" s="14"/>
      <c r="H333" s="28"/>
      <c r="I333" s="17"/>
      <c r="J333" s="4"/>
      <c r="K333" s="14"/>
      <c r="L333" s="4"/>
      <c r="M333" s="4"/>
      <c r="N333" s="4"/>
      <c r="O333" s="4"/>
      <c r="P333" s="4"/>
      <c r="Q333" s="4"/>
      <c r="R333" s="4"/>
      <c r="S333" s="18"/>
      <c r="T333" s="14"/>
      <c r="U333" s="14"/>
      <c r="V333" s="14"/>
      <c r="W333" s="31"/>
      <c r="AC333" s="4"/>
      <c r="AD333" s="4"/>
    </row>
    <row r="334" ht="15" spans="5:29">
      <c r="E334" s="13"/>
      <c r="G334" s="16"/>
      <c r="H334" s="26"/>
      <c r="Q334" s="32"/>
      <c r="R334" s="6"/>
      <c r="S334" s="19"/>
      <c r="W334" s="31"/>
      <c r="Y334" s="6"/>
      <c r="Z334" s="6"/>
      <c r="AC334" s="6"/>
    </row>
    <row r="335" s="6" customFormat="1" ht="15" spans="1:30">
      <c r="A335" s="4"/>
      <c r="B335" s="4"/>
      <c r="C335" s="4"/>
      <c r="D335" s="4"/>
      <c r="E335" s="13"/>
      <c r="F335" s="4"/>
      <c r="G335" s="14"/>
      <c r="H335" s="28"/>
      <c r="I335" s="17"/>
      <c r="J335" s="4"/>
      <c r="K335" s="4"/>
      <c r="L335" s="4"/>
      <c r="M335" s="4"/>
      <c r="N335" s="4"/>
      <c r="O335" s="4"/>
      <c r="P335" s="4"/>
      <c r="Q335" s="4"/>
      <c r="R335" s="4"/>
      <c r="S335" s="18"/>
      <c r="T335" s="14"/>
      <c r="U335" s="14"/>
      <c r="V335" s="16"/>
      <c r="W335" s="31"/>
      <c r="X335" s="4"/>
      <c r="AA335" s="4"/>
      <c r="AB335" s="4"/>
      <c r="AC335" s="4"/>
      <c r="AD335" s="4"/>
    </row>
    <row r="336" ht="15" spans="1:23">
      <c r="A336" s="6"/>
      <c r="B336" s="6"/>
      <c r="C336" s="6"/>
      <c r="D336" s="6"/>
      <c r="E336" s="15"/>
      <c r="F336" s="6"/>
      <c r="G336" s="16"/>
      <c r="H336" s="27"/>
      <c r="I336" s="16"/>
      <c r="J336" s="6"/>
      <c r="K336" s="16"/>
      <c r="L336" s="6"/>
      <c r="M336" s="6"/>
      <c r="N336" s="6"/>
      <c r="O336" s="6"/>
      <c r="P336" s="6"/>
      <c r="Q336" s="6"/>
      <c r="S336" s="19"/>
      <c r="T336" s="16"/>
      <c r="U336" s="16"/>
      <c r="V336" s="16"/>
      <c r="W336" s="34"/>
    </row>
    <row r="337" s="6" customFormat="1" ht="15" spans="5:30">
      <c r="E337" s="15"/>
      <c r="G337" s="16"/>
      <c r="H337" s="27"/>
      <c r="I337" s="16"/>
      <c r="K337" s="16"/>
      <c r="S337" s="19"/>
      <c r="T337" s="16"/>
      <c r="U337" s="16"/>
      <c r="V337" s="14"/>
      <c r="W337" s="31"/>
      <c r="Y337" s="4"/>
      <c r="Z337" s="4"/>
      <c r="AA337" s="4"/>
      <c r="AB337" s="4"/>
      <c r="AC337" s="4"/>
      <c r="AD337" s="4"/>
    </row>
    <row r="338" ht="15" spans="5:24">
      <c r="E338" s="13"/>
      <c r="H338" s="28"/>
      <c r="I338" s="17"/>
      <c r="S338" s="18"/>
      <c r="U338" s="16"/>
      <c r="V338" s="16"/>
      <c r="W338" s="31"/>
      <c r="X338" s="6"/>
    </row>
    <row r="339" ht="15" spans="1:28">
      <c r="A339" s="6"/>
      <c r="B339" s="6"/>
      <c r="C339" s="6"/>
      <c r="D339" s="6"/>
      <c r="E339" s="15"/>
      <c r="F339" s="6"/>
      <c r="G339" s="16"/>
      <c r="H339" s="36"/>
      <c r="I339" s="16"/>
      <c r="J339" s="6"/>
      <c r="K339" s="6"/>
      <c r="L339" s="6"/>
      <c r="M339" s="6"/>
      <c r="N339" s="6"/>
      <c r="O339" s="6"/>
      <c r="P339" s="6"/>
      <c r="Q339" s="6"/>
      <c r="S339" s="19"/>
      <c r="W339" s="31"/>
      <c r="AA339" s="6"/>
      <c r="AB339" s="6"/>
    </row>
    <row r="340" s="6" customFormat="1" ht="15" spans="5:30">
      <c r="E340" s="15"/>
      <c r="G340" s="16"/>
      <c r="H340" s="26"/>
      <c r="I340" s="16"/>
      <c r="S340" s="19"/>
      <c r="T340" s="16"/>
      <c r="U340" s="14"/>
      <c r="V340" s="14"/>
      <c r="W340" s="31"/>
      <c r="AA340" s="4"/>
      <c r="AB340" s="4"/>
      <c r="AC340" s="4"/>
      <c r="AD340" s="4"/>
    </row>
    <row r="341" ht="15" spans="1:28">
      <c r="A341" s="6"/>
      <c r="B341" s="6"/>
      <c r="C341" s="6"/>
      <c r="D341" s="6"/>
      <c r="E341" s="15"/>
      <c r="F341" s="37"/>
      <c r="G341" s="16"/>
      <c r="H341" s="27"/>
      <c r="I341" s="16"/>
      <c r="J341" s="6"/>
      <c r="K341" s="6"/>
      <c r="L341" s="6"/>
      <c r="M341" s="6"/>
      <c r="N341" s="6"/>
      <c r="O341" s="6"/>
      <c r="P341" s="6"/>
      <c r="Q341" s="6"/>
      <c r="R341" s="6"/>
      <c r="S341" s="19"/>
      <c r="W341" s="31"/>
      <c r="X341" s="6"/>
      <c r="AA341" s="6"/>
      <c r="AB341" s="6"/>
    </row>
    <row r="342" ht="15" spans="1:30">
      <c r="A342" s="38"/>
      <c r="E342" s="13"/>
      <c r="H342" s="25"/>
      <c r="I342" s="17"/>
      <c r="S342" s="18"/>
      <c r="W342" s="31"/>
      <c r="AD342" s="6"/>
    </row>
    <row r="343" s="6" customFormat="1" ht="15" spans="1:30">
      <c r="A343" s="4"/>
      <c r="B343" s="4"/>
      <c r="C343" s="4"/>
      <c r="D343" s="4"/>
      <c r="E343" s="13"/>
      <c r="F343" s="4"/>
      <c r="G343" s="16"/>
      <c r="H343" s="26"/>
      <c r="I343" s="14"/>
      <c r="J343" s="4"/>
      <c r="K343" s="4"/>
      <c r="L343" s="4"/>
      <c r="M343" s="4"/>
      <c r="N343" s="4"/>
      <c r="O343" s="4"/>
      <c r="P343" s="4"/>
      <c r="Q343" s="32"/>
      <c r="S343" s="19"/>
      <c r="T343" s="14"/>
      <c r="U343" s="14"/>
      <c r="V343" s="16"/>
      <c r="W343" s="31"/>
      <c r="X343" s="4"/>
      <c r="AA343" s="4"/>
      <c r="AB343" s="4"/>
      <c r="AC343" s="4"/>
      <c r="AD343" s="4"/>
    </row>
    <row r="344" ht="15" spans="5:30">
      <c r="E344" s="13"/>
      <c r="H344" s="27"/>
      <c r="N344" s="6"/>
      <c r="S344" s="18"/>
      <c r="T344" s="16"/>
      <c r="W344" s="31"/>
      <c r="AA344" s="6"/>
      <c r="AB344" s="6"/>
      <c r="AD344" s="6"/>
    </row>
    <row r="345" ht="15" spans="1:23">
      <c r="A345" s="6"/>
      <c r="B345" s="6"/>
      <c r="C345" s="6"/>
      <c r="D345" s="6"/>
      <c r="E345" s="15"/>
      <c r="F345" s="6"/>
      <c r="G345" s="16"/>
      <c r="H345" s="26"/>
      <c r="I345" s="16"/>
      <c r="J345" s="6"/>
      <c r="K345" s="16"/>
      <c r="L345" s="6"/>
      <c r="M345" s="6"/>
      <c r="N345" s="6"/>
      <c r="O345" s="6"/>
      <c r="P345" s="6"/>
      <c r="Q345" s="6"/>
      <c r="R345" s="6"/>
      <c r="S345" s="19"/>
      <c r="W345" s="31"/>
    </row>
    <row r="346" ht="15" spans="5:30">
      <c r="E346" s="13"/>
      <c r="H346" s="25"/>
      <c r="I346" s="17"/>
      <c r="K346" s="14"/>
      <c r="P346" s="6"/>
      <c r="S346" s="18"/>
      <c r="T346" s="16"/>
      <c r="V346" s="16"/>
      <c r="W346" s="31"/>
      <c r="Y346" s="6"/>
      <c r="Z346" s="6"/>
      <c r="AD346" s="6"/>
    </row>
    <row r="347" ht="15" spans="5:28">
      <c r="E347" s="13"/>
      <c r="H347" s="28"/>
      <c r="I347" s="17"/>
      <c r="S347" s="18"/>
      <c r="W347" s="31"/>
      <c r="AA347" s="6"/>
      <c r="AB347" s="6"/>
    </row>
    <row r="348" ht="15" spans="5:29">
      <c r="E348" s="13"/>
      <c r="H348" s="28"/>
      <c r="K348" s="14"/>
      <c r="P348" s="6"/>
      <c r="S348" s="18"/>
      <c r="T348" s="16"/>
      <c r="W348" s="31"/>
      <c r="AC348" s="6"/>
    </row>
    <row r="349" s="6" customFormat="1" ht="15" spans="1:30">
      <c r="A349" s="4"/>
      <c r="B349" s="4"/>
      <c r="C349" s="4"/>
      <c r="D349" s="4"/>
      <c r="E349" s="13"/>
      <c r="F349" s="4"/>
      <c r="G349" s="16"/>
      <c r="H349" s="26"/>
      <c r="I349" s="14"/>
      <c r="J349" s="4"/>
      <c r="K349" s="4"/>
      <c r="L349" s="4"/>
      <c r="M349" s="4"/>
      <c r="N349" s="4"/>
      <c r="O349" s="4"/>
      <c r="P349" s="4"/>
      <c r="Q349" s="32"/>
      <c r="S349" s="19"/>
      <c r="T349" s="14"/>
      <c r="U349" s="14"/>
      <c r="V349" s="14"/>
      <c r="W349" s="31"/>
      <c r="X349" s="4"/>
      <c r="Y349" s="4"/>
      <c r="Z349" s="4"/>
      <c r="AA349" s="4"/>
      <c r="AB349" s="4"/>
      <c r="AC349" s="4"/>
      <c r="AD349" s="4"/>
    </row>
    <row r="350" ht="15" spans="5:30">
      <c r="E350" s="13"/>
      <c r="H350" s="28"/>
      <c r="S350" s="18"/>
      <c r="W350" s="31"/>
      <c r="Y350" s="6"/>
      <c r="Z350" s="6"/>
      <c r="AC350" s="6"/>
      <c r="AD350" s="6"/>
    </row>
    <row r="351" ht="15" spans="5:30">
      <c r="E351" s="13"/>
      <c r="F351" s="38"/>
      <c r="H351" s="28"/>
      <c r="K351" s="14"/>
      <c r="S351" s="18"/>
      <c r="T351" s="16"/>
      <c r="W351" s="31"/>
      <c r="AA351" s="6"/>
      <c r="AB351" s="6"/>
      <c r="AC351" s="6"/>
      <c r="AD351" s="6"/>
    </row>
    <row r="352" s="6" customFormat="1" ht="15" spans="5:29">
      <c r="E352" s="15"/>
      <c r="G352" s="16"/>
      <c r="H352" s="27"/>
      <c r="I352" s="16"/>
      <c r="S352" s="19"/>
      <c r="T352" s="14"/>
      <c r="U352" s="16"/>
      <c r="V352" s="14"/>
      <c r="W352" s="31"/>
      <c r="X352" s="4"/>
      <c r="Y352" s="4"/>
      <c r="Z352" s="4"/>
      <c r="AA352" s="4"/>
      <c r="AB352" s="4"/>
      <c r="AC352" s="4"/>
    </row>
    <row r="353" s="6" customFormat="1" ht="15" spans="1:30">
      <c r="A353" s="4"/>
      <c r="B353" s="4"/>
      <c r="C353" s="4"/>
      <c r="D353" s="4"/>
      <c r="E353" s="13"/>
      <c r="F353" s="4"/>
      <c r="G353" s="14"/>
      <c r="H353" s="28"/>
      <c r="I353" s="14"/>
      <c r="J353" s="4"/>
      <c r="K353" s="4"/>
      <c r="L353" s="4"/>
      <c r="M353" s="4"/>
      <c r="N353" s="4"/>
      <c r="O353" s="4"/>
      <c r="P353" s="4"/>
      <c r="Q353" s="4"/>
      <c r="R353" s="4"/>
      <c r="S353" s="18"/>
      <c r="T353" s="16"/>
      <c r="U353" s="16"/>
      <c r="V353" s="14"/>
      <c r="W353" s="31"/>
      <c r="X353" s="4"/>
      <c r="Y353" s="4"/>
      <c r="Z353" s="4"/>
      <c r="AC353" s="4"/>
      <c r="AD353" s="4"/>
    </row>
    <row r="354" ht="15" spans="5:24">
      <c r="E354" s="13"/>
      <c r="H354" s="28"/>
      <c r="S354" s="18"/>
      <c r="T354" s="16"/>
      <c r="W354" s="31"/>
      <c r="X354" s="6"/>
    </row>
    <row r="355" ht="15" spans="1:29">
      <c r="A355" s="6"/>
      <c r="B355" s="6"/>
      <c r="C355" s="6"/>
      <c r="D355" s="6"/>
      <c r="E355" s="15"/>
      <c r="F355" s="6"/>
      <c r="G355" s="16"/>
      <c r="H355" s="26"/>
      <c r="I355" s="16"/>
      <c r="J355" s="6"/>
      <c r="K355" s="6"/>
      <c r="L355" s="6"/>
      <c r="M355" s="6"/>
      <c r="N355" s="6"/>
      <c r="O355" s="6"/>
      <c r="P355" s="6"/>
      <c r="Q355" s="6"/>
      <c r="R355" s="6"/>
      <c r="S355" s="19"/>
      <c r="W355" s="31"/>
      <c r="X355" s="6"/>
      <c r="Y355" s="6"/>
      <c r="Z355" s="6"/>
      <c r="AC355" s="6"/>
    </row>
    <row r="356" ht="15" spans="5:23">
      <c r="E356" s="13"/>
      <c r="H356" s="28"/>
      <c r="I356" s="17"/>
      <c r="K356" s="14"/>
      <c r="S356" s="18"/>
      <c r="W356" s="31"/>
    </row>
    <row r="357" s="6" customFormat="1" ht="15" spans="1:30">
      <c r="A357" s="4"/>
      <c r="B357" s="4"/>
      <c r="C357" s="4"/>
      <c r="D357" s="4"/>
      <c r="E357" s="13"/>
      <c r="F357" s="4"/>
      <c r="G357" s="14"/>
      <c r="H357" s="28"/>
      <c r="I357" s="17"/>
      <c r="J357" s="4"/>
      <c r="K357" s="4"/>
      <c r="L357" s="4"/>
      <c r="M357" s="4"/>
      <c r="N357" s="4"/>
      <c r="O357" s="4"/>
      <c r="P357" s="4"/>
      <c r="Q357" s="4"/>
      <c r="R357" s="4"/>
      <c r="S357" s="18"/>
      <c r="T357" s="14"/>
      <c r="U357" s="16"/>
      <c r="V357" s="14"/>
      <c r="W357" s="31"/>
      <c r="X357" s="4"/>
      <c r="Y357" s="4"/>
      <c r="Z357" s="4"/>
      <c r="AC357" s="4"/>
      <c r="AD357" s="4"/>
    </row>
    <row r="358" s="6" customFormat="1" ht="15" spans="1:29">
      <c r="A358" s="4"/>
      <c r="B358" s="4"/>
      <c r="C358" s="4"/>
      <c r="D358" s="4"/>
      <c r="E358" s="13"/>
      <c r="F358" s="4"/>
      <c r="G358" s="14"/>
      <c r="H358" s="28"/>
      <c r="I358" s="17"/>
      <c r="J358" s="4"/>
      <c r="K358" s="14"/>
      <c r="L358" s="4"/>
      <c r="M358" s="4"/>
      <c r="N358" s="4"/>
      <c r="O358" s="4"/>
      <c r="P358" s="4"/>
      <c r="Q358" s="4"/>
      <c r="R358" s="4"/>
      <c r="S358" s="18"/>
      <c r="T358" s="14"/>
      <c r="U358" s="16"/>
      <c r="V358" s="14"/>
      <c r="W358" s="31"/>
      <c r="Y358" s="4"/>
      <c r="Z358" s="4"/>
      <c r="AC358" s="4"/>
    </row>
    <row r="359" s="6" customFormat="1" ht="15" spans="1:28">
      <c r="A359" s="4"/>
      <c r="B359" s="4"/>
      <c r="C359" s="4"/>
      <c r="D359" s="4"/>
      <c r="E359" s="13"/>
      <c r="F359" s="4"/>
      <c r="G359" s="14"/>
      <c r="H359" s="27"/>
      <c r="I359" s="17"/>
      <c r="J359" s="4"/>
      <c r="K359" s="14"/>
      <c r="L359" s="4"/>
      <c r="M359" s="4"/>
      <c r="N359" s="4"/>
      <c r="O359" s="4"/>
      <c r="Q359" s="4"/>
      <c r="R359" s="4"/>
      <c r="S359" s="18"/>
      <c r="T359" s="14"/>
      <c r="U359" s="14"/>
      <c r="V359" s="14"/>
      <c r="W359" s="31"/>
      <c r="X359" s="4"/>
      <c r="Y359" s="4"/>
      <c r="Z359" s="4"/>
      <c r="AA359" s="4"/>
      <c r="AB359" s="4"/>
    </row>
    <row r="360" ht="15" spans="5:30">
      <c r="E360" s="13"/>
      <c r="G360" s="16"/>
      <c r="H360" s="26"/>
      <c r="Q360" s="32"/>
      <c r="R360" s="6"/>
      <c r="S360" s="19"/>
      <c r="W360" s="31"/>
      <c r="X360" s="6"/>
      <c r="AD360" s="6"/>
    </row>
    <row r="361" s="6" customFormat="1" ht="15" spans="1:30">
      <c r="A361" s="4"/>
      <c r="B361" s="4"/>
      <c r="C361" s="4"/>
      <c r="D361" s="4"/>
      <c r="E361" s="13"/>
      <c r="F361" s="4"/>
      <c r="G361" s="14"/>
      <c r="H361" s="28"/>
      <c r="I361" s="14"/>
      <c r="J361" s="4"/>
      <c r="K361" s="4"/>
      <c r="L361" s="4"/>
      <c r="M361" s="4"/>
      <c r="N361" s="4"/>
      <c r="O361" s="4"/>
      <c r="P361" s="4"/>
      <c r="Q361" s="4"/>
      <c r="R361" s="4"/>
      <c r="S361" s="18"/>
      <c r="T361" s="16"/>
      <c r="U361" s="16"/>
      <c r="V361" s="14"/>
      <c r="W361" s="31"/>
      <c r="X361" s="4"/>
      <c r="AA361" s="4"/>
      <c r="AB361" s="4"/>
      <c r="AC361" s="4"/>
      <c r="AD361" s="4"/>
    </row>
    <row r="362" ht="15" spans="1:23">
      <c r="A362" s="6"/>
      <c r="B362" s="6"/>
      <c r="C362" s="6"/>
      <c r="D362" s="6"/>
      <c r="E362" s="15"/>
      <c r="F362" s="6"/>
      <c r="G362" s="16"/>
      <c r="H362" s="29"/>
      <c r="I362" s="16"/>
      <c r="J362" s="6"/>
      <c r="K362" s="16"/>
      <c r="L362" s="6"/>
      <c r="M362" s="6"/>
      <c r="N362" s="6"/>
      <c r="O362" s="6"/>
      <c r="P362" s="6"/>
      <c r="Q362" s="6"/>
      <c r="S362" s="19"/>
      <c r="U362" s="16"/>
      <c r="W362" s="31"/>
    </row>
    <row r="363" s="6" customFormat="1" ht="15" spans="1:28">
      <c r="A363" s="4"/>
      <c r="B363" s="4"/>
      <c r="C363" s="4"/>
      <c r="D363" s="4"/>
      <c r="E363" s="13"/>
      <c r="F363" s="4"/>
      <c r="G363" s="14"/>
      <c r="H363" s="27"/>
      <c r="I363" s="14"/>
      <c r="J363" s="4"/>
      <c r="K363" s="4"/>
      <c r="L363" s="4"/>
      <c r="M363" s="4"/>
      <c r="N363" s="4"/>
      <c r="O363" s="4"/>
      <c r="P363" s="4"/>
      <c r="Q363" s="4"/>
      <c r="R363" s="4"/>
      <c r="S363" s="18"/>
      <c r="T363" s="16"/>
      <c r="U363" s="14"/>
      <c r="V363" s="14"/>
      <c r="W363" s="31"/>
      <c r="X363" s="4"/>
      <c r="Y363" s="4"/>
      <c r="Z363" s="4"/>
      <c r="AA363" s="4"/>
      <c r="AB363" s="4"/>
    </row>
    <row r="364" ht="15" spans="1:29">
      <c r="A364" s="6"/>
      <c r="B364" s="6"/>
      <c r="C364" s="6"/>
      <c r="D364" s="6"/>
      <c r="E364" s="15"/>
      <c r="F364" s="6"/>
      <c r="G364" s="16"/>
      <c r="H364" s="23"/>
      <c r="I364" s="16"/>
      <c r="J364" s="6"/>
      <c r="K364" s="6"/>
      <c r="L364" s="6"/>
      <c r="M364" s="6"/>
      <c r="N364" s="6"/>
      <c r="O364" s="6"/>
      <c r="P364" s="6"/>
      <c r="Q364" s="6"/>
      <c r="S364" s="19"/>
      <c r="U364" s="16"/>
      <c r="W364" s="31"/>
      <c r="AC364" s="6"/>
    </row>
    <row r="365" ht="15" spans="5:30">
      <c r="E365" s="13"/>
      <c r="H365" s="28"/>
      <c r="I365" s="17"/>
      <c r="P365" s="6"/>
      <c r="S365" s="18"/>
      <c r="W365" s="31"/>
      <c r="X365" s="6"/>
      <c r="AD365" s="6"/>
    </row>
    <row r="366" ht="15" spans="8:8">
      <c r="H366" s="28"/>
    </row>
    <row r="367" ht="15" spans="8:30">
      <c r="H367" s="28"/>
      <c r="AD367" s="6"/>
    </row>
    <row r="368" s="6" customFormat="1" ht="15" spans="1:30">
      <c r="A368" s="4"/>
      <c r="B368" s="4"/>
      <c r="C368" s="4"/>
      <c r="D368" s="4"/>
      <c r="E368" s="4"/>
      <c r="F368" s="4"/>
      <c r="G368" s="14"/>
      <c r="H368" s="39"/>
      <c r="I368" s="1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14"/>
      <c r="U368" s="14"/>
      <c r="V368" s="14"/>
      <c r="W368" s="4"/>
      <c r="X368" s="4"/>
      <c r="Y368" s="4"/>
      <c r="Z368" s="4"/>
      <c r="AA368" s="4"/>
      <c r="AB368" s="4"/>
      <c r="AC368" s="4"/>
      <c r="AD368" s="4"/>
    </row>
    <row r="369" s="6" customFormat="1" ht="15" spans="5:29">
      <c r="E369" s="15"/>
      <c r="G369" s="16"/>
      <c r="H369" s="27"/>
      <c r="I369" s="16"/>
      <c r="R369" s="4"/>
      <c r="S369" s="19"/>
      <c r="T369" s="14"/>
      <c r="U369" s="14"/>
      <c r="V369" s="14"/>
      <c r="W369" s="31"/>
      <c r="X369" s="4"/>
      <c r="Y369" s="4"/>
      <c r="Z369" s="4"/>
      <c r="AA369" s="4"/>
      <c r="AB369" s="4"/>
      <c r="AC369" s="4"/>
    </row>
    <row r="370" ht="15" spans="5:28">
      <c r="E370" s="13"/>
      <c r="H370" s="25"/>
      <c r="I370" s="17"/>
      <c r="S370" s="18"/>
      <c r="U370" s="16"/>
      <c r="W370" s="31"/>
      <c r="Y370" s="6"/>
      <c r="Z370" s="6"/>
      <c r="AA370" s="6"/>
      <c r="AB370" s="6"/>
    </row>
    <row r="371" ht="15" spans="1:29">
      <c r="A371" s="6"/>
      <c r="B371" s="6"/>
      <c r="C371" s="6"/>
      <c r="D371" s="6"/>
      <c r="E371" s="15"/>
      <c r="F371" s="6"/>
      <c r="G371" s="16"/>
      <c r="H371" s="27"/>
      <c r="I371" s="16"/>
      <c r="J371" s="6"/>
      <c r="K371" s="6"/>
      <c r="L371" s="6"/>
      <c r="M371" s="6"/>
      <c r="N371" s="6"/>
      <c r="O371" s="6"/>
      <c r="Q371" s="6"/>
      <c r="S371" s="18"/>
      <c r="T371" s="16"/>
      <c r="W371" s="31"/>
      <c r="AA371" s="6"/>
      <c r="AB371" s="6"/>
      <c r="AC371" s="6"/>
    </row>
    <row r="372" ht="15" spans="5:23">
      <c r="E372" s="13"/>
      <c r="H372" s="28"/>
      <c r="I372" s="17"/>
      <c r="S372" s="18"/>
      <c r="T372" s="16"/>
      <c r="W372" s="31"/>
    </row>
    <row r="373" s="6" customFormat="1" ht="15" spans="1:23">
      <c r="A373" s="4"/>
      <c r="B373" s="4"/>
      <c r="C373" s="4"/>
      <c r="D373" s="4"/>
      <c r="E373" s="13"/>
      <c r="F373" s="4"/>
      <c r="G373" s="14"/>
      <c r="H373" s="28"/>
      <c r="I373" s="17"/>
      <c r="J373" s="4"/>
      <c r="K373" s="4"/>
      <c r="L373" s="4"/>
      <c r="M373" s="4"/>
      <c r="N373" s="4"/>
      <c r="O373" s="4"/>
      <c r="P373" s="4"/>
      <c r="Q373" s="4"/>
      <c r="R373" s="4"/>
      <c r="S373" s="18"/>
      <c r="T373" s="14"/>
      <c r="U373" s="14"/>
      <c r="V373" s="16"/>
      <c r="W373" s="31"/>
    </row>
    <row r="374" ht="15" spans="5:26">
      <c r="E374" s="13"/>
      <c r="H374" s="28"/>
      <c r="I374" s="17"/>
      <c r="S374" s="18"/>
      <c r="T374" s="16"/>
      <c r="V374" s="16"/>
      <c r="W374" s="31"/>
      <c r="Y374" s="6"/>
      <c r="Z374" s="6"/>
    </row>
    <row r="375" ht="15" spans="5:30">
      <c r="E375" s="13"/>
      <c r="H375" s="27"/>
      <c r="I375" s="17"/>
      <c r="K375" s="14"/>
      <c r="S375" s="18"/>
      <c r="T375" s="16"/>
      <c r="U375" s="16"/>
      <c r="W375" s="31"/>
      <c r="X375" s="6"/>
      <c r="AD375" s="6"/>
    </row>
    <row r="376" ht="15" spans="5:23">
      <c r="E376" s="13"/>
      <c r="H376" s="28"/>
      <c r="I376" s="17"/>
      <c r="S376" s="18"/>
      <c r="T376" s="16"/>
      <c r="W376" s="31"/>
    </row>
    <row r="377" ht="15" spans="1:30">
      <c r="A377" s="6"/>
      <c r="B377" s="6"/>
      <c r="C377" s="6"/>
      <c r="D377" s="6"/>
      <c r="E377" s="15"/>
      <c r="F377" s="6"/>
      <c r="G377" s="16"/>
      <c r="H377" s="27"/>
      <c r="I377" s="16"/>
      <c r="J377" s="6"/>
      <c r="K377" s="16"/>
      <c r="L377" s="6"/>
      <c r="M377" s="6"/>
      <c r="N377" s="6"/>
      <c r="O377" s="6"/>
      <c r="P377" s="6"/>
      <c r="Q377" s="6"/>
      <c r="R377" s="6"/>
      <c r="S377" s="19"/>
      <c r="V377" s="16"/>
      <c r="W377" s="31"/>
      <c r="X377" s="6"/>
      <c r="Y377" s="6"/>
      <c r="Z377" s="6"/>
      <c r="AD377" s="6"/>
    </row>
    <row r="378" s="6" customFormat="1" ht="15" spans="1:30">
      <c r="A378" s="4"/>
      <c r="B378" s="4"/>
      <c r="C378" s="4"/>
      <c r="D378" s="4"/>
      <c r="E378" s="13"/>
      <c r="F378" s="4"/>
      <c r="G378" s="14"/>
      <c r="H378" s="28"/>
      <c r="I378" s="14"/>
      <c r="J378" s="4"/>
      <c r="K378" s="4"/>
      <c r="L378" s="4"/>
      <c r="M378" s="4"/>
      <c r="N378" s="4"/>
      <c r="O378" s="4"/>
      <c r="P378" s="4"/>
      <c r="Q378" s="33"/>
      <c r="R378" s="4"/>
      <c r="S378" s="18"/>
      <c r="T378" s="14"/>
      <c r="U378" s="14"/>
      <c r="V378" s="14"/>
      <c r="W378" s="34"/>
      <c r="X378" s="4"/>
      <c r="Y378" s="4"/>
      <c r="Z378" s="4"/>
      <c r="AA378" s="4"/>
      <c r="AB378" s="4"/>
      <c r="AC378" s="4"/>
      <c r="AD378" s="4"/>
    </row>
    <row r="379" s="6" customFormat="1" ht="15" spans="1:30">
      <c r="A379" s="4"/>
      <c r="B379" s="4"/>
      <c r="C379" s="4"/>
      <c r="D379" s="4"/>
      <c r="E379" s="13"/>
      <c r="F379" s="4"/>
      <c r="G379" s="16"/>
      <c r="H379" s="26"/>
      <c r="I379" s="14"/>
      <c r="J379" s="4"/>
      <c r="K379" s="4"/>
      <c r="L379" s="4"/>
      <c r="M379" s="4"/>
      <c r="N379" s="4"/>
      <c r="O379" s="4"/>
      <c r="P379" s="4"/>
      <c r="Q379" s="32"/>
      <c r="S379" s="19"/>
      <c r="T379" s="14"/>
      <c r="U379" s="14"/>
      <c r="V379" s="14"/>
      <c r="W379" s="31"/>
      <c r="X379" s="4"/>
      <c r="AD379" s="4"/>
    </row>
    <row r="380" ht="15" spans="1:30">
      <c r="A380" s="6"/>
      <c r="B380" s="6"/>
      <c r="C380" s="6"/>
      <c r="D380" s="6"/>
      <c r="E380" s="15"/>
      <c r="F380" s="6"/>
      <c r="G380" s="16"/>
      <c r="H380" s="26"/>
      <c r="I380" s="16"/>
      <c r="J380" s="6"/>
      <c r="K380" s="6"/>
      <c r="L380" s="6"/>
      <c r="M380" s="6"/>
      <c r="N380" s="6"/>
      <c r="O380" s="6"/>
      <c r="P380" s="6"/>
      <c r="Q380" s="6"/>
      <c r="S380" s="19"/>
      <c r="U380" s="16"/>
      <c r="W380" s="31"/>
      <c r="X380" s="6"/>
      <c r="AD380" s="6"/>
    </row>
    <row r="381" s="6" customFormat="1" ht="15" spans="5:29">
      <c r="E381" s="15"/>
      <c r="G381" s="16"/>
      <c r="H381" s="26"/>
      <c r="I381" s="16"/>
      <c r="S381" s="19"/>
      <c r="T381" s="14"/>
      <c r="U381" s="14"/>
      <c r="V381" s="14"/>
      <c r="W381" s="31"/>
      <c r="X381" s="4"/>
      <c r="Y381" s="4"/>
      <c r="Z381" s="4"/>
      <c r="AA381" s="4"/>
      <c r="AB381" s="4"/>
      <c r="AC381" s="4"/>
    </row>
    <row r="382" ht="15" spans="5:29">
      <c r="E382" s="13"/>
      <c r="G382" s="16"/>
      <c r="H382" s="26"/>
      <c r="Q382" s="32"/>
      <c r="R382" s="6"/>
      <c r="S382" s="19"/>
      <c r="V382" s="16"/>
      <c r="W382" s="31"/>
      <c r="Y382" s="6"/>
      <c r="Z382" s="6"/>
      <c r="AC382" s="6"/>
    </row>
    <row r="383" s="6" customFormat="1" ht="15" spans="1:30">
      <c r="A383" s="4"/>
      <c r="B383" s="4"/>
      <c r="C383" s="4"/>
      <c r="D383" s="4"/>
      <c r="E383" s="13"/>
      <c r="F383" s="4"/>
      <c r="G383" s="16"/>
      <c r="H383" s="27"/>
      <c r="I383" s="14"/>
      <c r="J383" s="4"/>
      <c r="K383" s="4"/>
      <c r="L383" s="4"/>
      <c r="M383" s="4"/>
      <c r="N383" s="4"/>
      <c r="O383" s="4"/>
      <c r="P383" s="4"/>
      <c r="Q383" s="32"/>
      <c r="S383" s="19"/>
      <c r="T383" s="14"/>
      <c r="U383" s="14"/>
      <c r="V383" s="14"/>
      <c r="W383" s="31"/>
      <c r="X383" s="4"/>
      <c r="Y383" s="4"/>
      <c r="Z383" s="4"/>
      <c r="AA383" s="4"/>
      <c r="AB383" s="4"/>
      <c r="AD383" s="4"/>
    </row>
    <row r="384" ht="15" spans="5:26">
      <c r="E384" s="13"/>
      <c r="H384" s="28"/>
      <c r="I384" s="17"/>
      <c r="K384" s="14"/>
      <c r="S384" s="18"/>
      <c r="T384" s="16"/>
      <c r="W384" s="31"/>
      <c r="Y384" s="6"/>
      <c r="Z384" s="6"/>
    </row>
    <row r="385" ht="15" spans="1:23">
      <c r="A385" s="38"/>
      <c r="E385" s="13"/>
      <c r="H385" s="28"/>
      <c r="I385" s="17"/>
      <c r="K385" s="14"/>
      <c r="S385" s="18"/>
      <c r="W385" s="31"/>
    </row>
    <row r="386" ht="15" spans="5:24">
      <c r="E386" s="13"/>
      <c r="H386" s="28"/>
      <c r="I386" s="17"/>
      <c r="S386" s="18"/>
      <c r="W386" s="31"/>
      <c r="X386" s="6"/>
    </row>
    <row r="387" ht="15" spans="5:23">
      <c r="E387" s="13"/>
      <c r="H387" s="28"/>
      <c r="I387" s="17"/>
      <c r="S387" s="18"/>
      <c r="V387" s="16"/>
      <c r="W387" s="31"/>
    </row>
    <row r="388" ht="15" spans="5:26">
      <c r="E388" s="13"/>
      <c r="H388" s="28"/>
      <c r="I388" s="17"/>
      <c r="S388" s="18"/>
      <c r="U388" s="16"/>
      <c r="W388" s="31"/>
      <c r="X388" s="6"/>
      <c r="Y388" s="6"/>
      <c r="Z388" s="6"/>
    </row>
    <row r="389" s="6" customFormat="1" ht="15" spans="5:24">
      <c r="E389" s="15"/>
      <c r="G389" s="16"/>
      <c r="H389" s="27"/>
      <c r="I389" s="16"/>
      <c r="S389" s="19"/>
      <c r="T389" s="14"/>
      <c r="U389" s="14"/>
      <c r="V389" s="14"/>
      <c r="W389" s="31"/>
      <c r="X389" s="4"/>
    </row>
    <row r="390" ht="15" spans="1:26">
      <c r="A390" s="6"/>
      <c r="B390" s="6"/>
      <c r="C390" s="6"/>
      <c r="D390" s="6"/>
      <c r="E390" s="15"/>
      <c r="F390" s="6"/>
      <c r="G390" s="16"/>
      <c r="H390" s="27"/>
      <c r="I390" s="16"/>
      <c r="J390" s="6"/>
      <c r="K390" s="6"/>
      <c r="L390" s="6"/>
      <c r="M390" s="6"/>
      <c r="N390" s="6"/>
      <c r="O390" s="6"/>
      <c r="Q390" s="6"/>
      <c r="S390" s="18"/>
      <c r="V390" s="16"/>
      <c r="W390" s="31"/>
      <c r="Y390" s="6"/>
      <c r="Z390" s="6"/>
    </row>
    <row r="391" ht="15" spans="1:23">
      <c r="A391" s="6"/>
      <c r="B391" s="6"/>
      <c r="C391" s="6"/>
      <c r="D391" s="6"/>
      <c r="E391" s="15"/>
      <c r="F391" s="6"/>
      <c r="G391" s="16"/>
      <c r="H391" s="27"/>
      <c r="I391" s="16"/>
      <c r="J391" s="6"/>
      <c r="K391" s="6"/>
      <c r="L391" s="6"/>
      <c r="M391" s="6"/>
      <c r="N391" s="6"/>
      <c r="O391" s="6"/>
      <c r="Q391" s="6"/>
      <c r="S391" s="18"/>
      <c r="W391" s="31"/>
    </row>
    <row r="392" s="6" customFormat="1" ht="15" spans="1:30">
      <c r="A392" s="4"/>
      <c r="B392" s="4"/>
      <c r="C392" s="4"/>
      <c r="D392" s="4"/>
      <c r="E392" s="13"/>
      <c r="F392" s="4"/>
      <c r="G392" s="14"/>
      <c r="H392" s="28"/>
      <c r="I392" s="17"/>
      <c r="J392" s="4"/>
      <c r="K392" s="4"/>
      <c r="L392" s="4"/>
      <c r="M392" s="4"/>
      <c r="N392" s="4"/>
      <c r="O392" s="4"/>
      <c r="P392" s="4"/>
      <c r="Q392" s="4"/>
      <c r="R392" s="4"/>
      <c r="S392" s="18"/>
      <c r="T392" s="14"/>
      <c r="U392" s="14"/>
      <c r="V392" s="14"/>
      <c r="W392" s="31"/>
      <c r="AA392" s="4"/>
      <c r="AB392" s="4"/>
      <c r="AC392" s="4"/>
      <c r="AD392" s="4"/>
    </row>
    <row r="393" s="6" customFormat="1" ht="15" spans="1:30">
      <c r="A393" s="4"/>
      <c r="B393" s="4"/>
      <c r="C393" s="4"/>
      <c r="D393" s="4"/>
      <c r="E393" s="13"/>
      <c r="F393" s="4"/>
      <c r="G393" s="14"/>
      <c r="H393" s="28"/>
      <c r="I393" s="17"/>
      <c r="J393" s="4"/>
      <c r="K393" s="14"/>
      <c r="L393" s="4"/>
      <c r="M393" s="4"/>
      <c r="N393" s="4"/>
      <c r="O393" s="4"/>
      <c r="P393" s="4"/>
      <c r="Q393" s="4"/>
      <c r="R393" s="4"/>
      <c r="S393" s="18"/>
      <c r="T393" s="16"/>
      <c r="U393" s="14"/>
      <c r="V393" s="14"/>
      <c r="W393" s="31"/>
      <c r="X393" s="4"/>
      <c r="Y393" s="4"/>
      <c r="Z393" s="4"/>
      <c r="AA393" s="4"/>
      <c r="AB393" s="4"/>
      <c r="AC393" s="4"/>
      <c r="AD393" s="4"/>
    </row>
    <row r="394" s="6" customFormat="1" ht="15" spans="1:30">
      <c r="A394" s="4"/>
      <c r="B394" s="4"/>
      <c r="C394" s="4"/>
      <c r="D394" s="4"/>
      <c r="E394" s="13"/>
      <c r="F394" s="4"/>
      <c r="G394" s="14"/>
      <c r="H394" s="27"/>
      <c r="I394" s="17"/>
      <c r="J394" s="4"/>
      <c r="K394" s="4"/>
      <c r="L394" s="4"/>
      <c r="M394" s="4"/>
      <c r="N394" s="4"/>
      <c r="O394" s="4"/>
      <c r="P394" s="4"/>
      <c r="Q394" s="4"/>
      <c r="R394" s="4"/>
      <c r="S394" s="18"/>
      <c r="T394" s="16"/>
      <c r="U394" s="14"/>
      <c r="V394" s="16"/>
      <c r="W394" s="31"/>
      <c r="Y394" s="4"/>
      <c r="Z394" s="4"/>
      <c r="AC394" s="4"/>
      <c r="AD394" s="4"/>
    </row>
    <row r="395" ht="15" spans="5:30">
      <c r="E395" s="13"/>
      <c r="H395" s="28"/>
      <c r="I395" s="17"/>
      <c r="K395" s="14"/>
      <c r="S395" s="18"/>
      <c r="V395" s="16"/>
      <c r="W395" s="31"/>
      <c r="Y395" s="6"/>
      <c r="Z395" s="6"/>
      <c r="AC395" s="6"/>
      <c r="AD395" s="6"/>
    </row>
    <row r="396" s="6" customFormat="1" ht="15" spans="1:30">
      <c r="A396" s="4"/>
      <c r="B396" s="4"/>
      <c r="C396" s="4"/>
      <c r="D396" s="4"/>
      <c r="E396" s="13"/>
      <c r="F396" s="4"/>
      <c r="G396" s="14"/>
      <c r="H396" s="28"/>
      <c r="I396" s="17"/>
      <c r="J396" s="4"/>
      <c r="K396" s="4"/>
      <c r="L396" s="4"/>
      <c r="M396" s="4"/>
      <c r="N396" s="4"/>
      <c r="O396" s="4"/>
      <c r="P396" s="4"/>
      <c r="Q396" s="4"/>
      <c r="R396" s="4"/>
      <c r="S396" s="18"/>
      <c r="T396" s="14"/>
      <c r="U396" s="14"/>
      <c r="V396" s="14"/>
      <c r="W396" s="31"/>
      <c r="AC396" s="4"/>
      <c r="AD396" s="4"/>
    </row>
    <row r="397" s="6" customFormat="1" ht="15" spans="5:30">
      <c r="E397" s="15"/>
      <c r="G397" s="16"/>
      <c r="H397" s="27"/>
      <c r="I397" s="16"/>
      <c r="R397" s="4"/>
      <c r="S397" s="19"/>
      <c r="T397" s="16"/>
      <c r="U397" s="14"/>
      <c r="V397" s="14"/>
      <c r="W397" s="31"/>
      <c r="X397" s="4"/>
      <c r="AD397" s="4"/>
    </row>
    <row r="398" ht="15" spans="5:29">
      <c r="E398" s="13"/>
      <c r="H398" s="28"/>
      <c r="I398" s="17"/>
      <c r="S398" s="18"/>
      <c r="W398" s="31"/>
      <c r="X398" s="6"/>
      <c r="AC398" s="6"/>
    </row>
    <row r="399" s="6" customFormat="1" ht="15" spans="1:30">
      <c r="A399" s="4"/>
      <c r="B399" s="4"/>
      <c r="C399" s="4"/>
      <c r="D399" s="4"/>
      <c r="E399" s="13"/>
      <c r="F399" s="4"/>
      <c r="G399" s="14"/>
      <c r="H399" s="27"/>
      <c r="I399" s="14"/>
      <c r="J399" s="4"/>
      <c r="K399" s="4"/>
      <c r="L399" s="4"/>
      <c r="M399" s="4"/>
      <c r="N399" s="4"/>
      <c r="O399" s="4"/>
      <c r="P399" s="4"/>
      <c r="Q399" s="4"/>
      <c r="R399" s="4"/>
      <c r="S399" s="18"/>
      <c r="T399" s="16"/>
      <c r="U399" s="14"/>
      <c r="V399" s="16"/>
      <c r="W399" s="31"/>
      <c r="X399" s="4"/>
      <c r="AD399" s="4"/>
    </row>
    <row r="400" s="6" customFormat="1" ht="15" spans="5:30">
      <c r="E400" s="15"/>
      <c r="G400" s="16"/>
      <c r="H400" s="23"/>
      <c r="I400" s="16"/>
      <c r="S400" s="19"/>
      <c r="T400" s="16"/>
      <c r="U400" s="16"/>
      <c r="V400" s="14"/>
      <c r="W400" s="31"/>
      <c r="X400" s="4"/>
      <c r="AD400" s="4"/>
    </row>
    <row r="401" ht="15" spans="1:29">
      <c r="A401" s="6"/>
      <c r="B401" s="6"/>
      <c r="C401" s="6"/>
      <c r="D401" s="6"/>
      <c r="E401" s="15"/>
      <c r="F401" s="6"/>
      <c r="G401" s="16"/>
      <c r="H401" s="27"/>
      <c r="I401" s="16"/>
      <c r="J401" s="6"/>
      <c r="K401" s="6"/>
      <c r="L401" s="6"/>
      <c r="M401" s="6"/>
      <c r="N401" s="6"/>
      <c r="O401" s="6"/>
      <c r="P401" s="6"/>
      <c r="Q401" s="6"/>
      <c r="S401" s="19"/>
      <c r="T401" s="16"/>
      <c r="V401" s="16"/>
      <c r="W401" s="31"/>
      <c r="AA401" s="6"/>
      <c r="AB401" s="6"/>
      <c r="AC401" s="6"/>
    </row>
    <row r="402" s="6" customFormat="1" ht="15" spans="1:29">
      <c r="A402" s="4"/>
      <c r="B402" s="4"/>
      <c r="C402" s="4"/>
      <c r="D402" s="4"/>
      <c r="E402" s="13"/>
      <c r="F402" s="4"/>
      <c r="G402" s="14"/>
      <c r="H402" s="40"/>
      <c r="I402" s="17"/>
      <c r="J402" s="4"/>
      <c r="K402" s="4"/>
      <c r="L402" s="4"/>
      <c r="M402" s="4"/>
      <c r="N402" s="4"/>
      <c r="O402" s="4"/>
      <c r="P402" s="4"/>
      <c r="Q402" s="4"/>
      <c r="R402" s="4"/>
      <c r="S402" s="18"/>
      <c r="T402" s="16"/>
      <c r="U402" s="14"/>
      <c r="V402" s="16"/>
      <c r="W402" s="31"/>
      <c r="X402" s="4"/>
      <c r="AC402" s="4"/>
    </row>
    <row r="403" ht="15" spans="5:23">
      <c r="E403" s="13"/>
      <c r="H403" s="28"/>
      <c r="I403" s="17"/>
      <c r="S403" s="18"/>
      <c r="T403" s="16"/>
      <c r="V403" s="16"/>
      <c r="W403" s="31"/>
    </row>
    <row r="404" ht="15" spans="5:26">
      <c r="E404" s="13"/>
      <c r="F404" s="41"/>
      <c r="H404" s="28"/>
      <c r="I404" s="17"/>
      <c r="S404" s="18"/>
      <c r="T404" s="16"/>
      <c r="W404" s="31"/>
      <c r="Y404" s="6"/>
      <c r="Z404" s="6"/>
    </row>
    <row r="405" ht="15" spans="5:30">
      <c r="E405" s="13"/>
      <c r="H405" s="28"/>
      <c r="I405" s="17"/>
      <c r="S405" s="18"/>
      <c r="U405" s="16"/>
      <c r="W405" s="31"/>
      <c r="X405" s="6"/>
      <c r="Y405" s="6"/>
      <c r="Z405" s="6"/>
      <c r="AD405" s="6"/>
    </row>
    <row r="406" ht="15" spans="1:23">
      <c r="A406" s="6"/>
      <c r="B406" s="6"/>
      <c r="C406" s="6"/>
      <c r="D406" s="6"/>
      <c r="E406" s="15"/>
      <c r="F406" s="6"/>
      <c r="G406" s="16"/>
      <c r="H406" s="27"/>
      <c r="I406" s="16"/>
      <c r="J406" s="6"/>
      <c r="K406" s="6"/>
      <c r="L406" s="6"/>
      <c r="M406" s="6"/>
      <c r="N406" s="6"/>
      <c r="O406" s="6"/>
      <c r="P406" s="6"/>
      <c r="Q406" s="6"/>
      <c r="R406" s="6"/>
      <c r="S406" s="19"/>
      <c r="U406" s="16"/>
      <c r="W406" s="31"/>
    </row>
    <row r="407" ht="15" spans="5:29">
      <c r="E407" s="13"/>
      <c r="H407" s="27"/>
      <c r="I407" s="17"/>
      <c r="S407" s="18"/>
      <c r="T407" s="16"/>
      <c r="U407" s="16"/>
      <c r="V407" s="16"/>
      <c r="W407" s="31"/>
      <c r="Y407" s="6"/>
      <c r="Z407" s="6"/>
      <c r="AC407" s="6"/>
    </row>
    <row r="408" ht="15" spans="5:30">
      <c r="E408" s="13"/>
      <c r="H408" s="28"/>
      <c r="S408" s="18"/>
      <c r="U408" s="16"/>
      <c r="W408" s="31"/>
      <c r="AD408" s="6"/>
    </row>
    <row r="409" ht="15" spans="5:29">
      <c r="E409" s="13"/>
      <c r="H409" s="28"/>
      <c r="I409" s="17"/>
      <c r="S409" s="18"/>
      <c r="W409" s="31"/>
      <c r="X409" s="6"/>
      <c r="AC409" s="6"/>
    </row>
    <row r="410" ht="15" spans="5:26">
      <c r="E410" s="13"/>
      <c r="H410" s="28"/>
      <c r="I410" s="17"/>
      <c r="S410" s="18"/>
      <c r="T410" s="16"/>
      <c r="W410" s="31"/>
      <c r="Y410" s="6"/>
      <c r="Z410" s="6"/>
    </row>
    <row r="411" ht="15" spans="1:30">
      <c r="A411" s="6"/>
      <c r="B411" s="6"/>
      <c r="C411" s="6"/>
      <c r="D411" s="6"/>
      <c r="E411" s="15"/>
      <c r="F411" s="6"/>
      <c r="G411" s="16"/>
      <c r="H411" s="27"/>
      <c r="I411" s="16"/>
      <c r="J411" s="6"/>
      <c r="K411" s="6"/>
      <c r="L411" s="6"/>
      <c r="M411" s="6"/>
      <c r="N411" s="6"/>
      <c r="O411" s="6"/>
      <c r="Q411" s="6"/>
      <c r="S411" s="18"/>
      <c r="U411" s="16"/>
      <c r="W411" s="31"/>
      <c r="AC411" s="6"/>
      <c r="AD411" s="6"/>
    </row>
    <row r="412" ht="15" spans="5:30">
      <c r="E412" s="13"/>
      <c r="H412" s="27"/>
      <c r="I412" s="17"/>
      <c r="S412" s="18"/>
      <c r="U412" s="16"/>
      <c r="W412" s="31"/>
      <c r="Y412" s="6"/>
      <c r="Z412" s="6"/>
      <c r="AA412" s="6"/>
      <c r="AB412" s="6"/>
      <c r="AC412" s="6"/>
      <c r="AD412" s="6"/>
    </row>
    <row r="413" ht="15" spans="1:26">
      <c r="A413" s="6"/>
      <c r="B413" s="6"/>
      <c r="C413" s="6"/>
      <c r="D413" s="6"/>
      <c r="E413" s="15"/>
      <c r="F413" s="6"/>
      <c r="G413" s="16"/>
      <c r="H413" s="26"/>
      <c r="I413" s="16"/>
      <c r="J413" s="6"/>
      <c r="K413" s="6"/>
      <c r="L413" s="6"/>
      <c r="M413" s="6"/>
      <c r="N413" s="6"/>
      <c r="O413" s="6"/>
      <c r="P413" s="6"/>
      <c r="Q413" s="6"/>
      <c r="R413" s="6"/>
      <c r="S413" s="19"/>
      <c r="W413" s="31"/>
      <c r="Y413" s="6"/>
      <c r="Z413" s="6"/>
    </row>
    <row r="414" ht="15" spans="1:30">
      <c r="A414" s="6"/>
      <c r="B414" s="6"/>
      <c r="C414" s="6"/>
      <c r="D414" s="6"/>
      <c r="E414" s="15"/>
      <c r="F414" s="6"/>
      <c r="G414" s="16"/>
      <c r="H414" s="27"/>
      <c r="I414" s="16"/>
      <c r="J414" s="6"/>
      <c r="K414" s="6"/>
      <c r="L414" s="6"/>
      <c r="M414" s="6"/>
      <c r="N414" s="6"/>
      <c r="O414" s="6"/>
      <c r="P414" s="6"/>
      <c r="Q414" s="6"/>
      <c r="S414" s="19"/>
      <c r="W414" s="31"/>
      <c r="Y414" s="6"/>
      <c r="Z414" s="6"/>
      <c r="AC414" s="6"/>
      <c r="AD414" s="6"/>
    </row>
    <row r="415" ht="15" spans="5:28">
      <c r="E415" s="13"/>
      <c r="H415" s="28"/>
      <c r="I415" s="17"/>
      <c r="S415" s="18"/>
      <c r="T415" s="16"/>
      <c r="U415" s="16"/>
      <c r="W415" s="31"/>
      <c r="AA415" s="6"/>
      <c r="AB415" s="6"/>
    </row>
    <row r="416" ht="15" spans="5:23">
      <c r="E416" s="13"/>
      <c r="H416" s="28"/>
      <c r="K416" s="14"/>
      <c r="P416" s="6"/>
      <c r="S416" s="18"/>
      <c r="U416" s="16"/>
      <c r="V416" s="16"/>
      <c r="W416" s="31"/>
    </row>
    <row r="417" ht="15" spans="5:23">
      <c r="E417" s="13"/>
      <c r="G417" s="16"/>
      <c r="H417" s="26"/>
      <c r="Q417" s="32"/>
      <c r="R417" s="6"/>
      <c r="S417" s="19"/>
      <c r="W417" s="31"/>
    </row>
    <row r="418" ht="15" spans="1:28">
      <c r="A418" s="6"/>
      <c r="B418" s="6"/>
      <c r="C418" s="6"/>
      <c r="D418" s="6"/>
      <c r="E418" s="15"/>
      <c r="F418" s="6"/>
      <c r="G418" s="16"/>
      <c r="H418" s="27"/>
      <c r="I418" s="16"/>
      <c r="J418" s="6"/>
      <c r="K418" s="6"/>
      <c r="L418" s="6"/>
      <c r="M418" s="6"/>
      <c r="N418" s="6"/>
      <c r="O418" s="6"/>
      <c r="P418" s="6"/>
      <c r="Q418" s="6"/>
      <c r="S418" s="19"/>
      <c r="T418" s="16"/>
      <c r="W418" s="31"/>
      <c r="AA418" s="6"/>
      <c r="AB418" s="6"/>
    </row>
    <row r="419" ht="15" spans="5:23">
      <c r="E419" s="13"/>
      <c r="H419" s="28"/>
      <c r="I419" s="17"/>
      <c r="S419" s="18"/>
      <c r="W419" s="31"/>
    </row>
    <row r="420" ht="15" spans="5:23">
      <c r="E420" s="13"/>
      <c r="H420" s="28"/>
      <c r="I420" s="17"/>
      <c r="S420" s="18"/>
      <c r="T420" s="16"/>
      <c r="W420" s="31"/>
    </row>
    <row r="421" ht="15" spans="5:30">
      <c r="E421" s="13"/>
      <c r="H421" s="28"/>
      <c r="Q421" s="33"/>
      <c r="S421" s="18"/>
      <c r="W421" s="34"/>
      <c r="AD421" s="6"/>
    </row>
    <row r="422" ht="15" spans="5:30">
      <c r="E422" s="13"/>
      <c r="G422" s="16"/>
      <c r="H422" s="26"/>
      <c r="Q422" s="32"/>
      <c r="R422" s="6"/>
      <c r="S422" s="19"/>
      <c r="W422" s="31"/>
      <c r="AD422" s="6"/>
    </row>
    <row r="423" ht="15" spans="1:29">
      <c r="A423" s="6"/>
      <c r="B423" s="6"/>
      <c r="C423" s="6"/>
      <c r="D423" s="6"/>
      <c r="E423" s="15"/>
      <c r="F423" s="6"/>
      <c r="G423" s="16"/>
      <c r="H423" s="23"/>
      <c r="I423" s="16"/>
      <c r="J423" s="6"/>
      <c r="K423" s="6"/>
      <c r="L423" s="6"/>
      <c r="M423" s="6"/>
      <c r="N423" s="6"/>
      <c r="O423" s="6"/>
      <c r="Q423" s="6"/>
      <c r="S423" s="18"/>
      <c r="W423" s="31"/>
      <c r="AC423" s="6"/>
    </row>
    <row r="424" ht="15" spans="5:26">
      <c r="E424" s="13"/>
      <c r="G424" s="16"/>
      <c r="H424" s="26"/>
      <c r="Q424" s="32"/>
      <c r="R424" s="6"/>
      <c r="S424" s="19"/>
      <c r="W424" s="31"/>
      <c r="X424" s="6"/>
      <c r="Y424" s="6"/>
      <c r="Z424" s="6"/>
    </row>
    <row r="425" ht="15" spans="5:29">
      <c r="E425" s="13"/>
      <c r="H425" s="27"/>
      <c r="I425" s="17"/>
      <c r="S425" s="18"/>
      <c r="U425" s="16"/>
      <c r="V425" s="16"/>
      <c r="W425" s="31"/>
      <c r="Y425" s="6"/>
      <c r="Z425" s="6"/>
      <c r="AA425" s="6"/>
      <c r="AB425" s="6"/>
      <c r="AC425" s="6"/>
    </row>
    <row r="426" ht="15" spans="1:23">
      <c r="A426" s="6"/>
      <c r="B426" s="6"/>
      <c r="C426" s="6"/>
      <c r="D426" s="6"/>
      <c r="E426" s="15"/>
      <c r="F426" s="6"/>
      <c r="G426" s="16"/>
      <c r="H426" s="27"/>
      <c r="I426" s="16"/>
      <c r="J426" s="6"/>
      <c r="K426" s="6"/>
      <c r="L426" s="6"/>
      <c r="M426" s="6"/>
      <c r="N426" s="6"/>
      <c r="O426" s="6"/>
      <c r="P426" s="6"/>
      <c r="Q426" s="6"/>
      <c r="R426" s="6"/>
      <c r="S426" s="19"/>
      <c r="T426" s="16"/>
      <c r="U426" s="16"/>
      <c r="W426" s="31"/>
    </row>
    <row r="427" ht="15" spans="1:23">
      <c r="A427" s="6"/>
      <c r="B427" s="6"/>
      <c r="C427" s="6"/>
      <c r="D427" s="6"/>
      <c r="E427" s="15"/>
      <c r="F427" s="6"/>
      <c r="G427" s="16"/>
      <c r="H427" s="27"/>
      <c r="I427" s="16"/>
      <c r="J427" s="6"/>
      <c r="K427" s="16"/>
      <c r="L427" s="6"/>
      <c r="M427" s="6"/>
      <c r="N427" s="6"/>
      <c r="O427" s="6"/>
      <c r="P427" s="6"/>
      <c r="Q427" s="6"/>
      <c r="R427" s="6"/>
      <c r="S427" s="19"/>
      <c r="U427" s="16"/>
      <c r="V427" s="16"/>
      <c r="W427" s="31"/>
    </row>
    <row r="428" ht="15" spans="5:26">
      <c r="E428" s="13"/>
      <c r="H428" s="28"/>
      <c r="K428" s="14"/>
      <c r="S428" s="18"/>
      <c r="U428" s="16"/>
      <c r="V428" s="16"/>
      <c r="W428" s="31"/>
      <c r="Y428" s="6"/>
      <c r="Z428" s="6"/>
    </row>
    <row r="429" ht="15" spans="5:23">
      <c r="E429" s="13"/>
      <c r="H429" s="28"/>
      <c r="I429" s="17"/>
      <c r="S429" s="18"/>
      <c r="T429" s="16"/>
      <c r="W429" s="31"/>
    </row>
    <row r="430" ht="15" spans="5:29">
      <c r="E430" s="13"/>
      <c r="H430" s="28"/>
      <c r="I430" s="17"/>
      <c r="S430" s="18"/>
      <c r="T430" s="16"/>
      <c r="V430" s="16"/>
      <c r="W430" s="31"/>
      <c r="AA430" s="6"/>
      <c r="AB430" s="6"/>
      <c r="AC430" s="6"/>
    </row>
    <row r="431" ht="15" spans="5:24">
      <c r="E431" s="13"/>
      <c r="H431" s="28"/>
      <c r="K431" s="14"/>
      <c r="S431" s="18"/>
      <c r="U431" s="16"/>
      <c r="W431" s="31"/>
      <c r="X431" s="6"/>
    </row>
    <row r="432" ht="15" spans="1:28">
      <c r="A432" s="6"/>
      <c r="B432" s="6"/>
      <c r="C432" s="6"/>
      <c r="D432" s="6"/>
      <c r="E432" s="15"/>
      <c r="F432" s="6"/>
      <c r="G432" s="16"/>
      <c r="H432" s="27"/>
      <c r="I432" s="16"/>
      <c r="J432" s="6"/>
      <c r="K432" s="6"/>
      <c r="L432" s="6"/>
      <c r="M432" s="6"/>
      <c r="N432" s="6"/>
      <c r="O432" s="6"/>
      <c r="P432" s="6"/>
      <c r="Q432" s="6"/>
      <c r="R432" s="6"/>
      <c r="S432" s="19"/>
      <c r="T432" s="16"/>
      <c r="W432" s="31"/>
      <c r="Y432" s="6"/>
      <c r="Z432" s="6"/>
      <c r="AA432" s="6"/>
      <c r="AB432" s="6"/>
    </row>
    <row r="433" ht="15" spans="5:24">
      <c r="E433" s="13"/>
      <c r="G433" s="16"/>
      <c r="H433" s="26"/>
      <c r="Q433" s="32"/>
      <c r="R433" s="6"/>
      <c r="S433" s="19"/>
      <c r="W433" s="31"/>
      <c r="X433" s="6"/>
    </row>
    <row r="434" ht="15" spans="1:30">
      <c r="A434" s="6"/>
      <c r="B434" s="6"/>
      <c r="C434" s="6"/>
      <c r="D434" s="6"/>
      <c r="E434" s="15"/>
      <c r="F434" s="6"/>
      <c r="G434" s="16"/>
      <c r="H434" s="27"/>
      <c r="I434" s="16"/>
      <c r="J434" s="6"/>
      <c r="K434" s="6"/>
      <c r="L434" s="6"/>
      <c r="M434" s="6"/>
      <c r="N434" s="6"/>
      <c r="O434" s="6"/>
      <c r="P434" s="6"/>
      <c r="Q434" s="6"/>
      <c r="S434" s="19"/>
      <c r="W434" s="31"/>
      <c r="X434" s="6"/>
      <c r="AC434" s="6"/>
      <c r="AD434" s="6"/>
    </row>
    <row r="435" ht="15" spans="5:23">
      <c r="E435" s="13"/>
      <c r="H435" s="27"/>
      <c r="S435" s="18"/>
      <c r="W435" s="31"/>
    </row>
    <row r="436" ht="15" spans="1:26">
      <c r="A436" s="6"/>
      <c r="B436" s="6"/>
      <c r="C436" s="6"/>
      <c r="D436" s="6"/>
      <c r="E436" s="15"/>
      <c r="F436" s="6"/>
      <c r="G436" s="16"/>
      <c r="H436" s="27"/>
      <c r="I436" s="16"/>
      <c r="J436" s="6"/>
      <c r="K436" s="16"/>
      <c r="L436" s="6"/>
      <c r="M436" s="6"/>
      <c r="N436" s="6"/>
      <c r="O436" s="6"/>
      <c r="P436" s="6"/>
      <c r="Q436" s="6"/>
      <c r="S436" s="19"/>
      <c r="W436" s="31"/>
      <c r="X436" s="6"/>
      <c r="Y436" s="6"/>
      <c r="Z436" s="6"/>
    </row>
    <row r="437" ht="15" spans="1:30">
      <c r="A437" s="6"/>
      <c r="B437" s="6"/>
      <c r="C437" s="6"/>
      <c r="D437" s="6"/>
      <c r="E437" s="15"/>
      <c r="F437" s="42"/>
      <c r="G437" s="16"/>
      <c r="H437" s="26"/>
      <c r="I437" s="16"/>
      <c r="J437" s="6"/>
      <c r="K437" s="6"/>
      <c r="L437" s="6"/>
      <c r="M437" s="6"/>
      <c r="N437" s="6"/>
      <c r="O437" s="6"/>
      <c r="P437" s="6"/>
      <c r="Q437" s="6"/>
      <c r="S437" s="19"/>
      <c r="W437" s="31"/>
      <c r="AD437" s="6"/>
    </row>
    <row r="438" ht="15" spans="5:30">
      <c r="E438" s="13"/>
      <c r="H438" s="25"/>
      <c r="I438" s="17"/>
      <c r="S438" s="18"/>
      <c r="U438" s="16"/>
      <c r="W438" s="31"/>
      <c r="AD438" s="6"/>
    </row>
    <row r="439" ht="15" spans="1:26">
      <c r="A439" s="6"/>
      <c r="B439" s="6"/>
      <c r="C439" s="6"/>
      <c r="D439" s="6"/>
      <c r="E439" s="15"/>
      <c r="F439" s="6"/>
      <c r="G439" s="16"/>
      <c r="H439" s="27"/>
      <c r="I439" s="16"/>
      <c r="J439" s="6"/>
      <c r="K439" s="6"/>
      <c r="L439" s="6"/>
      <c r="M439" s="6"/>
      <c r="N439" s="6"/>
      <c r="O439" s="6"/>
      <c r="P439" s="6"/>
      <c r="Q439" s="6"/>
      <c r="R439" s="6"/>
      <c r="S439" s="19"/>
      <c r="T439" s="16"/>
      <c r="W439" s="31"/>
      <c r="X439" s="6"/>
      <c r="Y439" s="6"/>
      <c r="Z439" s="6"/>
    </row>
    <row r="440" ht="15" spans="5:26">
      <c r="E440" s="13"/>
      <c r="G440" s="16"/>
      <c r="H440" s="27"/>
      <c r="Q440" s="32"/>
      <c r="R440" s="6"/>
      <c r="S440" s="19"/>
      <c r="W440" s="31"/>
      <c r="X440" s="6"/>
      <c r="Y440" s="6"/>
      <c r="Z440" s="6"/>
    </row>
    <row r="441" ht="15" spans="5:30">
      <c r="E441" s="13"/>
      <c r="H441" s="28"/>
      <c r="I441" s="17"/>
      <c r="S441" s="18"/>
      <c r="U441" s="16"/>
      <c r="V441" s="16"/>
      <c r="W441" s="31"/>
      <c r="AD441" s="6"/>
    </row>
    <row r="442" ht="15" spans="5:28">
      <c r="E442" s="13"/>
      <c r="H442" s="25"/>
      <c r="I442" s="17"/>
      <c r="S442" s="18"/>
      <c r="V442" s="16"/>
      <c r="W442" s="31"/>
      <c r="X442" s="6"/>
      <c r="AA442" s="6"/>
      <c r="AB442" s="6"/>
    </row>
    <row r="443" ht="15" spans="1:24">
      <c r="A443" s="6"/>
      <c r="B443" s="6"/>
      <c r="C443" s="6"/>
      <c r="D443" s="6"/>
      <c r="E443" s="15"/>
      <c r="F443" s="6"/>
      <c r="G443" s="16"/>
      <c r="H443" s="27"/>
      <c r="I443" s="16"/>
      <c r="J443" s="6"/>
      <c r="K443" s="6"/>
      <c r="L443" s="6"/>
      <c r="M443" s="6"/>
      <c r="N443" s="6"/>
      <c r="O443" s="6"/>
      <c r="P443" s="6"/>
      <c r="Q443" s="6"/>
      <c r="R443" s="6"/>
      <c r="S443" s="19"/>
      <c r="T443" s="16"/>
      <c r="U443" s="16"/>
      <c r="W443" s="31"/>
      <c r="X443" s="6"/>
    </row>
    <row r="444" ht="15" spans="1:23">
      <c r="A444" s="6"/>
      <c r="B444" s="6"/>
      <c r="C444" s="6"/>
      <c r="D444" s="6"/>
      <c r="E444" s="15"/>
      <c r="F444" s="6"/>
      <c r="G444" s="16"/>
      <c r="H444" s="27"/>
      <c r="I444" s="16"/>
      <c r="J444" s="6"/>
      <c r="K444" s="6"/>
      <c r="L444" s="6"/>
      <c r="M444" s="6"/>
      <c r="N444" s="6"/>
      <c r="O444" s="6"/>
      <c r="Q444" s="6"/>
      <c r="S444" s="18"/>
      <c r="W444" s="31"/>
    </row>
    <row r="445" ht="15" spans="5:30">
      <c r="E445" s="13"/>
      <c r="G445" s="16"/>
      <c r="H445" s="26"/>
      <c r="Q445" s="32"/>
      <c r="R445" s="6"/>
      <c r="S445" s="19"/>
      <c r="V445" s="16"/>
      <c r="W445" s="31"/>
      <c r="Y445" s="6"/>
      <c r="Z445" s="6"/>
      <c r="AC445" s="6"/>
      <c r="AD445" s="6"/>
    </row>
    <row r="446" ht="15" spans="5:30">
      <c r="E446" s="13"/>
      <c r="H446" s="28"/>
      <c r="Q446" s="33"/>
      <c r="S446" s="18"/>
      <c r="W446" s="34"/>
      <c r="AD446" s="6"/>
    </row>
    <row r="447" ht="15" spans="1:30">
      <c r="A447" s="6"/>
      <c r="B447" s="6"/>
      <c r="C447" s="6"/>
      <c r="D447" s="6"/>
      <c r="E447" s="15"/>
      <c r="F447" s="6"/>
      <c r="G447" s="16"/>
      <c r="H447" s="27"/>
      <c r="I447" s="16"/>
      <c r="J447" s="6"/>
      <c r="K447" s="6"/>
      <c r="L447" s="6"/>
      <c r="M447" s="6"/>
      <c r="N447" s="6"/>
      <c r="O447" s="6"/>
      <c r="P447" s="6"/>
      <c r="Q447" s="6"/>
      <c r="S447" s="19"/>
      <c r="W447" s="31"/>
      <c r="AA447" s="6"/>
      <c r="AB447" s="6"/>
      <c r="AC447" s="6"/>
      <c r="AD447" s="6"/>
    </row>
    <row r="448" ht="15" spans="5:30">
      <c r="E448" s="13"/>
      <c r="H448" s="28"/>
      <c r="I448" s="17"/>
      <c r="S448" s="18"/>
      <c r="W448" s="31"/>
      <c r="AD448" s="6"/>
    </row>
    <row r="449" ht="15" spans="1:23">
      <c r="A449" s="6"/>
      <c r="B449" s="6"/>
      <c r="C449" s="6"/>
      <c r="D449" s="6"/>
      <c r="E449" s="15"/>
      <c r="F449" s="6"/>
      <c r="G449" s="16"/>
      <c r="H449" s="27"/>
      <c r="I449" s="16"/>
      <c r="J449" s="6"/>
      <c r="K449" s="6"/>
      <c r="L449" s="6"/>
      <c r="M449" s="6"/>
      <c r="N449" s="6"/>
      <c r="O449" s="6"/>
      <c r="Q449" s="6"/>
      <c r="S449" s="18"/>
      <c r="T449" s="16"/>
      <c r="U449" s="16"/>
      <c r="W449" s="31"/>
    </row>
    <row r="450" ht="15" spans="5:26">
      <c r="E450" s="13"/>
      <c r="H450" s="25"/>
      <c r="I450" s="17"/>
      <c r="S450" s="18"/>
      <c r="V450" s="16"/>
      <c r="W450" s="31"/>
      <c r="Y450" s="6"/>
      <c r="Z450" s="6"/>
    </row>
    <row r="451" ht="15" spans="5:23">
      <c r="E451" s="13"/>
      <c r="H451" s="28"/>
      <c r="I451" s="17"/>
      <c r="S451" s="18"/>
      <c r="T451" s="16"/>
      <c r="W451" s="31"/>
    </row>
    <row r="452" ht="15" spans="1:30">
      <c r="A452" s="6"/>
      <c r="B452" s="6"/>
      <c r="C452" s="6"/>
      <c r="D452" s="6"/>
      <c r="E452" s="15"/>
      <c r="F452" s="6"/>
      <c r="G452" s="16"/>
      <c r="H452" s="27"/>
      <c r="I452" s="16"/>
      <c r="J452" s="6"/>
      <c r="K452" s="6"/>
      <c r="L452" s="6"/>
      <c r="M452" s="6"/>
      <c r="N452" s="6"/>
      <c r="O452" s="6"/>
      <c r="P452" s="6"/>
      <c r="Q452" s="6"/>
      <c r="R452" s="6"/>
      <c r="S452" s="19"/>
      <c r="W452" s="31"/>
      <c r="X452" s="6"/>
      <c r="AD452" s="6"/>
    </row>
    <row r="453" ht="15" spans="1:30">
      <c r="A453" s="6"/>
      <c r="B453" s="6"/>
      <c r="C453" s="6"/>
      <c r="D453" s="6"/>
      <c r="E453" s="15"/>
      <c r="F453" s="6"/>
      <c r="G453" s="16"/>
      <c r="H453" s="27"/>
      <c r="I453" s="16"/>
      <c r="J453" s="6"/>
      <c r="K453" s="6"/>
      <c r="L453" s="6"/>
      <c r="M453" s="6"/>
      <c r="N453" s="6"/>
      <c r="O453" s="6"/>
      <c r="P453" s="6"/>
      <c r="Q453" s="6"/>
      <c r="S453" s="19"/>
      <c r="V453" s="16"/>
      <c r="W453" s="31"/>
      <c r="AD453" s="6"/>
    </row>
    <row r="454" ht="15" spans="5:24">
      <c r="E454" s="13"/>
      <c r="G454" s="16"/>
      <c r="H454" s="23"/>
      <c r="Q454" s="32"/>
      <c r="R454" s="6"/>
      <c r="S454" s="19"/>
      <c r="V454" s="16"/>
      <c r="W454" s="31"/>
      <c r="X454" s="6"/>
    </row>
    <row r="455" ht="15" spans="1:30">
      <c r="A455" s="6"/>
      <c r="B455" s="6"/>
      <c r="C455" s="6"/>
      <c r="D455" s="6"/>
      <c r="E455" s="15"/>
      <c r="F455" s="37"/>
      <c r="G455" s="16"/>
      <c r="H455" s="26"/>
      <c r="I455" s="16"/>
      <c r="J455" s="6"/>
      <c r="K455" s="6"/>
      <c r="L455" s="6"/>
      <c r="M455" s="6"/>
      <c r="N455" s="6"/>
      <c r="O455" s="6"/>
      <c r="P455" s="6"/>
      <c r="Q455" s="6"/>
      <c r="S455" s="19"/>
      <c r="T455" s="16"/>
      <c r="V455" s="16"/>
      <c r="W455" s="31"/>
      <c r="Y455" s="6"/>
      <c r="Z455" s="6"/>
      <c r="AA455" s="6"/>
      <c r="AB455" s="6"/>
      <c r="AC455" s="6"/>
      <c r="AD455" s="6"/>
    </row>
    <row r="456" ht="15" spans="5:30">
      <c r="E456" s="13"/>
      <c r="H456" s="28"/>
      <c r="I456" s="17"/>
      <c r="S456" s="18"/>
      <c r="W456" s="31"/>
      <c r="AD456" s="6"/>
    </row>
    <row r="457" ht="15" spans="5:23">
      <c r="E457" s="13"/>
      <c r="G457" s="16"/>
      <c r="H457" s="29"/>
      <c r="Q457" s="32"/>
      <c r="R457" s="6"/>
      <c r="S457" s="19"/>
      <c r="W457" s="31"/>
    </row>
    <row r="458" ht="15" spans="1:28">
      <c r="A458" s="6"/>
      <c r="B458" s="6"/>
      <c r="C458" s="6"/>
      <c r="D458" s="6"/>
      <c r="E458" s="15"/>
      <c r="F458" s="6"/>
      <c r="G458" s="16"/>
      <c r="H458" s="27"/>
      <c r="I458" s="16"/>
      <c r="J458" s="6"/>
      <c r="K458" s="6"/>
      <c r="L458" s="6"/>
      <c r="M458" s="6"/>
      <c r="N458" s="6"/>
      <c r="O458" s="6"/>
      <c r="P458" s="6"/>
      <c r="Q458" s="6"/>
      <c r="S458" s="19"/>
      <c r="T458" s="16"/>
      <c r="V458" s="16"/>
      <c r="W458" s="31"/>
      <c r="X458" s="6"/>
      <c r="AA458" s="6"/>
      <c r="AB458" s="6"/>
    </row>
    <row r="459" ht="15" spans="1:23">
      <c r="A459" s="6"/>
      <c r="B459" s="6"/>
      <c r="C459" s="6"/>
      <c r="D459" s="6"/>
      <c r="E459" s="15"/>
      <c r="F459" s="6"/>
      <c r="G459" s="16"/>
      <c r="H459" s="26"/>
      <c r="I459" s="16"/>
      <c r="J459" s="6"/>
      <c r="K459" s="6"/>
      <c r="L459" s="6"/>
      <c r="M459" s="6"/>
      <c r="N459" s="6"/>
      <c r="O459" s="6"/>
      <c r="P459" s="6"/>
      <c r="Q459" s="6"/>
      <c r="R459" s="6"/>
      <c r="S459" s="19"/>
      <c r="W459" s="31"/>
    </row>
    <row r="460" ht="15" spans="1:28">
      <c r="A460" s="6"/>
      <c r="B460" s="6"/>
      <c r="C460" s="6"/>
      <c r="D460" s="6"/>
      <c r="E460" s="15"/>
      <c r="F460" s="6"/>
      <c r="G460" s="16"/>
      <c r="H460" s="23"/>
      <c r="I460" s="16"/>
      <c r="J460" s="6"/>
      <c r="K460" s="6"/>
      <c r="L460" s="6"/>
      <c r="M460" s="6"/>
      <c r="N460" s="6"/>
      <c r="O460" s="6"/>
      <c r="P460" s="6"/>
      <c r="Q460" s="6"/>
      <c r="S460" s="19"/>
      <c r="W460" s="31"/>
      <c r="AA460" s="6"/>
      <c r="AB460" s="6"/>
    </row>
    <row r="461" ht="15" spans="1:30">
      <c r="A461" s="6"/>
      <c r="B461" s="6"/>
      <c r="C461" s="6"/>
      <c r="D461" s="6"/>
      <c r="E461" s="15"/>
      <c r="F461" s="6"/>
      <c r="G461" s="16"/>
      <c r="H461" s="27"/>
      <c r="I461" s="16"/>
      <c r="J461" s="6"/>
      <c r="K461" s="6"/>
      <c r="L461" s="6"/>
      <c r="M461" s="6"/>
      <c r="N461" s="6"/>
      <c r="O461" s="6"/>
      <c r="P461" s="6"/>
      <c r="Q461" s="6"/>
      <c r="S461" s="19"/>
      <c r="U461" s="16"/>
      <c r="W461" s="31"/>
      <c r="Y461" s="6"/>
      <c r="Z461" s="6"/>
      <c r="AA461" s="6"/>
      <c r="AB461" s="6"/>
      <c r="AD461" s="6"/>
    </row>
    <row r="462" ht="15" spans="1:23">
      <c r="A462" s="6"/>
      <c r="B462" s="6"/>
      <c r="C462" s="6"/>
      <c r="D462" s="6"/>
      <c r="E462" s="15"/>
      <c r="F462" s="6"/>
      <c r="G462" s="16"/>
      <c r="H462" s="27"/>
      <c r="I462" s="16"/>
      <c r="J462" s="6"/>
      <c r="K462" s="16"/>
      <c r="L462" s="6"/>
      <c r="M462" s="6"/>
      <c r="N462" s="6"/>
      <c r="O462" s="6"/>
      <c r="Q462" s="6"/>
      <c r="S462" s="18"/>
      <c r="U462" s="16"/>
      <c r="W462" s="31"/>
    </row>
    <row r="463" ht="15" spans="1:29">
      <c r="A463" s="6"/>
      <c r="B463" s="6"/>
      <c r="C463" s="6"/>
      <c r="D463" s="6"/>
      <c r="E463" s="15"/>
      <c r="F463" s="6"/>
      <c r="G463" s="16"/>
      <c r="H463" s="29"/>
      <c r="I463" s="16"/>
      <c r="J463" s="6"/>
      <c r="K463" s="6"/>
      <c r="L463" s="6"/>
      <c r="M463" s="6"/>
      <c r="N463" s="6"/>
      <c r="O463" s="6"/>
      <c r="P463" s="6"/>
      <c r="Q463" s="6"/>
      <c r="R463" s="6"/>
      <c r="S463" s="19"/>
      <c r="V463" s="16"/>
      <c r="W463" s="31"/>
      <c r="Y463" s="6"/>
      <c r="Z463" s="6"/>
      <c r="AC463" s="6"/>
    </row>
    <row r="464" ht="15" spans="1:30">
      <c r="A464" s="38"/>
      <c r="E464" s="13"/>
      <c r="H464" s="28"/>
      <c r="S464" s="18"/>
      <c r="T464" s="16"/>
      <c r="W464" s="31"/>
      <c r="Y464" s="6"/>
      <c r="Z464" s="6"/>
      <c r="AA464" s="6"/>
      <c r="AB464" s="6"/>
      <c r="AD464" s="6"/>
    </row>
    <row r="465" ht="15" spans="5:26">
      <c r="E465" s="13"/>
      <c r="F465" s="43"/>
      <c r="H465" s="28"/>
      <c r="I465" s="17"/>
      <c r="S465" s="18"/>
      <c r="T465" s="16"/>
      <c r="U465" s="16"/>
      <c r="W465" s="31"/>
      <c r="X465" s="6"/>
      <c r="Y465" s="6"/>
      <c r="Z465" s="6"/>
    </row>
    <row r="466" ht="14.25" spans="1:29">
      <c r="A466" s="6"/>
      <c r="B466" s="6"/>
      <c r="C466" s="6"/>
      <c r="D466" s="6"/>
      <c r="E466" s="15"/>
      <c r="F466" s="6"/>
      <c r="G466" s="16"/>
      <c r="H466" s="23"/>
      <c r="I466" s="16"/>
      <c r="J466" s="6"/>
      <c r="K466" s="6"/>
      <c r="L466" s="6"/>
      <c r="M466" s="6"/>
      <c r="N466" s="6"/>
      <c r="O466" s="6"/>
      <c r="P466" s="6"/>
      <c r="Q466" s="6"/>
      <c r="R466" s="6"/>
      <c r="S466" s="19"/>
      <c r="T466" s="16"/>
      <c r="V466" s="16"/>
      <c r="W466" s="31"/>
      <c r="Y466" s="6"/>
      <c r="Z466" s="6"/>
      <c r="AA466" s="6"/>
      <c r="AB466" s="6"/>
      <c r="AC466" s="6"/>
    </row>
    <row r="467" spans="1:28">
      <c r="A467" s="6"/>
      <c r="B467" s="6"/>
      <c r="C467" s="6"/>
      <c r="D467" s="6"/>
      <c r="E467" s="15"/>
      <c r="F467" s="6"/>
      <c r="G467" s="16"/>
      <c r="H467" s="23"/>
      <c r="I467" s="16"/>
      <c r="J467" s="6"/>
      <c r="K467" s="6"/>
      <c r="L467" s="6"/>
      <c r="M467" s="6"/>
      <c r="N467" s="6"/>
      <c r="O467" s="6"/>
      <c r="P467" s="6"/>
      <c r="Q467" s="6"/>
      <c r="S467" s="19"/>
      <c r="T467" s="16"/>
      <c r="W467" s="31"/>
      <c r="Y467" s="6"/>
      <c r="Z467" s="6"/>
      <c r="AA467" s="6"/>
      <c r="AB467" s="6"/>
    </row>
    <row r="468" spans="1:26">
      <c r="A468" s="6"/>
      <c r="B468" s="6"/>
      <c r="C468" s="6"/>
      <c r="D468" s="6"/>
      <c r="E468" s="15"/>
      <c r="F468" s="6"/>
      <c r="G468" s="16"/>
      <c r="H468" s="23"/>
      <c r="I468" s="16"/>
      <c r="J468" s="6"/>
      <c r="K468" s="16"/>
      <c r="L468" s="6"/>
      <c r="M468" s="6"/>
      <c r="N468" s="6"/>
      <c r="O468" s="6"/>
      <c r="P468" s="6"/>
      <c r="Q468" s="6"/>
      <c r="R468" s="6"/>
      <c r="S468" s="19"/>
      <c r="W468" s="31"/>
      <c r="Y468" s="6"/>
      <c r="Z468" s="6"/>
    </row>
    <row r="469" ht="14.25" spans="5:23">
      <c r="E469" s="13"/>
      <c r="G469" s="16"/>
      <c r="H469" s="29"/>
      <c r="Q469" s="32"/>
      <c r="R469" s="6"/>
      <c r="S469" s="19"/>
      <c r="V469" s="16"/>
      <c r="W469" s="31"/>
    </row>
    <row r="470" ht="15" spans="1:23">
      <c r="A470" s="6"/>
      <c r="B470" s="6"/>
      <c r="C470" s="6"/>
      <c r="D470" s="6"/>
      <c r="E470" s="15"/>
      <c r="F470" s="6"/>
      <c r="G470" s="16"/>
      <c r="H470" s="27"/>
      <c r="I470" s="16"/>
      <c r="J470" s="6"/>
      <c r="K470" s="6"/>
      <c r="L470" s="6"/>
      <c r="M470" s="6"/>
      <c r="N470" s="6"/>
      <c r="O470" s="6"/>
      <c r="P470" s="6"/>
      <c r="Q470" s="6"/>
      <c r="R470" s="6"/>
      <c r="S470" s="19"/>
      <c r="T470" s="16"/>
      <c r="U470" s="16"/>
      <c r="V470" s="16"/>
      <c r="W470" s="31"/>
    </row>
    <row r="471" ht="15" spans="5:30">
      <c r="E471" s="13"/>
      <c r="H471" s="28"/>
      <c r="Q471" s="33"/>
      <c r="S471" s="18"/>
      <c r="W471" s="34"/>
      <c r="AD471" s="6"/>
    </row>
    <row r="472" ht="15" spans="5:23">
      <c r="E472" s="13"/>
      <c r="H472" s="28"/>
      <c r="Q472" s="33"/>
      <c r="S472" s="18"/>
      <c r="W472" s="34"/>
    </row>
    <row r="473" ht="14.25" spans="5:26">
      <c r="E473" s="13"/>
      <c r="G473" s="16"/>
      <c r="H473" s="23"/>
      <c r="Q473" s="32"/>
      <c r="R473" s="6"/>
      <c r="S473" s="19"/>
      <c r="W473" s="31"/>
      <c r="Y473" s="6"/>
      <c r="Z473" s="6"/>
    </row>
    <row r="474" ht="14.25" spans="5:28">
      <c r="E474" s="13"/>
      <c r="G474" s="16"/>
      <c r="H474" s="23"/>
      <c r="Q474" s="32"/>
      <c r="R474" s="6"/>
      <c r="S474" s="19"/>
      <c r="W474" s="31"/>
      <c r="AA474" s="6"/>
      <c r="AB474" s="6"/>
    </row>
    <row r="475" ht="15" spans="1:29">
      <c r="A475" s="37"/>
      <c r="B475" s="6"/>
      <c r="C475" s="6"/>
      <c r="D475" s="6"/>
      <c r="E475" s="15"/>
      <c r="F475" s="6"/>
      <c r="G475" s="16"/>
      <c r="H475" s="27"/>
      <c r="I475" s="16"/>
      <c r="J475" s="6"/>
      <c r="K475" s="6"/>
      <c r="L475" s="6"/>
      <c r="M475" s="6"/>
      <c r="N475" s="6"/>
      <c r="O475" s="6"/>
      <c r="Q475" s="6"/>
      <c r="S475" s="18"/>
      <c r="U475" s="16"/>
      <c r="W475" s="31"/>
      <c r="X475" s="6"/>
      <c r="AA475" s="6"/>
      <c r="AB475" s="6"/>
      <c r="AC475" s="6"/>
    </row>
    <row r="476" ht="15" spans="5:30">
      <c r="E476" s="13"/>
      <c r="G476" s="16"/>
      <c r="H476" s="27"/>
      <c r="Q476" s="32"/>
      <c r="R476" s="6"/>
      <c r="S476" s="19"/>
      <c r="V476" s="16"/>
      <c r="W476" s="31"/>
      <c r="X476" s="6"/>
      <c r="AC476" s="6"/>
      <c r="AD476" s="6"/>
    </row>
    <row r="477" ht="15" spans="5:30">
      <c r="E477" s="13"/>
      <c r="H477" s="28"/>
      <c r="I477" s="17"/>
      <c r="S477" s="18"/>
      <c r="W477" s="31"/>
      <c r="Y477" s="6"/>
      <c r="Z477" s="6"/>
      <c r="AD477" s="6"/>
    </row>
    <row r="478" ht="14.25" spans="1:28">
      <c r="A478" s="6"/>
      <c r="B478" s="6"/>
      <c r="C478" s="6"/>
      <c r="D478" s="6"/>
      <c r="E478" s="15"/>
      <c r="F478" s="6"/>
      <c r="G478" s="16"/>
      <c r="H478" s="23"/>
      <c r="I478" s="16"/>
      <c r="J478" s="6"/>
      <c r="K478" s="6"/>
      <c r="L478" s="6"/>
      <c r="M478" s="6"/>
      <c r="N478" s="6"/>
      <c r="O478" s="6"/>
      <c r="P478" s="6"/>
      <c r="Q478" s="6"/>
      <c r="S478" s="19"/>
      <c r="T478" s="16"/>
      <c r="W478" s="31"/>
      <c r="X478" s="6"/>
      <c r="AA478" s="6"/>
      <c r="AB478" s="6"/>
    </row>
    <row r="479" ht="14.25" spans="1:30">
      <c r="A479" s="6"/>
      <c r="B479" s="6"/>
      <c r="C479" s="6"/>
      <c r="D479" s="6"/>
      <c r="E479" s="15"/>
      <c r="F479" s="6"/>
      <c r="G479" s="16"/>
      <c r="H479" s="23"/>
      <c r="I479" s="16"/>
      <c r="J479" s="6"/>
      <c r="K479" s="6"/>
      <c r="L479" s="6"/>
      <c r="M479" s="6"/>
      <c r="N479" s="6"/>
      <c r="O479" s="6"/>
      <c r="Q479" s="6"/>
      <c r="S479" s="18"/>
      <c r="V479" s="16"/>
      <c r="W479" s="31"/>
      <c r="Y479" s="6"/>
      <c r="Z479" s="6"/>
      <c r="AD479" s="6"/>
    </row>
    <row r="480" ht="15" spans="5:28">
      <c r="E480" s="13"/>
      <c r="H480" s="28"/>
      <c r="I480" s="17"/>
      <c r="K480" s="14"/>
      <c r="P480" s="6"/>
      <c r="S480" s="18"/>
      <c r="W480" s="31"/>
      <c r="X480" s="6"/>
      <c r="Y480" s="6"/>
      <c r="Z480" s="6"/>
      <c r="AA480" s="6"/>
      <c r="AB480" s="6"/>
    </row>
    <row r="481" ht="14.25" spans="5:30">
      <c r="E481" s="13"/>
      <c r="H481" s="25"/>
      <c r="K481" s="14"/>
      <c r="S481" s="18"/>
      <c r="T481" s="16"/>
      <c r="U481" s="16"/>
      <c r="V481" s="16"/>
      <c r="W481" s="31"/>
      <c r="X481" s="6"/>
      <c r="AA481" s="6"/>
      <c r="AB481" s="6"/>
      <c r="AD481" s="6"/>
    </row>
    <row r="482" spans="1:29">
      <c r="A482" s="6"/>
      <c r="B482" s="6"/>
      <c r="C482" s="6"/>
      <c r="D482" s="6"/>
      <c r="E482" s="15"/>
      <c r="F482" s="6"/>
      <c r="G482" s="16"/>
      <c r="H482" s="23"/>
      <c r="I482" s="16"/>
      <c r="J482" s="6"/>
      <c r="K482" s="6"/>
      <c r="L482" s="6"/>
      <c r="M482" s="6"/>
      <c r="N482" s="6"/>
      <c r="O482" s="6"/>
      <c r="P482" s="6"/>
      <c r="Q482" s="6"/>
      <c r="S482" s="19"/>
      <c r="U482" s="16"/>
      <c r="V482" s="16"/>
      <c r="W482" s="31"/>
      <c r="Y482" s="6"/>
      <c r="Z482" s="6"/>
      <c r="AC482" s="6"/>
    </row>
    <row r="483" ht="14.25" spans="1:29">
      <c r="A483" s="6"/>
      <c r="B483" s="6"/>
      <c r="C483" s="6"/>
      <c r="D483" s="6"/>
      <c r="E483" s="15"/>
      <c r="F483" s="6"/>
      <c r="G483" s="16"/>
      <c r="H483" s="23"/>
      <c r="I483" s="16"/>
      <c r="J483" s="6"/>
      <c r="K483" s="16"/>
      <c r="L483" s="6"/>
      <c r="M483" s="6"/>
      <c r="N483" s="6"/>
      <c r="O483" s="6"/>
      <c r="P483" s="6"/>
      <c r="Q483" s="6"/>
      <c r="R483" s="6"/>
      <c r="S483" s="19"/>
      <c r="T483" s="16"/>
      <c r="U483" s="16"/>
      <c r="W483" s="31"/>
      <c r="AA483" s="6"/>
      <c r="AB483" s="6"/>
      <c r="AC483" s="6"/>
    </row>
    <row r="484" ht="15" spans="5:30">
      <c r="E484" s="13"/>
      <c r="H484" s="27"/>
      <c r="I484" s="17"/>
      <c r="S484" s="18"/>
      <c r="U484" s="16"/>
      <c r="W484" s="31"/>
      <c r="Y484" s="6"/>
      <c r="Z484" s="6"/>
      <c r="AA484" s="6"/>
      <c r="AB484" s="6"/>
      <c r="AD484" s="6"/>
    </row>
    <row r="485" ht="14.25" spans="5:23">
      <c r="E485" s="13"/>
      <c r="H485" s="25"/>
      <c r="I485" s="17"/>
      <c r="S485" s="18"/>
      <c r="T485" s="16"/>
      <c r="U485" s="16"/>
      <c r="W485" s="31"/>
    </row>
    <row r="486" ht="14.25" spans="5:26">
      <c r="E486" s="13"/>
      <c r="H486" s="25"/>
      <c r="K486" s="14"/>
      <c r="S486" s="18"/>
      <c r="W486" s="31"/>
      <c r="X486" s="6"/>
      <c r="Y486" s="6"/>
      <c r="Z486" s="6"/>
    </row>
    <row r="487" ht="15" spans="5:23">
      <c r="E487" s="13"/>
      <c r="H487" s="28"/>
      <c r="Q487" s="33"/>
      <c r="S487" s="18"/>
      <c r="W487" s="34"/>
    </row>
    <row r="488" ht="15" spans="5:23">
      <c r="E488" s="13"/>
      <c r="H488" s="25"/>
      <c r="Q488" s="33"/>
      <c r="S488" s="18"/>
      <c r="W488" s="34"/>
    </row>
    <row r="489" ht="15" spans="5:30">
      <c r="E489" s="13"/>
      <c r="G489" s="16"/>
      <c r="H489" s="27"/>
      <c r="Q489" s="32"/>
      <c r="R489" s="6"/>
      <c r="S489" s="19"/>
      <c r="W489" s="31"/>
      <c r="Y489" s="6"/>
      <c r="Z489" s="6"/>
      <c r="AD489" s="6"/>
    </row>
    <row r="490" ht="15" spans="8:26">
      <c r="H490" s="25"/>
      <c r="K490" s="14"/>
      <c r="S490" s="18"/>
      <c r="T490" s="16"/>
      <c r="W490" s="31"/>
      <c r="X490" s="6"/>
      <c r="Y490" s="6"/>
      <c r="Z490" s="6"/>
    </row>
    <row r="491" ht="15" spans="5:23">
      <c r="E491" s="13"/>
      <c r="H491" s="28"/>
      <c r="Q491" s="33"/>
      <c r="S491" s="18"/>
      <c r="W491" s="34"/>
    </row>
    <row r="492" ht="14.25" spans="1:26">
      <c r="A492" s="6"/>
      <c r="B492" s="6"/>
      <c r="C492" s="6"/>
      <c r="D492" s="6"/>
      <c r="E492" s="15"/>
      <c r="F492" s="6"/>
      <c r="G492" s="16"/>
      <c r="H492" s="23"/>
      <c r="I492" s="16"/>
      <c r="J492" s="6"/>
      <c r="K492" s="6"/>
      <c r="L492" s="6"/>
      <c r="M492" s="6"/>
      <c r="N492" s="6"/>
      <c r="O492" s="6"/>
      <c r="P492" s="6"/>
      <c r="Q492" s="6"/>
      <c r="R492" s="6"/>
      <c r="S492" s="19"/>
      <c r="T492" s="16"/>
      <c r="U492" s="16"/>
      <c r="W492" s="31"/>
      <c r="Y492" s="6"/>
      <c r="Z492" s="6"/>
    </row>
    <row r="493" spans="5:30">
      <c r="E493" s="13"/>
      <c r="H493" s="25"/>
      <c r="K493" s="14"/>
      <c r="S493" s="18"/>
      <c r="U493" s="16"/>
      <c r="W493" s="31"/>
      <c r="X493" s="6"/>
      <c r="Y493" s="6"/>
      <c r="Z493" s="6"/>
      <c r="AC493" s="6"/>
      <c r="AD493" s="6"/>
    </row>
    <row r="494" spans="1:19">
      <c r="A494"/>
      <c r="B494"/>
      <c r="C494"/>
      <c r="D494"/>
      <c r="E494" s="2"/>
      <c r="F494"/>
      <c r="H494" s="25"/>
      <c r="J494"/>
      <c r="K494"/>
      <c r="L494"/>
      <c r="M494"/>
      <c r="Q494"/>
      <c r="S494" s="18"/>
    </row>
    <row r="495" spans="1:19">
      <c r="A495"/>
      <c r="B495"/>
      <c r="C495"/>
      <c r="D495"/>
      <c r="E495" s="2"/>
      <c r="F495"/>
      <c r="H495" s="25"/>
      <c r="J495"/>
      <c r="K495"/>
      <c r="L495"/>
      <c r="M495"/>
      <c r="Q495"/>
      <c r="S495" s="18"/>
    </row>
    <row r="496" spans="1:19">
      <c r="A496"/>
      <c r="B496"/>
      <c r="C496"/>
      <c r="D496"/>
      <c r="E496" s="2"/>
      <c r="F496"/>
      <c r="H496" s="25"/>
      <c r="J496"/>
      <c r="K496"/>
      <c r="L496"/>
      <c r="M496"/>
      <c r="Q496"/>
      <c r="S496" s="18"/>
    </row>
    <row r="497" spans="1:19">
      <c r="A497"/>
      <c r="B497"/>
      <c r="C497"/>
      <c r="D497"/>
      <c r="E497" s="2"/>
      <c r="F497"/>
      <c r="H497" s="25"/>
      <c r="J497"/>
      <c r="K497"/>
      <c r="L497"/>
      <c r="M497"/>
      <c r="Q497"/>
      <c r="S497" s="18"/>
    </row>
    <row r="498" spans="1:19">
      <c r="A498"/>
      <c r="B498"/>
      <c r="C498"/>
      <c r="D498"/>
      <c r="E498" s="2"/>
      <c r="F498"/>
      <c r="H498" s="25"/>
      <c r="J498"/>
      <c r="K498"/>
      <c r="L498"/>
      <c r="M498"/>
      <c r="Q498"/>
      <c r="S498" s="18"/>
    </row>
    <row r="499" spans="1:19">
      <c r="A499"/>
      <c r="B499"/>
      <c r="C499"/>
      <c r="D499"/>
      <c r="E499" s="2"/>
      <c r="F499"/>
      <c r="H499" s="25"/>
      <c r="J499"/>
      <c r="K499"/>
      <c r="L499"/>
      <c r="M499"/>
      <c r="Q499"/>
      <c r="S499" s="18"/>
    </row>
    <row r="500" spans="1:19">
      <c r="A500"/>
      <c r="B500"/>
      <c r="C500"/>
      <c r="D500"/>
      <c r="E500" s="2"/>
      <c r="F500"/>
      <c r="H500" s="25"/>
      <c r="J500"/>
      <c r="K500"/>
      <c r="L500"/>
      <c r="M500"/>
      <c r="Q500"/>
      <c r="S500" s="18"/>
    </row>
    <row r="501" spans="1:19">
      <c r="A501"/>
      <c r="B501"/>
      <c r="C501"/>
      <c r="D501"/>
      <c r="E501" s="2"/>
      <c r="F501"/>
      <c r="H501" s="25"/>
      <c r="J501"/>
      <c r="K501"/>
      <c r="L501"/>
      <c r="M501"/>
      <c r="Q501"/>
      <c r="S501" s="18"/>
    </row>
    <row r="502" spans="1:19">
      <c r="A502"/>
      <c r="B502"/>
      <c r="C502"/>
      <c r="D502"/>
      <c r="E502" s="2"/>
      <c r="F502"/>
      <c r="H502" s="25"/>
      <c r="J502"/>
      <c r="K502"/>
      <c r="L502"/>
      <c r="M502"/>
      <c r="Q502"/>
      <c r="S502" s="18"/>
    </row>
    <row r="503" spans="1:19">
      <c r="A503"/>
      <c r="B503"/>
      <c r="C503"/>
      <c r="D503"/>
      <c r="E503" s="2"/>
      <c r="F503"/>
      <c r="H503" s="25"/>
      <c r="J503"/>
      <c r="K503"/>
      <c r="L503"/>
      <c r="M503"/>
      <c r="Q503"/>
      <c r="S503" s="18"/>
    </row>
    <row r="504" spans="1:19">
      <c r="A504"/>
      <c r="B504"/>
      <c r="C504"/>
      <c r="D504"/>
      <c r="E504" s="2"/>
      <c r="F504"/>
      <c r="H504" s="25"/>
      <c r="J504"/>
      <c r="K504"/>
      <c r="L504"/>
      <c r="M504"/>
      <c r="Q504"/>
      <c r="S504" s="18"/>
    </row>
    <row r="505" spans="1:19">
      <c r="A505"/>
      <c r="B505"/>
      <c r="C505"/>
      <c r="D505"/>
      <c r="E505" s="2"/>
      <c r="F505"/>
      <c r="H505" s="25"/>
      <c r="J505"/>
      <c r="K505"/>
      <c r="L505"/>
      <c r="M505"/>
      <c r="Q505"/>
      <c r="S505" s="18"/>
    </row>
    <row r="506" spans="1:19">
      <c r="A506"/>
      <c r="B506"/>
      <c r="C506"/>
      <c r="D506"/>
      <c r="E506" s="2"/>
      <c r="F506"/>
      <c r="H506" s="25"/>
      <c r="J506"/>
      <c r="K506"/>
      <c r="L506"/>
      <c r="M506"/>
      <c r="Q506"/>
      <c r="S506" s="18"/>
    </row>
    <row r="507" spans="1:19">
      <c r="A507"/>
      <c r="B507"/>
      <c r="C507"/>
      <c r="D507"/>
      <c r="E507" s="2"/>
      <c r="F507"/>
      <c r="H507" s="25"/>
      <c r="J507"/>
      <c r="K507"/>
      <c r="L507"/>
      <c r="M507"/>
      <c r="Q507"/>
      <c r="S507" s="18"/>
    </row>
    <row r="508" spans="1:19">
      <c r="A508"/>
      <c r="B508"/>
      <c r="C508"/>
      <c r="D508"/>
      <c r="E508" s="2"/>
      <c r="F508"/>
      <c r="H508" s="25"/>
      <c r="J508"/>
      <c r="K508"/>
      <c r="L508"/>
      <c r="M508"/>
      <c r="Q508"/>
      <c r="S508" s="18"/>
    </row>
    <row r="509" spans="1:19">
      <c r="A509"/>
      <c r="B509"/>
      <c r="C509"/>
      <c r="D509"/>
      <c r="E509" s="2"/>
      <c r="F509"/>
      <c r="H509" s="25"/>
      <c r="J509"/>
      <c r="K509"/>
      <c r="L509"/>
      <c r="M509"/>
      <c r="Q509"/>
      <c r="S509" s="18"/>
    </row>
    <row r="510" spans="1:19">
      <c r="A510"/>
      <c r="B510"/>
      <c r="C510"/>
      <c r="D510"/>
      <c r="E510" s="2"/>
      <c r="F510"/>
      <c r="H510" s="25"/>
      <c r="J510"/>
      <c r="K510"/>
      <c r="L510"/>
      <c r="M510"/>
      <c r="Q510"/>
      <c r="S510" s="18"/>
    </row>
    <row r="511" spans="1:19">
      <c r="A511"/>
      <c r="B511"/>
      <c r="C511"/>
      <c r="D511"/>
      <c r="E511" s="2"/>
      <c r="F511"/>
      <c r="H511" s="25"/>
      <c r="J511"/>
      <c r="K511"/>
      <c r="L511"/>
      <c r="M511"/>
      <c r="Q511"/>
      <c r="S511" s="18"/>
    </row>
    <row r="512" spans="1:19">
      <c r="A512"/>
      <c r="B512"/>
      <c r="C512"/>
      <c r="D512"/>
      <c r="E512" s="2"/>
      <c r="F512"/>
      <c r="H512" s="25"/>
      <c r="J512"/>
      <c r="K512"/>
      <c r="L512"/>
      <c r="M512"/>
      <c r="Q512"/>
      <c r="S512" s="18"/>
    </row>
    <row r="513" spans="1:19">
      <c r="A513"/>
      <c r="B513"/>
      <c r="C513"/>
      <c r="D513"/>
      <c r="E513" s="2"/>
      <c r="F513"/>
      <c r="H513" s="25"/>
      <c r="J513"/>
      <c r="K513"/>
      <c r="L513"/>
      <c r="M513"/>
      <c r="Q513"/>
      <c r="S513" s="18"/>
    </row>
    <row r="514" spans="1:19">
      <c r="A514"/>
      <c r="B514"/>
      <c r="C514"/>
      <c r="D514"/>
      <c r="E514" s="2"/>
      <c r="F514"/>
      <c r="H514" s="25"/>
      <c r="J514"/>
      <c r="K514"/>
      <c r="L514"/>
      <c r="M514"/>
      <c r="Q514"/>
      <c r="S514" s="18"/>
    </row>
    <row r="515" spans="1:19">
      <c r="A515"/>
      <c r="B515"/>
      <c r="C515"/>
      <c r="D515"/>
      <c r="E515" s="2"/>
      <c r="F515"/>
      <c r="H515" s="25"/>
      <c r="J515"/>
      <c r="K515"/>
      <c r="L515"/>
      <c r="M515"/>
      <c r="Q515"/>
      <c r="S515" s="18"/>
    </row>
    <row r="516" spans="1:19">
      <c r="A516"/>
      <c r="B516"/>
      <c r="C516"/>
      <c r="D516"/>
      <c r="E516" s="2"/>
      <c r="F516"/>
      <c r="H516" s="25"/>
      <c r="J516"/>
      <c r="K516"/>
      <c r="L516"/>
      <c r="M516"/>
      <c r="Q516"/>
      <c r="S516" s="18"/>
    </row>
    <row r="517" spans="1:19">
      <c r="A517"/>
      <c r="B517"/>
      <c r="C517"/>
      <c r="D517"/>
      <c r="E517" s="2"/>
      <c r="F517"/>
      <c r="H517" s="25"/>
      <c r="J517"/>
      <c r="K517"/>
      <c r="L517"/>
      <c r="M517"/>
      <c r="Q517"/>
      <c r="S517" s="18"/>
    </row>
    <row r="518" spans="1:19">
      <c r="A518"/>
      <c r="B518"/>
      <c r="C518"/>
      <c r="D518"/>
      <c r="E518" s="2"/>
      <c r="F518"/>
      <c r="H518" s="25"/>
      <c r="J518"/>
      <c r="K518"/>
      <c r="L518"/>
      <c r="M518"/>
      <c r="Q518"/>
      <c r="S518" s="18"/>
    </row>
    <row r="519" spans="1:19">
      <c r="A519"/>
      <c r="B519"/>
      <c r="C519"/>
      <c r="D519"/>
      <c r="E519" s="2"/>
      <c r="F519"/>
      <c r="H519" s="25"/>
      <c r="J519"/>
      <c r="K519"/>
      <c r="L519"/>
      <c r="M519"/>
      <c r="Q519"/>
      <c r="S519" s="18"/>
    </row>
    <row r="520" spans="1:19">
      <c r="A520"/>
      <c r="B520"/>
      <c r="C520"/>
      <c r="D520"/>
      <c r="E520" s="2"/>
      <c r="F520"/>
      <c r="H520" s="25"/>
      <c r="J520"/>
      <c r="K520"/>
      <c r="L520"/>
      <c r="M520"/>
      <c r="Q520"/>
      <c r="S520" s="18"/>
    </row>
    <row r="521" spans="1:19">
      <c r="A521"/>
      <c r="B521"/>
      <c r="C521"/>
      <c r="D521"/>
      <c r="E521" s="2"/>
      <c r="F521"/>
      <c r="H521" s="25"/>
      <c r="J521"/>
      <c r="K521"/>
      <c r="L521"/>
      <c r="M521"/>
      <c r="Q521"/>
      <c r="S521" s="18"/>
    </row>
    <row r="522" spans="1:19">
      <c r="A522"/>
      <c r="B522"/>
      <c r="C522"/>
      <c r="D522"/>
      <c r="E522" s="2"/>
      <c r="F522"/>
      <c r="H522" s="25"/>
      <c r="J522"/>
      <c r="K522"/>
      <c r="L522"/>
      <c r="M522"/>
      <c r="Q522"/>
      <c r="S522" s="18"/>
    </row>
    <row r="523" spans="1:19">
      <c r="A523"/>
      <c r="B523"/>
      <c r="C523"/>
      <c r="D523"/>
      <c r="E523" s="2"/>
      <c r="F523"/>
      <c r="H523" s="25"/>
      <c r="J523"/>
      <c r="K523"/>
      <c r="L523"/>
      <c r="M523"/>
      <c r="Q523"/>
      <c r="S523" s="18"/>
    </row>
  </sheetData>
  <hyperlinks>
    <hyperlink ref="W2" r:id="rId5" display="十方控股"/>
  </hyperlinks>
  <pageMargins left="0.699305555555556" right="0.699305555555556" top="0.75" bottom="0.75" header="0.3" footer="0.3"/>
  <pageSetup paperSize="9" orientation="portrait" horizontalDpi="1200" verticalDpi="12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Button 1" r:id="rId3">
              <controlPr print="0" defaultSize="0">
                <anchor moveWithCells="1">
                  <from>
                    <xdr:col>24</xdr:col>
                    <xdr:colOff>38100</xdr:colOff>
                    <xdr:row>8</xdr:row>
                    <xdr:rowOff>152400</xdr:rowOff>
                  </from>
                  <to>
                    <xdr:col>24</xdr:col>
                    <xdr:colOff>600075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name="Button 2" r:id="rId4">
              <controlPr print="0" defaultSize="0">
                <anchor moveWithCells="1">
                  <from>
                    <xdr:col>24</xdr:col>
                    <xdr:colOff>38100</xdr:colOff>
                    <xdr:row>6</xdr:row>
                    <xdr:rowOff>142875</xdr:rowOff>
                  </from>
                  <to>
                    <xdr:col>24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Chart1"/>
  <dimension ref="A1"/>
  <sheetViews>
    <sheetView showGridLines="0" showRowColHeaders="0" zoomScale="73" zoomScaleNormal="73" workbookViewId="0">
      <selection activeCell="A1" sqref="A1"/>
    </sheetView>
  </sheetViews>
  <sheetFormatPr defaultColWidth="9" defaultRowHeight="13.5"/>
  <sheetData/>
  <pageMargins left="0.699305555555556" right="0.699305555555556" top="0.75" bottom="0.75" header="0.3" footer="0.3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Q7"/>
  <sheetViews>
    <sheetView workbookViewId="0">
      <selection activeCell="B15" sqref="B15"/>
    </sheetView>
  </sheetViews>
  <sheetFormatPr defaultColWidth="9" defaultRowHeight="13.5" outlineLevelRow="6"/>
  <sheetData>
    <row r="1" s="4" customFormat="1" spans="1:17">
      <c r="A1" s="4">
        <v>8006</v>
      </c>
      <c r="B1" s="4">
        <v>0.018</v>
      </c>
      <c r="C1" s="4">
        <v>0.018</v>
      </c>
      <c r="D1" s="4">
        <v>4.2</v>
      </c>
      <c r="E1" s="13">
        <v>128608369.2</v>
      </c>
      <c r="F1" s="4" t="s">
        <v>362</v>
      </c>
      <c r="G1" s="14">
        <v>0</v>
      </c>
      <c r="H1" s="14">
        <v>233.333333333333</v>
      </c>
      <c r="I1" s="14" t="e">
        <v>#DIV/0!</v>
      </c>
      <c r="J1" s="4">
        <v>0.51</v>
      </c>
      <c r="K1" s="4">
        <v>1.81818181818181</v>
      </c>
      <c r="L1" s="4">
        <v>38.7141</v>
      </c>
      <c r="M1" s="4">
        <v>36</v>
      </c>
      <c r="Q1" s="4">
        <v>0.02</v>
      </c>
    </row>
    <row r="2" s="4" customFormat="1" spans="1:17">
      <c r="A2" s="4">
        <v>8051</v>
      </c>
      <c r="B2" s="4">
        <v>0.31</v>
      </c>
      <c r="C2" s="4">
        <v>0.2</v>
      </c>
      <c r="D2" s="4">
        <v>45.4</v>
      </c>
      <c r="E2" s="13">
        <v>271999276.25</v>
      </c>
      <c r="F2" s="4" t="s">
        <v>366</v>
      </c>
      <c r="G2" s="14">
        <v>0.354838709677419</v>
      </c>
      <c r="H2" s="14">
        <v>146.451612903226</v>
      </c>
      <c r="I2" s="14">
        <v>412.727272727273</v>
      </c>
      <c r="J2" s="4">
        <v>3.45</v>
      </c>
      <c r="K2" s="4">
        <v>10.3174603174603</v>
      </c>
      <c r="Q2" s="4">
        <v>0.325</v>
      </c>
    </row>
    <row r="3" s="4" customFormat="1" spans="1:17">
      <c r="A3" s="4">
        <v>1246</v>
      </c>
      <c r="B3" s="4">
        <v>0.016</v>
      </c>
      <c r="C3" s="4">
        <v>0.014</v>
      </c>
      <c r="D3" s="4">
        <v>1.26</v>
      </c>
      <c r="E3" s="13">
        <v>398400000</v>
      </c>
      <c r="F3" s="4" t="s">
        <v>14</v>
      </c>
      <c r="G3" s="14">
        <v>0</v>
      </c>
      <c r="H3" s="14">
        <v>90</v>
      </c>
      <c r="I3" s="14" t="e">
        <v>#DIV/0!</v>
      </c>
      <c r="J3" s="4">
        <v>1.32</v>
      </c>
      <c r="K3" s="4">
        <v>0.869565217391304</v>
      </c>
      <c r="L3" s="4">
        <v>4.3992</v>
      </c>
      <c r="M3" s="4">
        <v>3.182</v>
      </c>
      <c r="Q3" s="4">
        <v>0.016</v>
      </c>
    </row>
    <row r="4" s="4" customFormat="1" spans="1:17">
      <c r="A4" s="4">
        <v>8018</v>
      </c>
      <c r="B4" s="4">
        <v>0.06</v>
      </c>
      <c r="C4" s="4">
        <v>0.05</v>
      </c>
      <c r="D4" s="4">
        <v>3.41</v>
      </c>
      <c r="E4" s="13">
        <v>220000000</v>
      </c>
      <c r="F4" s="4" t="s">
        <v>449</v>
      </c>
      <c r="G4" s="14">
        <v>0.074074074074074</v>
      </c>
      <c r="H4" s="14">
        <v>63.1481481481482</v>
      </c>
      <c r="I4" s="14">
        <v>852.500000000001</v>
      </c>
      <c r="J4" s="4">
        <v>3.72</v>
      </c>
      <c r="K4" s="4">
        <v>7.43243243243243</v>
      </c>
      <c r="L4" s="4">
        <v>19.083</v>
      </c>
      <c r="M4" s="4">
        <v>19.286</v>
      </c>
      <c r="Q4" s="4">
        <v>0.06</v>
      </c>
    </row>
    <row r="5" s="4" customFormat="1" spans="1:17">
      <c r="A5" s="4">
        <v>8078</v>
      </c>
      <c r="B5" s="4">
        <v>0.39</v>
      </c>
      <c r="C5" s="4">
        <v>0.29</v>
      </c>
      <c r="D5" s="4">
        <v>19.5</v>
      </c>
      <c r="E5" s="13">
        <v>1379792960.64</v>
      </c>
      <c r="F5" s="4" t="s">
        <v>288</v>
      </c>
      <c r="G5" s="14">
        <v>0.159420289855073</v>
      </c>
      <c r="H5" s="14">
        <v>56.5217391304348</v>
      </c>
      <c r="I5" s="14">
        <v>354.545454545455</v>
      </c>
      <c r="J5" s="4">
        <v>2.89</v>
      </c>
      <c r="K5" s="4">
        <v>3.17460317460317</v>
      </c>
      <c r="Q5" s="4">
        <v>0.39</v>
      </c>
    </row>
    <row r="6" s="4" customFormat="1" spans="1:17">
      <c r="A6" s="4">
        <v>1480</v>
      </c>
      <c r="B6" s="4">
        <v>2</v>
      </c>
      <c r="C6" s="4">
        <v>1.32</v>
      </c>
      <c r="D6" s="4">
        <v>102</v>
      </c>
      <c r="E6" s="13">
        <v>475200000</v>
      </c>
      <c r="F6" s="4" t="s">
        <v>121</v>
      </c>
      <c r="G6" s="14">
        <v>0.305263157894737</v>
      </c>
      <c r="H6" s="14">
        <v>53.6842105263158</v>
      </c>
      <c r="I6" s="14">
        <v>175.862068965517</v>
      </c>
      <c r="J6" s="4">
        <v>1.07</v>
      </c>
      <c r="K6" s="4">
        <v>0.709423145825868</v>
      </c>
      <c r="L6" s="4">
        <v>10.7489</v>
      </c>
      <c r="M6" s="4">
        <v>7.907</v>
      </c>
      <c r="Q6" s="4">
        <v>2</v>
      </c>
    </row>
    <row r="7" s="4" customFormat="1" spans="1:17">
      <c r="A7" s="4">
        <v>8369</v>
      </c>
      <c r="B7" s="4">
        <v>0.35</v>
      </c>
      <c r="C7" s="4">
        <v>0.23</v>
      </c>
      <c r="D7" s="4">
        <v>14.88</v>
      </c>
      <c r="E7" s="13">
        <v>384000000</v>
      </c>
      <c r="F7" s="4" t="s">
        <v>339</v>
      </c>
      <c r="G7" s="14">
        <v>0.258064516129032</v>
      </c>
      <c r="H7" s="14">
        <v>48</v>
      </c>
      <c r="I7" s="14">
        <v>186</v>
      </c>
      <c r="J7" s="4">
        <v>4.32</v>
      </c>
      <c r="K7" s="4">
        <v>2.32018561484918</v>
      </c>
      <c r="L7" s="4">
        <v>15.8331</v>
      </c>
      <c r="Q7" s="4">
        <v>0.35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19</xdr:col>
                    <xdr:colOff>180975</xdr:colOff>
                    <xdr:row>2</xdr:row>
                    <xdr:rowOff>85725</xdr:rowOff>
                  </from>
                  <to>
                    <xdr:col>19</xdr:col>
                    <xdr:colOff>666750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R196"/>
  <sheetViews>
    <sheetView workbookViewId="0">
      <selection activeCell="C182" sqref="C182"/>
    </sheetView>
  </sheetViews>
  <sheetFormatPr defaultColWidth="9" defaultRowHeight="13.5"/>
  <sheetData>
    <row r="1" s="10" customFormat="1" spans="1:18">
      <c r="A1" s="10" t="s">
        <v>692</v>
      </c>
      <c r="B1" s="10">
        <v>5.47</v>
      </c>
      <c r="C1" s="10">
        <v>1.83</v>
      </c>
      <c r="D1" s="10">
        <v>7.7</v>
      </c>
      <c r="E1" s="20">
        <v>352347274.56</v>
      </c>
      <c r="F1" s="10" t="s">
        <v>693</v>
      </c>
      <c r="H1" s="12">
        <f t="shared" ref="H1:H32" si="0">D1/B1</f>
        <v>1.40767824497258</v>
      </c>
      <c r="I1" s="12"/>
      <c r="J1" s="10">
        <v>1.6</v>
      </c>
      <c r="K1" s="12">
        <v>1.74</v>
      </c>
      <c r="Q1" s="10">
        <v>5.47</v>
      </c>
      <c r="R1" s="4">
        <f t="shared" ref="R1:R32" si="1">B1/Q1-1</f>
        <v>0</v>
      </c>
    </row>
    <row r="2" spans="1:18">
      <c r="A2" t="s">
        <v>654</v>
      </c>
      <c r="B2">
        <v>26.81</v>
      </c>
      <c r="C2">
        <v>25.88</v>
      </c>
      <c r="D2">
        <v>56.59</v>
      </c>
      <c r="E2" s="2">
        <v>2972986141.44</v>
      </c>
      <c r="F2" t="s">
        <v>655</v>
      </c>
      <c r="H2" s="11">
        <f t="shared" si="0"/>
        <v>2.11077955986572</v>
      </c>
      <c r="I2" s="11"/>
      <c r="J2">
        <v>4.42</v>
      </c>
      <c r="K2" s="11">
        <v>6.37</v>
      </c>
      <c r="L2">
        <v>40.7156</v>
      </c>
      <c r="M2">
        <v>20.5191</v>
      </c>
      <c r="Q2">
        <v>26.81</v>
      </c>
      <c r="R2" s="4">
        <f t="shared" si="1"/>
        <v>0</v>
      </c>
    </row>
    <row r="3" spans="1:18">
      <c r="A3" t="s">
        <v>252</v>
      </c>
      <c r="B3">
        <v>7.75</v>
      </c>
      <c r="C3">
        <v>0.47</v>
      </c>
      <c r="D3">
        <v>20.85</v>
      </c>
      <c r="E3" s="2">
        <v>213714790.36</v>
      </c>
      <c r="F3" t="s">
        <v>253</v>
      </c>
      <c r="H3" s="11">
        <f t="shared" si="0"/>
        <v>2.69032258064516</v>
      </c>
      <c r="I3" s="11"/>
      <c r="J3">
        <v>0.35</v>
      </c>
      <c r="K3" s="11">
        <v>0.34</v>
      </c>
      <c r="Q3">
        <v>7.75</v>
      </c>
      <c r="R3" s="4">
        <f t="shared" si="1"/>
        <v>0</v>
      </c>
    </row>
    <row r="4" spans="1:18">
      <c r="A4" t="s">
        <v>749</v>
      </c>
      <c r="B4">
        <v>34.56</v>
      </c>
      <c r="C4">
        <v>20.05</v>
      </c>
      <c r="D4">
        <v>39.93</v>
      </c>
      <c r="E4" s="2">
        <v>26264124251.2</v>
      </c>
      <c r="F4" t="s">
        <v>750</v>
      </c>
      <c r="H4" s="11">
        <f t="shared" si="0"/>
        <v>1.15538194444444</v>
      </c>
      <c r="I4" s="11"/>
      <c r="J4">
        <v>3.29</v>
      </c>
      <c r="K4" s="11">
        <v>5.17</v>
      </c>
      <c r="L4">
        <v>18.12</v>
      </c>
      <c r="M4">
        <v>24.2703</v>
      </c>
      <c r="Q4">
        <v>34.56</v>
      </c>
      <c r="R4" s="4">
        <f t="shared" si="1"/>
        <v>0</v>
      </c>
    </row>
    <row r="5" spans="1:18">
      <c r="A5" t="s">
        <v>705</v>
      </c>
      <c r="B5">
        <v>70.72</v>
      </c>
      <c r="C5">
        <v>57.2</v>
      </c>
      <c r="D5">
        <v>105.2</v>
      </c>
      <c r="E5" s="2">
        <v>175608267163.32</v>
      </c>
      <c r="F5" t="s">
        <v>706</v>
      </c>
      <c r="H5" s="11">
        <f t="shared" si="0"/>
        <v>1.48755656108597</v>
      </c>
      <c r="I5" s="11"/>
      <c r="J5">
        <v>5.96</v>
      </c>
      <c r="K5" s="11">
        <v>13.31</v>
      </c>
      <c r="L5">
        <v>47.0373</v>
      </c>
      <c r="M5">
        <v>18.1835</v>
      </c>
      <c r="Q5">
        <v>70.72</v>
      </c>
      <c r="R5" s="4">
        <f t="shared" si="1"/>
        <v>0</v>
      </c>
    </row>
    <row r="6" spans="1:18">
      <c r="A6" t="s">
        <v>429</v>
      </c>
      <c r="B6">
        <v>169.56</v>
      </c>
      <c r="C6">
        <v>100</v>
      </c>
      <c r="D6">
        <v>234.67</v>
      </c>
      <c r="E6" s="2">
        <v>59161076292</v>
      </c>
      <c r="F6" t="s">
        <v>430</v>
      </c>
      <c r="H6" s="11">
        <f t="shared" si="0"/>
        <v>1.38399386647794</v>
      </c>
      <c r="I6" s="11"/>
      <c r="J6">
        <v>6.94</v>
      </c>
      <c r="K6" s="11">
        <v>6.25</v>
      </c>
      <c r="L6">
        <v>35.1232</v>
      </c>
      <c r="M6">
        <v>31.523</v>
      </c>
      <c r="Q6">
        <v>169.56</v>
      </c>
      <c r="R6" s="4">
        <f t="shared" si="1"/>
        <v>0</v>
      </c>
    </row>
    <row r="7" spans="1:18">
      <c r="A7" t="s">
        <v>726</v>
      </c>
      <c r="B7">
        <v>21.05</v>
      </c>
      <c r="C7">
        <v>19.58</v>
      </c>
      <c r="D7">
        <v>74.8</v>
      </c>
      <c r="E7" s="2">
        <v>1259261637.66</v>
      </c>
      <c r="F7" t="s">
        <v>727</v>
      </c>
      <c r="H7" s="11">
        <f t="shared" si="0"/>
        <v>3.55344418052256</v>
      </c>
      <c r="I7" s="11"/>
      <c r="J7">
        <v>0.9</v>
      </c>
      <c r="K7" s="11">
        <v>2.23</v>
      </c>
      <c r="L7">
        <v>32.6311</v>
      </c>
      <c r="M7">
        <v>221</v>
      </c>
      <c r="Q7">
        <v>21.05</v>
      </c>
      <c r="R7" s="4">
        <f t="shared" si="1"/>
        <v>0</v>
      </c>
    </row>
    <row r="8" s="1" customFormat="1" spans="1:18">
      <c r="A8" t="s">
        <v>259</v>
      </c>
      <c r="B8">
        <v>13.22</v>
      </c>
      <c r="C8">
        <v>6.2</v>
      </c>
      <c r="D8">
        <v>13.35</v>
      </c>
      <c r="E8" s="2">
        <v>832292250.26</v>
      </c>
      <c r="F8" t="s">
        <v>260</v>
      </c>
      <c r="G8"/>
      <c r="H8" s="11">
        <f t="shared" si="0"/>
        <v>1.00983358547655</v>
      </c>
      <c r="I8" s="11"/>
      <c r="J8">
        <v>3.57</v>
      </c>
      <c r="K8" s="11">
        <v>2.59</v>
      </c>
      <c r="L8">
        <v>23.75</v>
      </c>
      <c r="M8">
        <v>1327</v>
      </c>
      <c r="N8"/>
      <c r="O8"/>
      <c r="Q8">
        <v>13.22</v>
      </c>
      <c r="R8" s="4">
        <f t="shared" si="1"/>
        <v>0</v>
      </c>
    </row>
    <row r="9" spans="1:18">
      <c r="A9" t="s">
        <v>649</v>
      </c>
      <c r="B9">
        <v>6.47</v>
      </c>
      <c r="C9">
        <v>4</v>
      </c>
      <c r="D9">
        <v>14.77</v>
      </c>
      <c r="E9" s="2">
        <v>338249800</v>
      </c>
      <c r="F9" t="s">
        <v>650</v>
      </c>
      <c r="H9" s="11">
        <f t="shared" si="0"/>
        <v>2.28284389489954</v>
      </c>
      <c r="I9" s="11"/>
      <c r="J9">
        <v>1.82</v>
      </c>
      <c r="K9" s="11">
        <v>0.94</v>
      </c>
      <c r="Q9">
        <v>6.47</v>
      </c>
      <c r="R9" s="4">
        <f t="shared" si="1"/>
        <v>0</v>
      </c>
    </row>
    <row r="10" spans="1:18">
      <c r="A10" t="s">
        <v>684</v>
      </c>
      <c r="B10">
        <v>1.03</v>
      </c>
      <c r="C10">
        <v>0.66</v>
      </c>
      <c r="D10">
        <v>2.74</v>
      </c>
      <c r="E10">
        <v>4034000</v>
      </c>
      <c r="F10" t="s">
        <v>685</v>
      </c>
      <c r="H10" s="11">
        <f t="shared" si="0"/>
        <v>2.66019417475728</v>
      </c>
      <c r="I10" s="11"/>
      <c r="J10">
        <v>0.13</v>
      </c>
      <c r="K10" s="11">
        <v>0.01</v>
      </c>
      <c r="Q10">
        <v>1.03</v>
      </c>
      <c r="R10" s="4">
        <f t="shared" si="1"/>
        <v>0</v>
      </c>
    </row>
    <row r="11" spans="1:18">
      <c r="A11" t="s">
        <v>821</v>
      </c>
      <c r="B11">
        <v>7.07</v>
      </c>
      <c r="C11">
        <v>4.69</v>
      </c>
      <c r="D11">
        <v>15.69</v>
      </c>
      <c r="E11" s="2">
        <v>191678466.96</v>
      </c>
      <c r="F11" t="s">
        <v>822</v>
      </c>
      <c r="H11" s="11">
        <f t="shared" si="0"/>
        <v>2.21923620933522</v>
      </c>
      <c r="I11" s="11"/>
      <c r="J11">
        <v>1.59</v>
      </c>
      <c r="K11" s="11">
        <v>0.89</v>
      </c>
      <c r="Q11">
        <v>7.07</v>
      </c>
      <c r="R11" s="4">
        <f t="shared" si="1"/>
        <v>0</v>
      </c>
    </row>
    <row r="12" spans="1:18">
      <c r="A12" t="s">
        <v>326</v>
      </c>
      <c r="B12">
        <v>15.78</v>
      </c>
      <c r="C12">
        <v>13.65</v>
      </c>
      <c r="D12">
        <v>58.95</v>
      </c>
      <c r="E12">
        <v>0</v>
      </c>
      <c r="F12" t="s">
        <v>327</v>
      </c>
      <c r="H12" s="11">
        <f t="shared" si="0"/>
        <v>3.73574144486692</v>
      </c>
      <c r="I12" s="11"/>
      <c r="J12">
        <v>0</v>
      </c>
      <c r="K12" s="11"/>
      <c r="Q12">
        <v>15.78</v>
      </c>
      <c r="R12" s="4">
        <f t="shared" si="1"/>
        <v>0</v>
      </c>
    </row>
    <row r="13" spans="1:18">
      <c r="A13" t="s">
        <v>587</v>
      </c>
      <c r="B13">
        <v>2.8</v>
      </c>
      <c r="C13">
        <v>1.01</v>
      </c>
      <c r="D13">
        <v>5.7</v>
      </c>
      <c r="E13" s="2">
        <v>19928280</v>
      </c>
      <c r="F13" t="s">
        <v>588</v>
      </c>
      <c r="H13" s="11">
        <f t="shared" si="0"/>
        <v>2.03571428571429</v>
      </c>
      <c r="I13" s="11"/>
      <c r="J13">
        <v>0.23</v>
      </c>
      <c r="K13" s="11">
        <v>0.16</v>
      </c>
      <c r="Q13">
        <v>2.8</v>
      </c>
      <c r="R13" s="4">
        <f t="shared" si="1"/>
        <v>0</v>
      </c>
    </row>
    <row r="14" spans="1:18">
      <c r="A14" t="s">
        <v>621</v>
      </c>
      <c r="B14">
        <v>7</v>
      </c>
      <c r="C14">
        <v>5.56</v>
      </c>
      <c r="D14">
        <v>12.49</v>
      </c>
      <c r="E14" s="2">
        <v>400972216.15</v>
      </c>
      <c r="F14" t="s">
        <v>622</v>
      </c>
      <c r="H14" s="11">
        <f t="shared" si="0"/>
        <v>1.78428571428571</v>
      </c>
      <c r="I14" s="11"/>
      <c r="J14">
        <v>0.82</v>
      </c>
      <c r="K14" s="11">
        <v>1.02</v>
      </c>
      <c r="L14">
        <v>26.0841</v>
      </c>
      <c r="M14">
        <v>13.94</v>
      </c>
      <c r="Q14">
        <v>7</v>
      </c>
      <c r="R14" s="4">
        <f t="shared" si="1"/>
        <v>0</v>
      </c>
    </row>
    <row r="15" spans="1:18">
      <c r="A15" t="s">
        <v>591</v>
      </c>
      <c r="B15">
        <v>1.24</v>
      </c>
      <c r="C15">
        <v>1.01</v>
      </c>
      <c r="D15">
        <v>3.92</v>
      </c>
      <c r="E15">
        <v>4771030</v>
      </c>
      <c r="F15" t="s">
        <v>592</v>
      </c>
      <c r="H15" s="11">
        <f t="shared" si="0"/>
        <v>3.16129032258064</v>
      </c>
      <c r="I15" s="11"/>
      <c r="J15">
        <v>0.05</v>
      </c>
      <c r="K15" s="11">
        <v>0.08</v>
      </c>
      <c r="L15">
        <v>15.125</v>
      </c>
      <c r="Q15">
        <v>1.24</v>
      </c>
      <c r="R15" s="4">
        <f t="shared" si="1"/>
        <v>0</v>
      </c>
    </row>
    <row r="16" spans="1:18">
      <c r="A16" t="s">
        <v>720</v>
      </c>
      <c r="B16">
        <v>14.27</v>
      </c>
      <c r="C16">
        <v>13.33</v>
      </c>
      <c r="D16">
        <v>36.63</v>
      </c>
      <c r="E16" s="2">
        <v>2064657726</v>
      </c>
      <c r="F16" t="s">
        <v>721</v>
      </c>
      <c r="H16" s="11">
        <f t="shared" si="0"/>
        <v>2.56692361597758</v>
      </c>
      <c r="I16" s="11"/>
      <c r="J16">
        <v>4.87</v>
      </c>
      <c r="K16" s="11">
        <v>4.14</v>
      </c>
      <c r="L16">
        <v>207.9643</v>
      </c>
      <c r="M16">
        <v>85.2941</v>
      </c>
      <c r="Q16">
        <v>14.27</v>
      </c>
      <c r="R16" s="4">
        <f t="shared" si="1"/>
        <v>0</v>
      </c>
    </row>
    <row r="17" spans="1:18">
      <c r="A17" t="s">
        <v>623</v>
      </c>
      <c r="B17">
        <v>1.15</v>
      </c>
      <c r="C17">
        <v>0.68</v>
      </c>
      <c r="D17">
        <v>7.35</v>
      </c>
      <c r="E17" s="2">
        <v>41764440</v>
      </c>
      <c r="F17" t="s">
        <v>624</v>
      </c>
      <c r="H17" s="11">
        <f t="shared" si="0"/>
        <v>6.39130434782609</v>
      </c>
      <c r="I17" s="11"/>
      <c r="J17">
        <v>2.07</v>
      </c>
      <c r="K17" s="11">
        <v>0.71</v>
      </c>
      <c r="Q17">
        <v>1.15</v>
      </c>
      <c r="R17" s="4">
        <f t="shared" si="1"/>
        <v>0</v>
      </c>
    </row>
    <row r="18" spans="1:18">
      <c r="A18" t="s">
        <v>597</v>
      </c>
      <c r="B18">
        <v>1.48</v>
      </c>
      <c r="C18">
        <v>1.35</v>
      </c>
      <c r="D18">
        <v>5.8</v>
      </c>
      <c r="E18">
        <v>6263328</v>
      </c>
      <c r="F18" t="s">
        <v>598</v>
      </c>
      <c r="H18" s="11">
        <f t="shared" si="0"/>
        <v>3.91891891891892</v>
      </c>
      <c r="I18" s="11"/>
      <c r="J18">
        <v>0.07</v>
      </c>
      <c r="K18" s="11">
        <v>0.39</v>
      </c>
      <c r="Q18">
        <v>1.48</v>
      </c>
      <c r="R18" s="4">
        <f t="shared" si="1"/>
        <v>0</v>
      </c>
    </row>
    <row r="19" spans="1:18">
      <c r="A19" t="s">
        <v>589</v>
      </c>
      <c r="B19">
        <v>6.73</v>
      </c>
      <c r="C19">
        <v>2.73</v>
      </c>
      <c r="D19">
        <v>7.53</v>
      </c>
      <c r="E19" s="2">
        <v>49030000</v>
      </c>
      <c r="F19" t="s">
        <v>590</v>
      </c>
      <c r="H19" s="11">
        <f t="shared" si="0"/>
        <v>1.11887072808321</v>
      </c>
      <c r="I19" s="11"/>
      <c r="J19">
        <v>0.46</v>
      </c>
      <c r="K19" s="11">
        <v>24.9259</v>
      </c>
      <c r="Q19">
        <v>6.73</v>
      </c>
      <c r="R19" s="4">
        <f t="shared" si="1"/>
        <v>0</v>
      </c>
    </row>
    <row r="20" spans="1:18">
      <c r="A20" t="s">
        <v>243</v>
      </c>
      <c r="B20">
        <v>0.1366</v>
      </c>
      <c r="C20">
        <v>0.13</v>
      </c>
      <c r="D20">
        <v>0.56</v>
      </c>
      <c r="E20">
        <v>6101137.98</v>
      </c>
      <c r="F20" t="s">
        <v>244</v>
      </c>
      <c r="H20" s="11">
        <f t="shared" si="0"/>
        <v>4.099560761347</v>
      </c>
      <c r="I20" s="11"/>
      <c r="J20">
        <v>0.08</v>
      </c>
      <c r="K20" s="11">
        <v>0.31</v>
      </c>
      <c r="Q20">
        <v>0.1366</v>
      </c>
      <c r="R20" s="4">
        <f t="shared" si="1"/>
        <v>0</v>
      </c>
    </row>
    <row r="21" spans="1:18">
      <c r="A21" t="s">
        <v>395</v>
      </c>
      <c r="B21">
        <v>31.02</v>
      </c>
      <c r="C21">
        <v>25.36</v>
      </c>
      <c r="D21">
        <v>45.64</v>
      </c>
      <c r="E21" s="2">
        <v>56910000</v>
      </c>
      <c r="F21" t="s">
        <v>396</v>
      </c>
      <c r="H21" s="11">
        <f t="shared" si="0"/>
        <v>1.47130883301096</v>
      </c>
      <c r="I21" s="11"/>
      <c r="J21">
        <v>0</v>
      </c>
      <c r="K21" s="11"/>
      <c r="Q21">
        <v>31.02</v>
      </c>
      <c r="R21" s="4">
        <f t="shared" si="1"/>
        <v>0</v>
      </c>
    </row>
    <row r="22" spans="1:18">
      <c r="A22" t="s">
        <v>611</v>
      </c>
      <c r="B22">
        <v>0.25</v>
      </c>
      <c r="C22">
        <v>0.2159</v>
      </c>
      <c r="D22">
        <v>1.32</v>
      </c>
      <c r="E22" s="2">
        <v>22432694.31</v>
      </c>
      <c r="F22" t="s">
        <v>612</v>
      </c>
      <c r="H22" s="11">
        <f t="shared" si="0"/>
        <v>5.28</v>
      </c>
      <c r="I22" s="11"/>
      <c r="J22">
        <v>0.1</v>
      </c>
      <c r="K22" s="11">
        <v>0.84</v>
      </c>
      <c r="L22">
        <v>0.9643</v>
      </c>
      <c r="Q22">
        <v>0.25</v>
      </c>
      <c r="R22" s="4">
        <f t="shared" si="1"/>
        <v>0</v>
      </c>
    </row>
    <row r="23" spans="1:18">
      <c r="A23" t="s">
        <v>219</v>
      </c>
      <c r="B23">
        <v>69.51</v>
      </c>
      <c r="C23">
        <v>55.45</v>
      </c>
      <c r="D23">
        <v>82.9</v>
      </c>
      <c r="E23" s="2">
        <v>46936800000</v>
      </c>
      <c r="F23" t="s">
        <v>220</v>
      </c>
      <c r="H23" s="11">
        <f t="shared" si="0"/>
        <v>1.19263415335923</v>
      </c>
      <c r="I23" s="11"/>
      <c r="J23">
        <v>10.01</v>
      </c>
      <c r="K23" s="11">
        <v>7.32</v>
      </c>
      <c r="L23">
        <v>113.79</v>
      </c>
      <c r="Q23">
        <v>69.51</v>
      </c>
      <c r="R23" s="4">
        <f t="shared" si="1"/>
        <v>0</v>
      </c>
    </row>
    <row r="24" spans="1:18">
      <c r="A24" t="s">
        <v>456</v>
      </c>
      <c r="B24">
        <v>19.03</v>
      </c>
      <c r="C24">
        <v>14.16</v>
      </c>
      <c r="D24">
        <v>40.08</v>
      </c>
      <c r="E24" s="2">
        <v>1115664000.4</v>
      </c>
      <c r="F24" t="s">
        <v>457</v>
      </c>
      <c r="H24" s="11">
        <f t="shared" si="0"/>
        <v>2.10614818707304</v>
      </c>
      <c r="I24" s="11"/>
      <c r="J24">
        <v>1.46</v>
      </c>
      <c r="K24" s="11">
        <v>0.32</v>
      </c>
      <c r="L24">
        <v>6.24</v>
      </c>
      <c r="M24">
        <v>3.9291</v>
      </c>
      <c r="Q24">
        <v>19.03</v>
      </c>
      <c r="R24" s="4">
        <f t="shared" si="1"/>
        <v>0</v>
      </c>
    </row>
    <row r="25" s="1" customFormat="1" spans="1:18">
      <c r="A25" t="s">
        <v>601</v>
      </c>
      <c r="B25">
        <v>0.775</v>
      </c>
      <c r="C25">
        <v>0.77</v>
      </c>
      <c r="D25">
        <v>2.2</v>
      </c>
      <c r="E25" s="2">
        <v>40984045</v>
      </c>
      <c r="F25" t="s">
        <v>602</v>
      </c>
      <c r="G25"/>
      <c r="H25" s="11">
        <f t="shared" si="0"/>
        <v>2.83870967741935</v>
      </c>
      <c r="I25" s="11"/>
      <c r="J25">
        <v>-0.11</v>
      </c>
      <c r="K25" s="11">
        <v>0.03</v>
      </c>
      <c r="L25"/>
      <c r="M25"/>
      <c r="N25"/>
      <c r="O25"/>
      <c r="Q25">
        <v>0.775</v>
      </c>
      <c r="R25" s="4">
        <f t="shared" si="1"/>
        <v>0</v>
      </c>
    </row>
    <row r="26" spans="1:18">
      <c r="A26" t="s">
        <v>784</v>
      </c>
      <c r="B26">
        <v>42.92</v>
      </c>
      <c r="C26">
        <v>21.54</v>
      </c>
      <c r="D26">
        <v>57.36</v>
      </c>
      <c r="E26" s="2">
        <v>12070879498.08</v>
      </c>
      <c r="F26" t="s">
        <v>785</v>
      </c>
      <c r="H26" s="11">
        <f t="shared" si="0"/>
        <v>1.33643988816403</v>
      </c>
      <c r="I26" s="11"/>
      <c r="J26">
        <v>6.76</v>
      </c>
      <c r="K26" s="11">
        <v>8.04</v>
      </c>
      <c r="L26">
        <v>75.5337</v>
      </c>
      <c r="M26">
        <v>47.1758</v>
      </c>
      <c r="Q26">
        <v>42.92</v>
      </c>
      <c r="R26" s="4">
        <f t="shared" si="1"/>
        <v>0</v>
      </c>
    </row>
    <row r="27" spans="1:18">
      <c r="A27" t="s">
        <v>643</v>
      </c>
      <c r="B27">
        <v>6.75</v>
      </c>
      <c r="C27">
        <v>5.56</v>
      </c>
      <c r="D27">
        <v>11.5</v>
      </c>
      <c r="E27" s="2">
        <v>551965917.58</v>
      </c>
      <c r="F27" t="s">
        <v>644</v>
      </c>
      <c r="H27" s="11">
        <f t="shared" si="0"/>
        <v>1.7037037037037</v>
      </c>
      <c r="I27" s="11"/>
      <c r="J27">
        <v>5.73</v>
      </c>
      <c r="K27" s="11">
        <v>0.39</v>
      </c>
      <c r="Q27">
        <v>6.75</v>
      </c>
      <c r="R27" s="4">
        <f t="shared" si="1"/>
        <v>0</v>
      </c>
    </row>
    <row r="28" s="1" customFormat="1" spans="1:18">
      <c r="A28" t="s">
        <v>593</v>
      </c>
      <c r="B28">
        <v>7.26</v>
      </c>
      <c r="C28">
        <v>4.41</v>
      </c>
      <c r="D28">
        <v>9.48</v>
      </c>
      <c r="E28" s="2">
        <v>241332896</v>
      </c>
      <c r="F28" t="s">
        <v>594</v>
      </c>
      <c r="G28"/>
      <c r="H28" s="11">
        <f t="shared" si="0"/>
        <v>1.30578512396694</v>
      </c>
      <c r="I28" s="11"/>
      <c r="J28">
        <v>3.34</v>
      </c>
      <c r="K28" s="11">
        <v>2</v>
      </c>
      <c r="L28">
        <v>23.5488</v>
      </c>
      <c r="M28">
        <v>40.2778</v>
      </c>
      <c r="N28"/>
      <c r="O28"/>
      <c r="Q28">
        <v>7.26</v>
      </c>
      <c r="R28" s="4">
        <f t="shared" si="1"/>
        <v>0</v>
      </c>
    </row>
    <row r="29" spans="1:18">
      <c r="A29" t="s">
        <v>150</v>
      </c>
      <c r="B29">
        <v>1.69</v>
      </c>
      <c r="C29">
        <v>1.22</v>
      </c>
      <c r="D29">
        <v>4.29</v>
      </c>
      <c r="E29">
        <v>9879190.75</v>
      </c>
      <c r="F29" t="s">
        <v>151</v>
      </c>
      <c r="H29" s="11">
        <f t="shared" si="0"/>
        <v>2.53846153846154</v>
      </c>
      <c r="I29" s="11"/>
      <c r="J29">
        <v>0.27</v>
      </c>
      <c r="K29" s="11">
        <v>1.5085</v>
      </c>
      <c r="L29">
        <v>9.3889</v>
      </c>
      <c r="Q29">
        <v>1.69</v>
      </c>
      <c r="R29" s="4">
        <f t="shared" si="1"/>
        <v>0</v>
      </c>
    </row>
    <row r="30" spans="1:18">
      <c r="A30" t="s">
        <v>271</v>
      </c>
      <c r="B30">
        <v>15882.68</v>
      </c>
      <c r="C30">
        <v>15370.33</v>
      </c>
      <c r="D30">
        <v>18351.36</v>
      </c>
      <c r="E30">
        <v>0</v>
      </c>
      <c r="F30" t="s">
        <v>272</v>
      </c>
      <c r="H30" s="11">
        <f t="shared" si="0"/>
        <v>1.1554322066553</v>
      </c>
      <c r="I30" s="11"/>
      <c r="J30">
        <v>0</v>
      </c>
      <c r="K30" s="11"/>
      <c r="Q30">
        <v>15882.68</v>
      </c>
      <c r="R30" s="4">
        <f t="shared" si="1"/>
        <v>0</v>
      </c>
    </row>
    <row r="31" spans="1:18">
      <c r="A31" t="s">
        <v>671</v>
      </c>
      <c r="B31">
        <v>11.52</v>
      </c>
      <c r="C31">
        <v>7.85</v>
      </c>
      <c r="D31">
        <v>22</v>
      </c>
      <c r="E31" s="2">
        <v>406571790.86</v>
      </c>
      <c r="F31" t="s">
        <v>672</v>
      </c>
      <c r="H31" s="11">
        <f t="shared" si="0"/>
        <v>1.90972222222222</v>
      </c>
      <c r="I31" s="11"/>
      <c r="J31">
        <v>4.48</v>
      </c>
      <c r="K31" s="11">
        <v>3.79</v>
      </c>
      <c r="L31">
        <v>20.74</v>
      </c>
      <c r="M31">
        <v>16.5507</v>
      </c>
      <c r="Q31">
        <v>11.52</v>
      </c>
      <c r="R31" s="4">
        <f t="shared" si="1"/>
        <v>0</v>
      </c>
    </row>
    <row r="32" spans="1:18">
      <c r="A32" t="s">
        <v>417</v>
      </c>
      <c r="B32">
        <v>60.77</v>
      </c>
      <c r="C32">
        <v>52.9</v>
      </c>
      <c r="D32">
        <v>105.07</v>
      </c>
      <c r="E32" s="2">
        <v>94950000</v>
      </c>
      <c r="F32" t="s">
        <v>418</v>
      </c>
      <c r="H32" s="11">
        <f t="shared" si="0"/>
        <v>1.72897811420109</v>
      </c>
      <c r="I32" s="11"/>
      <c r="J32">
        <v>0</v>
      </c>
      <c r="K32" s="11"/>
      <c r="Q32">
        <v>60.77</v>
      </c>
      <c r="R32" s="4">
        <f t="shared" si="1"/>
        <v>0</v>
      </c>
    </row>
    <row r="33" spans="1:18">
      <c r="A33" t="s">
        <v>700</v>
      </c>
      <c r="B33">
        <v>13.2</v>
      </c>
      <c r="C33">
        <v>6.64</v>
      </c>
      <c r="D33">
        <v>15.4</v>
      </c>
      <c r="E33" s="2">
        <v>575651209.12</v>
      </c>
      <c r="F33" t="s">
        <v>701</v>
      </c>
      <c r="H33" s="11">
        <f t="shared" ref="H33:H64" si="2">D33/B33</f>
        <v>1.16666666666667</v>
      </c>
      <c r="I33" s="11"/>
      <c r="J33">
        <v>0.84</v>
      </c>
      <c r="K33" s="11">
        <v>1.09</v>
      </c>
      <c r="L33">
        <v>128.3908</v>
      </c>
      <c r="Q33">
        <v>13.2</v>
      </c>
      <c r="R33" s="4">
        <f t="shared" ref="R33:R64" si="3">B33/Q33-1</f>
        <v>0</v>
      </c>
    </row>
    <row r="34" s="1" customFormat="1" spans="1:18">
      <c r="A34" t="s">
        <v>32</v>
      </c>
      <c r="B34">
        <v>231.13</v>
      </c>
      <c r="C34">
        <v>56.36</v>
      </c>
      <c r="D34">
        <v>249.52</v>
      </c>
      <c r="E34" s="2">
        <v>61810000</v>
      </c>
      <c r="F34" t="s">
        <v>33</v>
      </c>
      <c r="G34"/>
      <c r="H34" s="11">
        <f t="shared" si="2"/>
        <v>1.07956561242591</v>
      </c>
      <c r="I34" s="11"/>
      <c r="J34" t="s">
        <v>34</v>
      </c>
      <c r="K34" s="11">
        <v>0</v>
      </c>
      <c r="L34"/>
      <c r="M34"/>
      <c r="N34"/>
      <c r="O34"/>
      <c r="Q34">
        <v>231.13</v>
      </c>
      <c r="R34" s="4">
        <f t="shared" si="3"/>
        <v>0</v>
      </c>
    </row>
    <row r="35" spans="1:18">
      <c r="A35" t="s">
        <v>441</v>
      </c>
      <c r="B35">
        <v>72.48</v>
      </c>
      <c r="C35">
        <v>55.93</v>
      </c>
      <c r="D35">
        <v>103.29</v>
      </c>
      <c r="E35" s="2">
        <v>6017451310.76</v>
      </c>
      <c r="F35" t="s">
        <v>442</v>
      </c>
      <c r="H35" s="11">
        <f t="shared" si="2"/>
        <v>1.42508278145695</v>
      </c>
      <c r="I35" s="11"/>
      <c r="J35">
        <v>31.1</v>
      </c>
      <c r="K35" s="11">
        <v>16.57</v>
      </c>
      <c r="Q35">
        <v>72.48</v>
      </c>
      <c r="R35" s="4">
        <f t="shared" si="3"/>
        <v>0</v>
      </c>
    </row>
    <row r="36" spans="1:18">
      <c r="A36" t="s">
        <v>324</v>
      </c>
      <c r="B36">
        <v>7.73</v>
      </c>
      <c r="C36">
        <v>7.11</v>
      </c>
      <c r="D36">
        <v>31.41</v>
      </c>
      <c r="E36" s="2">
        <v>153490000</v>
      </c>
      <c r="F36" t="s">
        <v>325</v>
      </c>
      <c r="H36" s="11">
        <f t="shared" si="2"/>
        <v>4.0633893919793</v>
      </c>
      <c r="I36" s="11"/>
      <c r="J36">
        <v>0</v>
      </c>
      <c r="K36" s="11"/>
      <c r="Q36">
        <v>7.73</v>
      </c>
      <c r="R36" s="4">
        <f t="shared" si="3"/>
        <v>0</v>
      </c>
    </row>
    <row r="37" spans="1:18">
      <c r="A37" t="s">
        <v>625</v>
      </c>
      <c r="B37">
        <v>28.87</v>
      </c>
      <c r="C37">
        <v>18.09</v>
      </c>
      <c r="D37">
        <v>33.56</v>
      </c>
      <c r="E37" s="2">
        <v>4675220000</v>
      </c>
      <c r="F37" t="s">
        <v>626</v>
      </c>
      <c r="H37" s="11">
        <f t="shared" si="2"/>
        <v>1.16245237270523</v>
      </c>
      <c r="I37" s="11"/>
      <c r="J37">
        <v>3.6</v>
      </c>
      <c r="K37" s="11">
        <v>3.34</v>
      </c>
      <c r="L37">
        <v>15.28</v>
      </c>
      <c r="M37">
        <v>22.2481</v>
      </c>
      <c r="Q37">
        <v>28.87</v>
      </c>
      <c r="R37" s="4">
        <f t="shared" si="3"/>
        <v>0</v>
      </c>
    </row>
    <row r="38" spans="1:18">
      <c r="A38" t="s">
        <v>711</v>
      </c>
      <c r="B38">
        <v>1569.88</v>
      </c>
      <c r="C38">
        <v>1058.82</v>
      </c>
      <c r="D38">
        <v>1756.7</v>
      </c>
      <c r="E38">
        <v>0</v>
      </c>
      <c r="F38" t="s">
        <v>712</v>
      </c>
      <c r="H38" s="11">
        <f t="shared" si="2"/>
        <v>1.11900272632303</v>
      </c>
      <c r="I38" s="11"/>
      <c r="J38">
        <v>0</v>
      </c>
      <c r="K38" s="11"/>
      <c r="Q38">
        <v>1569.88</v>
      </c>
      <c r="R38" s="4">
        <f t="shared" si="3"/>
        <v>0</v>
      </c>
    </row>
    <row r="39" spans="1:18">
      <c r="A39" t="s">
        <v>605</v>
      </c>
      <c r="B39">
        <v>6.93</v>
      </c>
      <c r="C39">
        <v>3.71</v>
      </c>
      <c r="D39">
        <v>18.38</v>
      </c>
      <c r="E39" s="2">
        <v>28859855.36</v>
      </c>
      <c r="F39" t="s">
        <v>606</v>
      </c>
      <c r="H39" s="11">
        <f t="shared" si="2"/>
        <v>2.65223665223665</v>
      </c>
      <c r="I39" s="11"/>
      <c r="J39">
        <v>1.72</v>
      </c>
      <c r="K39" s="11">
        <v>0.99</v>
      </c>
      <c r="L39">
        <v>18.8718</v>
      </c>
      <c r="Q39">
        <v>6.93</v>
      </c>
      <c r="R39" s="4">
        <f t="shared" si="3"/>
        <v>0</v>
      </c>
    </row>
    <row r="40" spans="1:18">
      <c r="A40" t="s">
        <v>656</v>
      </c>
      <c r="B40">
        <v>10.44</v>
      </c>
      <c r="C40">
        <v>8</v>
      </c>
      <c r="D40">
        <v>19</v>
      </c>
      <c r="E40" s="2">
        <v>735574491.3</v>
      </c>
      <c r="F40" t="s">
        <v>657</v>
      </c>
      <c r="H40" s="11">
        <f t="shared" si="2"/>
        <v>1.81992337164751</v>
      </c>
      <c r="I40" s="11"/>
      <c r="J40">
        <v>1.23</v>
      </c>
      <c r="K40" s="11">
        <v>3.68</v>
      </c>
      <c r="L40">
        <v>7.7266</v>
      </c>
      <c r="Q40">
        <v>10.44</v>
      </c>
      <c r="R40" s="4">
        <f t="shared" si="3"/>
        <v>0</v>
      </c>
    </row>
    <row r="41" s="1" customFormat="1" spans="1:18">
      <c r="A41" t="s">
        <v>788</v>
      </c>
      <c r="B41">
        <v>5.7</v>
      </c>
      <c r="C41">
        <v>4.86</v>
      </c>
      <c r="D41">
        <v>7.88</v>
      </c>
      <c r="E41" s="2">
        <v>834328199.25</v>
      </c>
      <c r="F41" t="s">
        <v>789</v>
      </c>
      <c r="G41"/>
      <c r="H41" s="11">
        <f t="shared" si="2"/>
        <v>1.38245614035088</v>
      </c>
      <c r="I41" s="11"/>
      <c r="J41">
        <v>0.88</v>
      </c>
      <c r="K41" s="11">
        <v>0.8</v>
      </c>
      <c r="L41">
        <v>13.42</v>
      </c>
      <c r="M41">
        <v>65</v>
      </c>
      <c r="N41"/>
      <c r="O41"/>
      <c r="Q41">
        <v>5.7</v>
      </c>
      <c r="R41" s="4">
        <f t="shared" si="3"/>
        <v>0</v>
      </c>
    </row>
    <row r="42" spans="1:18">
      <c r="A42" t="s">
        <v>422</v>
      </c>
      <c r="B42">
        <v>17.23</v>
      </c>
      <c r="C42">
        <v>16.94</v>
      </c>
      <c r="D42">
        <v>24.65</v>
      </c>
      <c r="E42" s="2">
        <v>2460000000</v>
      </c>
      <c r="F42" t="s">
        <v>423</v>
      </c>
      <c r="H42" s="11">
        <f t="shared" si="2"/>
        <v>1.43064422518862</v>
      </c>
      <c r="I42" s="11"/>
      <c r="J42" t="s">
        <v>424</v>
      </c>
      <c r="K42" s="11">
        <v>0</v>
      </c>
      <c r="L42">
        <v>13.6279</v>
      </c>
      <c r="Q42">
        <v>17.23</v>
      </c>
      <c r="R42" s="4">
        <f t="shared" si="3"/>
        <v>0</v>
      </c>
    </row>
    <row r="43" spans="1:18">
      <c r="A43" t="s">
        <v>158</v>
      </c>
      <c r="B43">
        <v>1.575</v>
      </c>
      <c r="C43">
        <v>0</v>
      </c>
      <c r="D43">
        <v>0</v>
      </c>
      <c r="E43">
        <v>0</v>
      </c>
      <c r="F43" t="s">
        <v>159</v>
      </c>
      <c r="H43" s="11">
        <f t="shared" si="2"/>
        <v>0</v>
      </c>
      <c r="I43" s="11"/>
      <c r="J43">
        <v>0</v>
      </c>
      <c r="K43" s="11" t="s">
        <v>45</v>
      </c>
      <c r="L43">
        <v>1.522</v>
      </c>
      <c r="M43">
        <v>1.522</v>
      </c>
      <c r="Q43">
        <v>1.575</v>
      </c>
      <c r="R43" s="4">
        <f t="shared" si="3"/>
        <v>0</v>
      </c>
    </row>
    <row r="44" spans="1:18">
      <c r="A44" t="s">
        <v>768</v>
      </c>
      <c r="B44">
        <v>94.16</v>
      </c>
      <c r="C44">
        <v>72</v>
      </c>
      <c r="D44">
        <v>110.65</v>
      </c>
      <c r="E44" s="2">
        <v>276973737550.82</v>
      </c>
      <c r="F44" t="s">
        <v>769</v>
      </c>
      <c r="H44" s="11">
        <f t="shared" si="2"/>
        <v>1.17512744265081</v>
      </c>
      <c r="I44" s="11"/>
      <c r="J44">
        <v>6.65</v>
      </c>
      <c r="K44" s="11">
        <v>16.71</v>
      </c>
      <c r="L44">
        <v>38.19</v>
      </c>
      <c r="M44">
        <v>98.9293</v>
      </c>
      <c r="Q44">
        <v>94.16</v>
      </c>
      <c r="R44" s="4">
        <f t="shared" si="3"/>
        <v>0</v>
      </c>
    </row>
    <row r="45" spans="1:18">
      <c r="A45" t="s">
        <v>464</v>
      </c>
      <c r="B45">
        <v>22.08</v>
      </c>
      <c r="C45">
        <v>19.35</v>
      </c>
      <c r="D45">
        <v>23.1</v>
      </c>
      <c r="E45" s="2">
        <v>53260000</v>
      </c>
      <c r="F45" t="s">
        <v>465</v>
      </c>
      <c r="H45" s="11">
        <f t="shared" si="2"/>
        <v>1.04619565217391</v>
      </c>
      <c r="I45" s="11"/>
      <c r="J45">
        <v>0.97</v>
      </c>
      <c r="K45" s="11">
        <v>47.12</v>
      </c>
      <c r="Q45">
        <v>22.08</v>
      </c>
      <c r="R45" s="4">
        <f t="shared" si="3"/>
        <v>0</v>
      </c>
    </row>
    <row r="46" spans="1:18">
      <c r="A46" t="s">
        <v>807</v>
      </c>
      <c r="B46">
        <v>63.23</v>
      </c>
      <c r="C46">
        <v>40.25</v>
      </c>
      <c r="D46">
        <v>72.12</v>
      </c>
      <c r="E46" s="2">
        <v>6705132440.6</v>
      </c>
      <c r="F46" t="s">
        <v>808</v>
      </c>
      <c r="H46" s="11">
        <f t="shared" si="2"/>
        <v>1.1405978174917</v>
      </c>
      <c r="I46" s="11"/>
      <c r="J46">
        <v>1.24</v>
      </c>
      <c r="K46" s="11">
        <v>1.75</v>
      </c>
      <c r="L46">
        <v>16.93</v>
      </c>
      <c r="M46">
        <v>11.8431</v>
      </c>
      <c r="Q46">
        <v>63.23</v>
      </c>
      <c r="R46" s="4">
        <f t="shared" si="3"/>
        <v>0</v>
      </c>
    </row>
    <row r="47" s="1" customFormat="1" spans="1:18">
      <c r="A47" t="s">
        <v>414</v>
      </c>
      <c r="B47">
        <v>58.09</v>
      </c>
      <c r="C47">
        <v>24.54</v>
      </c>
      <c r="D47">
        <v>61.13</v>
      </c>
      <c r="E47" s="2">
        <v>40310000</v>
      </c>
      <c r="F47" t="s">
        <v>415</v>
      </c>
      <c r="G47"/>
      <c r="H47" s="11">
        <f t="shared" si="2"/>
        <v>1.05233258736443</v>
      </c>
      <c r="I47" s="11"/>
      <c r="J47" t="s">
        <v>416</v>
      </c>
      <c r="K47" s="11">
        <v>0</v>
      </c>
      <c r="L47"/>
      <c r="M47"/>
      <c r="N47"/>
      <c r="O47"/>
      <c r="Q47">
        <v>58.09</v>
      </c>
      <c r="R47" s="4">
        <f t="shared" si="3"/>
        <v>0</v>
      </c>
    </row>
    <row r="48" spans="1:18">
      <c r="A48" t="s">
        <v>239</v>
      </c>
      <c r="B48">
        <v>89.43</v>
      </c>
      <c r="C48">
        <v>39.8</v>
      </c>
      <c r="D48">
        <v>136.35</v>
      </c>
      <c r="E48" s="2">
        <v>14413335165</v>
      </c>
      <c r="F48" t="s">
        <v>240</v>
      </c>
      <c r="H48" s="11">
        <f t="shared" si="2"/>
        <v>1.52465615565247</v>
      </c>
      <c r="I48" s="11"/>
      <c r="J48">
        <v>5.04</v>
      </c>
      <c r="K48" s="11">
        <v>2.95</v>
      </c>
      <c r="L48">
        <v>28.86</v>
      </c>
      <c r="M48">
        <v>26.1437</v>
      </c>
      <c r="Q48">
        <v>89.43</v>
      </c>
      <c r="R48" s="4">
        <f t="shared" si="3"/>
        <v>0</v>
      </c>
    </row>
    <row r="49" spans="1:18">
      <c r="A49" t="s">
        <v>410</v>
      </c>
      <c r="B49">
        <v>10.68</v>
      </c>
      <c r="C49">
        <v>9.9</v>
      </c>
      <c r="D49">
        <v>65.49</v>
      </c>
      <c r="E49" s="2">
        <v>1489381985.07</v>
      </c>
      <c r="F49" t="s">
        <v>411</v>
      </c>
      <c r="H49" s="11">
        <f t="shared" si="2"/>
        <v>6.13202247191011</v>
      </c>
      <c r="I49" s="11"/>
      <c r="J49">
        <v>1.79</v>
      </c>
      <c r="K49" s="11">
        <v>0.81</v>
      </c>
      <c r="L49">
        <v>34.14</v>
      </c>
      <c r="M49">
        <v>8.2672</v>
      </c>
      <c r="Q49">
        <v>10.68</v>
      </c>
      <c r="R49" s="4">
        <f t="shared" si="3"/>
        <v>0</v>
      </c>
    </row>
    <row r="50" s="1" customFormat="1" spans="1:18">
      <c r="A50" t="s">
        <v>64</v>
      </c>
      <c r="B50">
        <v>1.54</v>
      </c>
      <c r="C50">
        <v>0.53</v>
      </c>
      <c r="D50">
        <v>5.2</v>
      </c>
      <c r="E50" s="2">
        <v>91854834.54</v>
      </c>
      <c r="F50" t="s">
        <v>65</v>
      </c>
      <c r="G50"/>
      <c r="H50" s="11">
        <f t="shared" si="2"/>
        <v>3.37662337662338</v>
      </c>
      <c r="I50" s="11"/>
      <c r="J50">
        <v>-0.02</v>
      </c>
      <c r="K50" s="11">
        <v>0.0112</v>
      </c>
      <c r="L50"/>
      <c r="M50"/>
      <c r="N50"/>
      <c r="O50"/>
      <c r="Q50">
        <v>1.54</v>
      </c>
      <c r="R50" s="4">
        <f t="shared" si="3"/>
        <v>0</v>
      </c>
    </row>
    <row r="51" spans="1:18">
      <c r="A51" t="s">
        <v>709</v>
      </c>
      <c r="B51">
        <v>1528.33</v>
      </c>
      <c r="C51">
        <v>1311.38</v>
      </c>
      <c r="D51">
        <v>1641.95</v>
      </c>
      <c r="E51">
        <v>0</v>
      </c>
      <c r="F51" t="s">
        <v>710</v>
      </c>
      <c r="H51" s="11">
        <f t="shared" si="2"/>
        <v>1.07434258308088</v>
      </c>
      <c r="I51" s="11"/>
      <c r="J51">
        <v>0</v>
      </c>
      <c r="K51" s="11"/>
      <c r="Q51">
        <v>1528.33</v>
      </c>
      <c r="R51" s="4">
        <f t="shared" si="3"/>
        <v>0</v>
      </c>
    </row>
    <row r="52" spans="1:18">
      <c r="A52" t="s">
        <v>660</v>
      </c>
      <c r="B52">
        <v>0.0735</v>
      </c>
      <c r="C52">
        <v>0.0604</v>
      </c>
      <c r="D52">
        <v>0.33</v>
      </c>
      <c r="E52" s="2">
        <v>20420070</v>
      </c>
      <c r="F52" t="s">
        <v>661</v>
      </c>
      <c r="H52" s="11">
        <f t="shared" si="2"/>
        <v>4.48979591836735</v>
      </c>
      <c r="I52" s="11"/>
      <c r="J52" t="s">
        <v>662</v>
      </c>
      <c r="K52" s="11" t="s">
        <v>389</v>
      </c>
      <c r="L52">
        <v>0.88</v>
      </c>
      <c r="M52">
        <v>124.6065</v>
      </c>
      <c r="Q52">
        <v>0.0735</v>
      </c>
      <c r="R52" s="4">
        <f t="shared" si="3"/>
        <v>0</v>
      </c>
    </row>
    <row r="53" spans="1:18">
      <c r="A53" t="s">
        <v>349</v>
      </c>
      <c r="B53">
        <v>7835.64</v>
      </c>
      <c r="C53">
        <v>7823.86</v>
      </c>
      <c r="D53">
        <v>14962.74</v>
      </c>
      <c r="E53" s="2">
        <v>18772465636203.2</v>
      </c>
      <c r="F53" t="s">
        <v>350</v>
      </c>
      <c r="H53" s="11">
        <f t="shared" si="2"/>
        <v>1.90957471246765</v>
      </c>
      <c r="I53" s="11"/>
      <c r="J53">
        <v>52.05</v>
      </c>
      <c r="K53" s="11" t="s">
        <v>45</v>
      </c>
      <c r="Q53">
        <v>7835.64</v>
      </c>
      <c r="R53" s="4">
        <f t="shared" si="3"/>
        <v>0</v>
      </c>
    </row>
    <row r="54" spans="1:18">
      <c r="A54" t="s">
        <v>823</v>
      </c>
      <c r="B54">
        <v>18542.15</v>
      </c>
      <c r="C54">
        <v>18534.3</v>
      </c>
      <c r="D54">
        <v>28588.52</v>
      </c>
      <c r="E54" s="2">
        <v>8097674600</v>
      </c>
      <c r="F54" t="s">
        <v>824</v>
      </c>
      <c r="H54" s="11">
        <f t="shared" si="2"/>
        <v>1.54181257297563</v>
      </c>
      <c r="I54" s="11"/>
      <c r="J54">
        <v>122.53</v>
      </c>
      <c r="K54" s="11" t="s">
        <v>45</v>
      </c>
      <c r="Q54">
        <v>18542.15</v>
      </c>
      <c r="R54" s="4">
        <f t="shared" si="3"/>
        <v>0</v>
      </c>
    </row>
    <row r="55" spans="1:18">
      <c r="A55" t="s">
        <v>315</v>
      </c>
      <c r="B55">
        <v>46697.96</v>
      </c>
      <c r="C55">
        <v>48437.99</v>
      </c>
      <c r="D55">
        <v>57904.25</v>
      </c>
      <c r="E55" s="2">
        <v>3992208000</v>
      </c>
      <c r="F55" t="s">
        <v>316</v>
      </c>
      <c r="H55" s="11">
        <f t="shared" si="2"/>
        <v>1.23997386609608</v>
      </c>
      <c r="I55" s="11"/>
      <c r="J55">
        <v>311.21</v>
      </c>
      <c r="K55" s="11" t="s">
        <v>45</v>
      </c>
      <c r="L55">
        <v>11.782</v>
      </c>
      <c r="Q55">
        <v>46697.96</v>
      </c>
      <c r="R55" s="4">
        <f t="shared" si="3"/>
        <v>0</v>
      </c>
    </row>
    <row r="56" spans="1:18">
      <c r="A56" t="s">
        <v>412</v>
      </c>
      <c r="B56">
        <v>37.99</v>
      </c>
      <c r="C56">
        <v>11.52</v>
      </c>
      <c r="D56">
        <v>46.89</v>
      </c>
      <c r="E56" s="2">
        <v>77128272455.4</v>
      </c>
      <c r="F56" t="s">
        <v>413</v>
      </c>
      <c r="H56" s="11">
        <f t="shared" si="2"/>
        <v>1.23427217688865</v>
      </c>
      <c r="I56" s="11"/>
      <c r="J56">
        <v>0.21</v>
      </c>
      <c r="K56" s="11" t="s">
        <v>45</v>
      </c>
      <c r="L56">
        <v>26.022</v>
      </c>
      <c r="Q56">
        <v>37.99</v>
      </c>
      <c r="R56" s="4">
        <f t="shared" si="3"/>
        <v>0</v>
      </c>
    </row>
    <row r="57" spans="1:18">
      <c r="A57" t="s">
        <v>668</v>
      </c>
      <c r="B57">
        <v>17.16</v>
      </c>
      <c r="C57">
        <v>15</v>
      </c>
      <c r="D57">
        <v>27.06</v>
      </c>
      <c r="E57" s="2">
        <v>1011203004.56</v>
      </c>
      <c r="F57" t="s">
        <v>669</v>
      </c>
      <c r="H57" s="11">
        <f t="shared" si="2"/>
        <v>1.57692307692308</v>
      </c>
      <c r="I57" s="11"/>
      <c r="J57">
        <v>1.74</v>
      </c>
      <c r="K57" s="11">
        <v>1.94</v>
      </c>
      <c r="L57">
        <v>15.01</v>
      </c>
      <c r="M57">
        <v>12.7647</v>
      </c>
      <c r="Q57">
        <v>17.16</v>
      </c>
      <c r="R57" s="4">
        <f t="shared" si="3"/>
        <v>0</v>
      </c>
    </row>
    <row r="58" spans="1:18">
      <c r="A58" t="s">
        <v>204</v>
      </c>
      <c r="B58">
        <v>0</v>
      </c>
      <c r="C58">
        <v>0</v>
      </c>
      <c r="D58">
        <v>0</v>
      </c>
      <c r="E58">
        <v>0</v>
      </c>
      <c r="F58" t="s">
        <v>205</v>
      </c>
      <c r="H58" s="11" t="e">
        <f t="shared" si="2"/>
        <v>#DIV/0!</v>
      </c>
      <c r="I58" s="11"/>
      <c r="J58">
        <v>0</v>
      </c>
      <c r="K58" s="11" t="s">
        <v>45</v>
      </c>
      <c r="Q58">
        <v>0</v>
      </c>
      <c r="R58" s="4" t="e">
        <f t="shared" si="3"/>
        <v>#DIV/0!</v>
      </c>
    </row>
    <row r="59" spans="1:18">
      <c r="A59" t="s">
        <v>404</v>
      </c>
      <c r="B59">
        <v>278.75</v>
      </c>
      <c r="C59">
        <v>268.52</v>
      </c>
      <c r="D59">
        <v>400.79</v>
      </c>
      <c r="E59" s="2">
        <v>7770000000</v>
      </c>
      <c r="F59" t="s">
        <v>405</v>
      </c>
      <c r="H59" s="11">
        <f t="shared" si="2"/>
        <v>1.43781165919283</v>
      </c>
      <c r="I59" s="11"/>
      <c r="J59" t="s">
        <v>406</v>
      </c>
      <c r="K59" s="11">
        <v>0</v>
      </c>
      <c r="L59">
        <v>4.9251</v>
      </c>
      <c r="Q59">
        <v>278.75</v>
      </c>
      <c r="R59" s="4">
        <f t="shared" si="3"/>
        <v>0</v>
      </c>
    </row>
    <row r="60" spans="1:18">
      <c r="A60" t="s">
        <v>735</v>
      </c>
      <c r="B60">
        <v>1107.1</v>
      </c>
      <c r="C60">
        <v>862.79</v>
      </c>
      <c r="D60">
        <v>1443.72</v>
      </c>
      <c r="E60">
        <v>0</v>
      </c>
      <c r="F60" t="s">
        <v>736</v>
      </c>
      <c r="H60" s="11">
        <f t="shared" si="2"/>
        <v>1.30405564086352</v>
      </c>
      <c r="I60" s="11"/>
      <c r="J60">
        <v>0</v>
      </c>
      <c r="K60" s="11"/>
      <c r="Q60">
        <v>1107.1</v>
      </c>
      <c r="R60" s="4">
        <f t="shared" si="3"/>
        <v>0</v>
      </c>
    </row>
    <row r="61" spans="1:18">
      <c r="A61" t="s">
        <v>248</v>
      </c>
      <c r="B61">
        <v>0</v>
      </c>
      <c r="C61">
        <v>0</v>
      </c>
      <c r="D61">
        <v>0</v>
      </c>
      <c r="E61">
        <v>0</v>
      </c>
      <c r="F61" t="s">
        <v>249</v>
      </c>
      <c r="H61" s="11" t="e">
        <f t="shared" si="2"/>
        <v>#DIV/0!</v>
      </c>
      <c r="I61" s="11"/>
      <c r="J61">
        <v>0</v>
      </c>
      <c r="K61" s="11"/>
      <c r="Q61">
        <v>0</v>
      </c>
      <c r="R61" s="4" t="e">
        <f t="shared" si="3"/>
        <v>#DIV/0!</v>
      </c>
    </row>
    <row r="62" spans="1:18">
      <c r="A62" t="s">
        <v>665</v>
      </c>
      <c r="B62">
        <v>8.85</v>
      </c>
      <c r="C62">
        <v>6.3</v>
      </c>
      <c r="D62">
        <v>10.8</v>
      </c>
      <c r="E62" s="2">
        <v>454648050.83</v>
      </c>
      <c r="F62" t="s">
        <v>666</v>
      </c>
      <c r="H62" s="11">
        <f t="shared" si="2"/>
        <v>1.22033898305085</v>
      </c>
      <c r="I62" s="11"/>
      <c r="J62">
        <v>0.51</v>
      </c>
      <c r="K62" s="11">
        <v>0.23</v>
      </c>
      <c r="L62">
        <v>5.7756</v>
      </c>
      <c r="Q62">
        <v>8.85</v>
      </c>
      <c r="R62" s="4">
        <f t="shared" si="3"/>
        <v>0</v>
      </c>
    </row>
    <row r="63" spans="1:18">
      <c r="A63" t="s">
        <v>718</v>
      </c>
      <c r="B63">
        <v>26.69</v>
      </c>
      <c r="C63">
        <v>21.55</v>
      </c>
      <c r="D63">
        <v>38</v>
      </c>
      <c r="E63" s="2">
        <v>37280431538.55</v>
      </c>
      <c r="F63" t="s">
        <v>719</v>
      </c>
      <c r="H63" s="11">
        <f t="shared" si="2"/>
        <v>1.42375421506182</v>
      </c>
      <c r="I63" s="11"/>
      <c r="J63">
        <v>6.67</v>
      </c>
      <c r="K63" s="11">
        <v>1.49</v>
      </c>
      <c r="L63">
        <v>2646</v>
      </c>
      <c r="Q63">
        <v>26.69</v>
      </c>
      <c r="R63" s="4">
        <f t="shared" si="3"/>
        <v>0</v>
      </c>
    </row>
    <row r="64" spans="1:18">
      <c r="A64" t="s">
        <v>454</v>
      </c>
      <c r="B64">
        <v>19.2</v>
      </c>
      <c r="C64">
        <v>14.32</v>
      </c>
      <c r="D64">
        <v>32.28</v>
      </c>
      <c r="E64" s="2">
        <v>649143123.67</v>
      </c>
      <c r="F64" t="s">
        <v>455</v>
      </c>
      <c r="H64" s="11">
        <f t="shared" si="2"/>
        <v>1.68125</v>
      </c>
      <c r="I64" s="11"/>
      <c r="J64">
        <v>1.08</v>
      </c>
      <c r="K64" s="11">
        <v>0.3</v>
      </c>
      <c r="L64">
        <v>21.5633</v>
      </c>
      <c r="M64">
        <v>12.689</v>
      </c>
      <c r="Q64">
        <v>19.2</v>
      </c>
      <c r="R64" s="4">
        <f t="shared" si="3"/>
        <v>0</v>
      </c>
    </row>
    <row r="65" spans="1:18">
      <c r="A65" t="s">
        <v>762</v>
      </c>
      <c r="B65">
        <v>6.34</v>
      </c>
      <c r="C65">
        <v>6.02</v>
      </c>
      <c r="D65">
        <v>28.17</v>
      </c>
      <c r="E65" s="2">
        <v>958353844.8</v>
      </c>
      <c r="F65" t="s">
        <v>763</v>
      </c>
      <c r="H65" s="11">
        <f t="shared" ref="H65:H96" si="4">D65/B65</f>
        <v>4.44321766561514</v>
      </c>
      <c r="I65" s="11"/>
      <c r="J65">
        <v>1.76</v>
      </c>
      <c r="K65" s="11">
        <v>0.92</v>
      </c>
      <c r="L65">
        <v>23.29</v>
      </c>
      <c r="M65">
        <v>34.7368</v>
      </c>
      <c r="Q65">
        <v>6.34</v>
      </c>
      <c r="R65" s="4">
        <f t="shared" ref="R65:R96" si="5">B65/Q65-1</f>
        <v>0</v>
      </c>
    </row>
    <row r="66" spans="1:18">
      <c r="A66" t="s">
        <v>603</v>
      </c>
      <c r="B66">
        <v>26.6</v>
      </c>
      <c r="C66">
        <v>22.23</v>
      </c>
      <c r="D66">
        <v>37.77</v>
      </c>
      <c r="E66" s="2">
        <v>1556175738.69</v>
      </c>
      <c r="F66" t="s">
        <v>604</v>
      </c>
      <c r="H66" s="11">
        <f t="shared" si="4"/>
        <v>1.41992481203008</v>
      </c>
      <c r="I66" s="11"/>
      <c r="J66">
        <v>2.6</v>
      </c>
      <c r="K66" s="11">
        <v>5.22</v>
      </c>
      <c r="L66">
        <v>19.3978</v>
      </c>
      <c r="M66">
        <v>19.7687</v>
      </c>
      <c r="Q66">
        <v>26.6</v>
      </c>
      <c r="R66" s="4">
        <f t="shared" si="5"/>
        <v>0</v>
      </c>
    </row>
    <row r="67" spans="1:18">
      <c r="A67" t="s">
        <v>639</v>
      </c>
      <c r="B67">
        <v>5.15</v>
      </c>
      <c r="C67">
        <v>2.9</v>
      </c>
      <c r="D67">
        <v>6.85</v>
      </c>
      <c r="E67" s="2">
        <v>121411364.4</v>
      </c>
      <c r="F67" t="s">
        <v>640</v>
      </c>
      <c r="H67" s="11">
        <f t="shared" si="4"/>
        <v>1.33009708737864</v>
      </c>
      <c r="I67" s="11"/>
      <c r="J67">
        <v>1.57</v>
      </c>
      <c r="K67" s="11">
        <v>1.24</v>
      </c>
      <c r="L67">
        <v>41.5385</v>
      </c>
      <c r="Q67">
        <v>5.15</v>
      </c>
      <c r="R67" s="4">
        <f t="shared" si="5"/>
        <v>0</v>
      </c>
    </row>
    <row r="68" spans="1:18">
      <c r="A68" t="s">
        <v>770</v>
      </c>
      <c r="B68">
        <v>20.33</v>
      </c>
      <c r="C68">
        <v>10.2</v>
      </c>
      <c r="D68">
        <v>22.67</v>
      </c>
      <c r="E68" s="2">
        <v>1364845714.74</v>
      </c>
      <c r="F68" t="s">
        <v>771</v>
      </c>
      <c r="H68" s="11">
        <f t="shared" si="4"/>
        <v>1.11510083620266</v>
      </c>
      <c r="I68" s="11"/>
      <c r="J68">
        <v>4.1</v>
      </c>
      <c r="K68" s="11">
        <v>3.91</v>
      </c>
      <c r="L68">
        <v>26.18</v>
      </c>
      <c r="M68">
        <v>46.2889</v>
      </c>
      <c r="Q68">
        <v>20.33</v>
      </c>
      <c r="R68" s="4">
        <f t="shared" si="5"/>
        <v>0</v>
      </c>
    </row>
    <row r="69" spans="1:18">
      <c r="A69" t="s">
        <v>148</v>
      </c>
      <c r="B69">
        <v>0.5675</v>
      </c>
      <c r="C69">
        <v>0.4864</v>
      </c>
      <c r="D69">
        <v>1.45</v>
      </c>
      <c r="E69" s="2">
        <v>45508220.03</v>
      </c>
      <c r="F69" t="s">
        <v>149</v>
      </c>
      <c r="H69" s="11">
        <f t="shared" si="4"/>
        <v>2.55506607929515</v>
      </c>
      <c r="I69" s="11"/>
      <c r="J69">
        <v>0.17</v>
      </c>
      <c r="K69" s="11">
        <v>0.0403</v>
      </c>
      <c r="L69">
        <v>1.1895</v>
      </c>
      <c r="Q69">
        <v>0.5675</v>
      </c>
      <c r="R69" s="4">
        <f t="shared" si="5"/>
        <v>0</v>
      </c>
    </row>
    <row r="70" spans="1:18">
      <c r="A70" t="s">
        <v>595</v>
      </c>
      <c r="B70">
        <v>3.19</v>
      </c>
      <c r="C70">
        <v>2.4</v>
      </c>
      <c r="D70">
        <v>7.88</v>
      </c>
      <c r="E70">
        <v>4478760</v>
      </c>
      <c r="F70" t="s">
        <v>596</v>
      </c>
      <c r="H70" s="11">
        <f t="shared" si="4"/>
        <v>2.47021943573668</v>
      </c>
      <c r="I70" s="11"/>
      <c r="J70">
        <v>0.22</v>
      </c>
      <c r="K70" s="11">
        <v>0.51</v>
      </c>
      <c r="L70">
        <v>1.3517</v>
      </c>
      <c r="Q70">
        <v>3.19</v>
      </c>
      <c r="R70" s="4">
        <f t="shared" si="5"/>
        <v>0</v>
      </c>
    </row>
    <row r="71" spans="1:18">
      <c r="A71" t="s">
        <v>635</v>
      </c>
      <c r="B71">
        <v>0.6601</v>
      </c>
      <c r="C71">
        <v>0.54</v>
      </c>
      <c r="D71">
        <v>1.6</v>
      </c>
      <c r="E71" s="2">
        <v>36264242.08</v>
      </c>
      <c r="F71" t="s">
        <v>636</v>
      </c>
      <c r="H71" s="11">
        <f t="shared" si="4"/>
        <v>2.42387517042872</v>
      </c>
      <c r="I71" s="11"/>
      <c r="J71">
        <v>-6.91</v>
      </c>
      <c r="K71" s="11">
        <v>2.89</v>
      </c>
      <c r="Q71">
        <v>0.6601</v>
      </c>
      <c r="R71" s="4">
        <f t="shared" si="5"/>
        <v>0</v>
      </c>
    </row>
    <row r="72" spans="1:18">
      <c r="A72" t="s">
        <v>764</v>
      </c>
      <c r="B72">
        <v>7.02</v>
      </c>
      <c r="C72">
        <v>4.88</v>
      </c>
      <c r="D72">
        <v>8.58</v>
      </c>
      <c r="E72" s="2">
        <v>333126928.08</v>
      </c>
      <c r="F72" t="s">
        <v>765</v>
      </c>
      <c r="H72" s="11">
        <f t="shared" si="4"/>
        <v>1.22222222222222</v>
      </c>
      <c r="I72" s="11"/>
      <c r="J72">
        <v>1.1</v>
      </c>
      <c r="K72" s="11">
        <v>1.66</v>
      </c>
      <c r="L72">
        <v>9.71</v>
      </c>
      <c r="M72">
        <v>15.7333</v>
      </c>
      <c r="Q72">
        <v>7.02</v>
      </c>
      <c r="R72" s="4">
        <f t="shared" si="5"/>
        <v>0</v>
      </c>
    </row>
    <row r="73" spans="1:18">
      <c r="A73" t="s">
        <v>760</v>
      </c>
      <c r="B73">
        <v>4.32</v>
      </c>
      <c r="C73">
        <v>4.14</v>
      </c>
      <c r="D73">
        <v>11.6</v>
      </c>
      <c r="E73" s="2">
        <v>619533538.4</v>
      </c>
      <c r="F73" t="s">
        <v>761</v>
      </c>
      <c r="H73" s="11">
        <f t="shared" si="4"/>
        <v>2.68518518518518</v>
      </c>
      <c r="I73" s="11"/>
      <c r="J73">
        <v>1.5</v>
      </c>
      <c r="K73" s="11">
        <v>1.4</v>
      </c>
      <c r="L73">
        <v>14.41</v>
      </c>
      <c r="M73">
        <v>13.5294</v>
      </c>
      <c r="Q73">
        <v>4.32</v>
      </c>
      <c r="R73" s="4">
        <f t="shared" si="5"/>
        <v>0</v>
      </c>
    </row>
    <row r="74" spans="1:18">
      <c r="A74" t="s">
        <v>728</v>
      </c>
      <c r="B74">
        <v>2.18</v>
      </c>
      <c r="C74">
        <v>2.07</v>
      </c>
      <c r="D74">
        <v>6.46</v>
      </c>
      <c r="E74" s="2">
        <v>109660689.98</v>
      </c>
      <c r="F74" t="s">
        <v>729</v>
      </c>
      <c r="H74" s="11">
        <f t="shared" si="4"/>
        <v>2.96330275229358</v>
      </c>
      <c r="I74" s="11"/>
      <c r="J74">
        <v>113.5</v>
      </c>
      <c r="K74" s="11">
        <v>0.3</v>
      </c>
      <c r="Q74">
        <v>2.18</v>
      </c>
      <c r="R74" s="4">
        <f t="shared" si="5"/>
        <v>0</v>
      </c>
    </row>
    <row r="75" spans="1:18">
      <c r="A75" t="s">
        <v>619</v>
      </c>
      <c r="B75">
        <v>16.45</v>
      </c>
      <c r="C75">
        <v>12.62</v>
      </c>
      <c r="D75">
        <v>27.25</v>
      </c>
      <c r="E75" s="2">
        <v>590222335.02</v>
      </c>
      <c r="F75" t="s">
        <v>620</v>
      </c>
      <c r="H75" s="11">
        <f t="shared" si="4"/>
        <v>1.65653495440729</v>
      </c>
      <c r="I75" s="11"/>
      <c r="J75">
        <v>3.21</v>
      </c>
      <c r="K75" s="11">
        <v>4.07</v>
      </c>
      <c r="Q75">
        <v>16.45</v>
      </c>
      <c r="R75" s="4">
        <f t="shared" si="5"/>
        <v>0</v>
      </c>
    </row>
    <row r="76" spans="1:18">
      <c r="A76" t="s">
        <v>615</v>
      </c>
      <c r="B76">
        <v>3.73</v>
      </c>
      <c r="C76">
        <v>2.6</v>
      </c>
      <c r="D76">
        <v>4.42</v>
      </c>
      <c r="E76" s="2">
        <v>48643917.3</v>
      </c>
      <c r="F76" t="s">
        <v>616</v>
      </c>
      <c r="H76" s="11">
        <f t="shared" si="4"/>
        <v>1.18498659517426</v>
      </c>
      <c r="I76" s="11"/>
      <c r="J76">
        <v>0.89</v>
      </c>
      <c r="K76" s="11">
        <v>1.01</v>
      </c>
      <c r="L76">
        <v>9.8421</v>
      </c>
      <c r="Q76">
        <v>3.73</v>
      </c>
      <c r="R76" s="4">
        <f t="shared" si="5"/>
        <v>0</v>
      </c>
    </row>
    <row r="77" s="1" customFormat="1" spans="1:18">
      <c r="A77" t="s">
        <v>732</v>
      </c>
      <c r="B77">
        <v>12.48</v>
      </c>
      <c r="C77">
        <v>9.5</v>
      </c>
      <c r="D77">
        <v>19.89</v>
      </c>
      <c r="E77" s="2">
        <v>2363061787.6</v>
      </c>
      <c r="F77" t="s">
        <v>733</v>
      </c>
      <c r="G77"/>
      <c r="H77" s="11">
        <f t="shared" si="4"/>
        <v>1.59375</v>
      </c>
      <c r="I77" s="11"/>
      <c r="J77">
        <v>4.77</v>
      </c>
      <c r="K77" s="11">
        <v>19.44</v>
      </c>
      <c r="L77"/>
      <c r="M77"/>
      <c r="N77"/>
      <c r="O77"/>
      <c r="Q77">
        <v>12.48</v>
      </c>
      <c r="R77" s="4">
        <f t="shared" si="5"/>
        <v>0</v>
      </c>
    </row>
    <row r="78" s="1" customFormat="1" spans="1:18">
      <c r="A78" t="s">
        <v>645</v>
      </c>
      <c r="B78">
        <v>2.1</v>
      </c>
      <c r="C78">
        <v>1.86</v>
      </c>
      <c r="D78">
        <v>3.82</v>
      </c>
      <c r="E78" s="2">
        <v>263908965.29</v>
      </c>
      <c r="F78" t="s">
        <v>646</v>
      </c>
      <c r="G78"/>
      <c r="H78" s="11">
        <f t="shared" si="4"/>
        <v>1.81904761904762</v>
      </c>
      <c r="I78" s="11"/>
      <c r="J78">
        <v>0.5</v>
      </c>
      <c r="K78" s="11">
        <v>0.32</v>
      </c>
      <c r="L78">
        <v>6.3939</v>
      </c>
      <c r="M78"/>
      <c r="N78"/>
      <c r="O78"/>
      <c r="Q78">
        <v>2.1</v>
      </c>
      <c r="R78" s="4">
        <f t="shared" si="5"/>
        <v>0</v>
      </c>
    </row>
    <row r="79" spans="1:18">
      <c r="A79" t="s">
        <v>571</v>
      </c>
      <c r="B79">
        <v>2.34</v>
      </c>
      <c r="C79">
        <v>0.9</v>
      </c>
      <c r="D79">
        <v>4.49</v>
      </c>
      <c r="E79" s="2">
        <v>52898280</v>
      </c>
      <c r="F79" t="s">
        <v>572</v>
      </c>
      <c r="H79" s="11">
        <f t="shared" si="4"/>
        <v>1.91880341880342</v>
      </c>
      <c r="I79" s="11"/>
      <c r="J79">
        <v>-6.91</v>
      </c>
      <c r="K79" s="11">
        <v>5.84</v>
      </c>
      <c r="Q79">
        <v>2.34</v>
      </c>
      <c r="R79" s="4">
        <f t="shared" si="5"/>
        <v>0</v>
      </c>
    </row>
    <row r="80" spans="1:18">
      <c r="A80" t="s">
        <v>167</v>
      </c>
      <c r="B80">
        <v>0.6699</v>
      </c>
      <c r="C80">
        <v>0.58</v>
      </c>
      <c r="D80">
        <v>2.73</v>
      </c>
      <c r="E80">
        <v>4455384.7</v>
      </c>
      <c r="F80" t="s">
        <v>168</v>
      </c>
      <c r="H80" s="11">
        <f t="shared" si="4"/>
        <v>4.07523510971787</v>
      </c>
      <c r="I80" s="11"/>
      <c r="J80">
        <v>0.14</v>
      </c>
      <c r="K80" s="11">
        <v>0.4987</v>
      </c>
      <c r="Q80">
        <v>0.6699</v>
      </c>
      <c r="R80" s="4">
        <f t="shared" si="5"/>
        <v>0</v>
      </c>
    </row>
    <row r="81" spans="1:18">
      <c r="A81" t="s">
        <v>730</v>
      </c>
      <c r="B81">
        <v>23.8</v>
      </c>
      <c r="C81">
        <v>17.31</v>
      </c>
      <c r="D81">
        <v>37.96</v>
      </c>
      <c r="E81" s="2">
        <v>1350582238.28</v>
      </c>
      <c r="F81" t="s">
        <v>731</v>
      </c>
      <c r="H81" s="11">
        <f t="shared" si="4"/>
        <v>1.59495798319328</v>
      </c>
      <c r="I81" s="11"/>
      <c r="J81">
        <v>3.53</v>
      </c>
      <c r="K81" s="11">
        <v>4.31</v>
      </c>
      <c r="L81">
        <v>15.45</v>
      </c>
      <c r="M81">
        <v>16.0467</v>
      </c>
      <c r="Q81">
        <v>23.8</v>
      </c>
      <c r="R81" s="4">
        <f t="shared" si="5"/>
        <v>0</v>
      </c>
    </row>
    <row r="82" spans="1:18">
      <c r="A82" t="s">
        <v>607</v>
      </c>
      <c r="B82">
        <v>2.26</v>
      </c>
      <c r="C82">
        <v>1.4</v>
      </c>
      <c r="D82">
        <v>3.3</v>
      </c>
      <c r="E82" s="2">
        <v>223115042.2</v>
      </c>
      <c r="F82" t="s">
        <v>608</v>
      </c>
      <c r="H82" s="11">
        <f t="shared" si="4"/>
        <v>1.46017699115044</v>
      </c>
      <c r="I82" s="11"/>
      <c r="J82">
        <v>1.77</v>
      </c>
      <c r="K82" s="11">
        <v>0.46</v>
      </c>
      <c r="L82">
        <v>116.1128</v>
      </c>
      <c r="Q82">
        <v>2.26</v>
      </c>
      <c r="R82" s="4">
        <f t="shared" si="5"/>
        <v>0</v>
      </c>
    </row>
    <row r="83" spans="1:18">
      <c r="A83" t="s">
        <v>792</v>
      </c>
      <c r="B83">
        <v>3.38</v>
      </c>
      <c r="C83">
        <v>2.72</v>
      </c>
      <c r="D83">
        <v>6.54</v>
      </c>
      <c r="E83" s="2">
        <v>305083662.4</v>
      </c>
      <c r="F83" t="s">
        <v>793</v>
      </c>
      <c r="H83" s="11">
        <f t="shared" si="4"/>
        <v>1.93491124260355</v>
      </c>
      <c r="I83" s="11"/>
      <c r="J83">
        <v>0.74</v>
      </c>
      <c r="K83" s="11">
        <v>0.86</v>
      </c>
      <c r="L83">
        <v>11.7</v>
      </c>
      <c r="Q83">
        <v>3.38</v>
      </c>
      <c r="R83" s="4">
        <f t="shared" si="5"/>
        <v>0</v>
      </c>
    </row>
    <row r="84" spans="1:18">
      <c r="A84" t="s">
        <v>631</v>
      </c>
      <c r="B84">
        <v>159.16</v>
      </c>
      <c r="C84">
        <v>94.17</v>
      </c>
      <c r="D84">
        <v>186.45</v>
      </c>
      <c r="E84" s="2">
        <v>20065638809</v>
      </c>
      <c r="F84" t="s">
        <v>632</v>
      </c>
      <c r="H84" s="11">
        <f t="shared" si="4"/>
        <v>1.17146267906509</v>
      </c>
      <c r="I84" s="11"/>
      <c r="J84">
        <v>4.92</v>
      </c>
      <c r="K84" s="11">
        <v>7.5</v>
      </c>
      <c r="L84">
        <v>28.1976</v>
      </c>
      <c r="M84">
        <v>21.6502</v>
      </c>
      <c r="Q84">
        <v>159.16</v>
      </c>
      <c r="R84" s="4">
        <f t="shared" si="5"/>
        <v>0</v>
      </c>
    </row>
    <row r="85" s="1" customFormat="1" spans="1:18">
      <c r="A85" t="s">
        <v>613</v>
      </c>
      <c r="B85">
        <v>0.7999</v>
      </c>
      <c r="C85">
        <v>0.62</v>
      </c>
      <c r="D85">
        <v>1.16</v>
      </c>
      <c r="E85" s="2">
        <v>15175243.74</v>
      </c>
      <c r="F85" t="s">
        <v>614</v>
      </c>
      <c r="G85"/>
      <c r="H85" s="11">
        <f t="shared" si="4"/>
        <v>1.45018127265908</v>
      </c>
      <c r="I85" s="11"/>
      <c r="J85">
        <v>0.16</v>
      </c>
      <c r="K85" s="11">
        <v>0.1388</v>
      </c>
      <c r="L85">
        <v>4.5934</v>
      </c>
      <c r="M85"/>
      <c r="N85"/>
      <c r="O85"/>
      <c r="Q85">
        <v>0.7999</v>
      </c>
      <c r="R85" s="4">
        <f t="shared" si="5"/>
        <v>0</v>
      </c>
    </row>
    <row r="86" spans="1:18">
      <c r="A86" t="s">
        <v>370</v>
      </c>
      <c r="B86">
        <v>37</v>
      </c>
      <c r="C86">
        <v>35.78</v>
      </c>
      <c r="D86">
        <v>70.26</v>
      </c>
      <c r="E86" s="2">
        <v>113060000</v>
      </c>
      <c r="F86" t="s">
        <v>371</v>
      </c>
      <c r="H86" s="11">
        <f t="shared" si="4"/>
        <v>1.89891891891892</v>
      </c>
      <c r="I86" s="11"/>
      <c r="J86" t="s">
        <v>372</v>
      </c>
      <c r="K86" s="11">
        <v>0</v>
      </c>
      <c r="Q86">
        <v>37</v>
      </c>
      <c r="R86" s="4">
        <f t="shared" si="5"/>
        <v>0</v>
      </c>
    </row>
    <row r="87" spans="1:18">
      <c r="A87" t="s">
        <v>782</v>
      </c>
      <c r="B87">
        <v>30.58</v>
      </c>
      <c r="C87">
        <v>28.47</v>
      </c>
      <c r="D87">
        <v>36.46</v>
      </c>
      <c r="E87" s="2">
        <v>193473000000</v>
      </c>
      <c r="F87" t="s">
        <v>783</v>
      </c>
      <c r="H87" s="11">
        <f t="shared" si="4"/>
        <v>1.19228253760628</v>
      </c>
      <c r="I87" s="11"/>
      <c r="J87">
        <v>2.84</v>
      </c>
      <c r="K87" s="11">
        <v>3.94</v>
      </c>
      <c r="L87">
        <v>15.87</v>
      </c>
      <c r="M87">
        <v>13.9591</v>
      </c>
      <c r="Q87">
        <v>30.58</v>
      </c>
      <c r="R87" s="4">
        <f t="shared" si="5"/>
        <v>0</v>
      </c>
    </row>
    <row r="88" spans="1:18">
      <c r="A88" t="s">
        <v>796</v>
      </c>
      <c r="B88">
        <v>1.72</v>
      </c>
      <c r="C88">
        <v>1.3</v>
      </c>
      <c r="D88">
        <v>3.38</v>
      </c>
      <c r="E88" s="2">
        <v>327572578.06</v>
      </c>
      <c r="F88" t="s">
        <v>797</v>
      </c>
      <c r="H88" s="11">
        <f t="shared" si="4"/>
        <v>1.96511627906977</v>
      </c>
      <c r="I88" s="11"/>
      <c r="J88">
        <v>2.19</v>
      </c>
      <c r="K88" s="11">
        <v>3.59</v>
      </c>
      <c r="Q88">
        <v>1.72</v>
      </c>
      <c r="R88" s="4">
        <f t="shared" si="5"/>
        <v>0</v>
      </c>
    </row>
    <row r="89" spans="1:18">
      <c r="A89" t="s">
        <v>819</v>
      </c>
      <c r="B89">
        <v>71.51</v>
      </c>
      <c r="C89">
        <v>41.64</v>
      </c>
      <c r="D89">
        <v>73.33</v>
      </c>
      <c r="E89" s="2">
        <v>9237563992.44</v>
      </c>
      <c r="F89" t="s">
        <v>820</v>
      </c>
      <c r="H89" s="11">
        <f t="shared" si="4"/>
        <v>1.0254509858761</v>
      </c>
      <c r="I89" s="11"/>
      <c r="J89">
        <v>8.1</v>
      </c>
      <c r="K89" s="11">
        <v>5.41</v>
      </c>
      <c r="L89">
        <v>25.3</v>
      </c>
      <c r="M89">
        <v>25.8628</v>
      </c>
      <c r="Q89">
        <v>71.51</v>
      </c>
      <c r="R89" s="4">
        <f t="shared" si="5"/>
        <v>0</v>
      </c>
    </row>
    <row r="90" spans="1:18">
      <c r="A90" t="s">
        <v>391</v>
      </c>
      <c r="B90">
        <v>100.85</v>
      </c>
      <c r="C90">
        <v>84.74</v>
      </c>
      <c r="D90">
        <v>115.75</v>
      </c>
      <c r="E90" s="2">
        <v>42570000000</v>
      </c>
      <c r="F90" t="s">
        <v>392</v>
      </c>
      <c r="H90" s="11">
        <f t="shared" si="4"/>
        <v>1.14774417451661</v>
      </c>
      <c r="I90" s="11"/>
      <c r="J90">
        <v>0</v>
      </c>
      <c r="K90" s="11">
        <v>4.4008</v>
      </c>
      <c r="Q90">
        <v>100.85</v>
      </c>
      <c r="R90" s="4">
        <f t="shared" si="5"/>
        <v>0</v>
      </c>
    </row>
    <row r="91" spans="1:18">
      <c r="A91" t="s">
        <v>641</v>
      </c>
      <c r="B91">
        <v>42.29</v>
      </c>
      <c r="C91">
        <v>26.52</v>
      </c>
      <c r="D91">
        <v>55.93</v>
      </c>
      <c r="E91" s="2">
        <v>5817150000</v>
      </c>
      <c r="F91" t="s">
        <v>642</v>
      </c>
      <c r="H91" s="11">
        <f t="shared" si="4"/>
        <v>1.3225348782218</v>
      </c>
      <c r="I91" s="11"/>
      <c r="J91">
        <v>24.48</v>
      </c>
      <c r="K91" s="11">
        <v>10.85</v>
      </c>
      <c r="Q91">
        <v>42.29</v>
      </c>
      <c r="R91" s="4">
        <f t="shared" si="5"/>
        <v>0</v>
      </c>
    </row>
    <row r="92" spans="1:18">
      <c r="A92" t="s">
        <v>647</v>
      </c>
      <c r="B92">
        <v>3.05</v>
      </c>
      <c r="C92">
        <v>2.35</v>
      </c>
      <c r="D92">
        <v>4.45</v>
      </c>
      <c r="E92" s="2">
        <v>1083537088.19</v>
      </c>
      <c r="F92" t="s">
        <v>648</v>
      </c>
      <c r="H92" s="11">
        <f t="shared" si="4"/>
        <v>1.45901639344262</v>
      </c>
      <c r="I92" s="11"/>
      <c r="J92">
        <v>1.17</v>
      </c>
      <c r="K92" s="11">
        <v>18.89</v>
      </c>
      <c r="Q92">
        <v>3.05</v>
      </c>
      <c r="R92" s="4">
        <f t="shared" si="5"/>
        <v>0</v>
      </c>
    </row>
    <row r="93" spans="1:18">
      <c r="A93" t="s">
        <v>223</v>
      </c>
      <c r="B93">
        <v>10.49</v>
      </c>
      <c r="C93">
        <v>5.55</v>
      </c>
      <c r="D93">
        <v>18.88</v>
      </c>
      <c r="E93" s="2">
        <v>128986441.92</v>
      </c>
      <c r="F93" t="s">
        <v>224</v>
      </c>
      <c r="H93" s="11">
        <f t="shared" si="4"/>
        <v>1.7998093422307</v>
      </c>
      <c r="I93" s="11"/>
      <c r="J93" t="s">
        <v>225</v>
      </c>
      <c r="K93" s="11">
        <v>4.66</v>
      </c>
      <c r="L93">
        <v>32.88</v>
      </c>
      <c r="Q93">
        <v>10.49</v>
      </c>
      <c r="R93" s="4">
        <f t="shared" si="5"/>
        <v>0</v>
      </c>
    </row>
    <row r="94" spans="1:18">
      <c r="A94" t="s">
        <v>755</v>
      </c>
      <c r="B94">
        <v>31.77</v>
      </c>
      <c r="C94">
        <v>24.07</v>
      </c>
      <c r="D94">
        <v>63.79</v>
      </c>
      <c r="E94" s="2">
        <v>3126738583.8</v>
      </c>
      <c r="F94" t="s">
        <v>756</v>
      </c>
      <c r="H94" s="11">
        <f t="shared" si="4"/>
        <v>2.00786905886056</v>
      </c>
      <c r="I94" s="11"/>
      <c r="J94">
        <v>3.84</v>
      </c>
      <c r="K94" s="11">
        <v>8.71</v>
      </c>
      <c r="Q94">
        <v>31.77</v>
      </c>
      <c r="R94" s="4">
        <f t="shared" si="5"/>
        <v>0</v>
      </c>
    </row>
    <row r="95" spans="1:18">
      <c r="A95" t="s">
        <v>451</v>
      </c>
      <c r="B95">
        <v>25</v>
      </c>
      <c r="C95">
        <v>15.02</v>
      </c>
      <c r="D95">
        <v>43</v>
      </c>
      <c r="E95" s="2">
        <v>1006680800</v>
      </c>
      <c r="F95" t="s">
        <v>452</v>
      </c>
      <c r="H95" s="11">
        <f t="shared" si="4"/>
        <v>1.72</v>
      </c>
      <c r="I95" s="11"/>
      <c r="J95">
        <v>5.52</v>
      </c>
      <c r="K95" s="11">
        <v>2.63</v>
      </c>
      <c r="L95">
        <v>35.7222</v>
      </c>
      <c r="Q95">
        <v>25</v>
      </c>
      <c r="R95" s="4">
        <f t="shared" si="5"/>
        <v>0</v>
      </c>
    </row>
    <row r="96" spans="1:18">
      <c r="A96" t="s">
        <v>698</v>
      </c>
      <c r="B96">
        <v>5.8</v>
      </c>
      <c r="C96">
        <v>4.65</v>
      </c>
      <c r="D96">
        <v>10.01</v>
      </c>
      <c r="E96" s="2">
        <v>2605196376</v>
      </c>
      <c r="F96" t="s">
        <v>699</v>
      </c>
      <c r="H96" s="11">
        <f t="shared" si="4"/>
        <v>1.72586206896552</v>
      </c>
      <c r="I96" s="11"/>
      <c r="J96">
        <v>4.07</v>
      </c>
      <c r="K96" s="11">
        <v>3.11</v>
      </c>
      <c r="L96">
        <v>13</v>
      </c>
      <c r="M96">
        <v>25.125</v>
      </c>
      <c r="Q96">
        <v>5.8</v>
      </c>
      <c r="R96" s="4">
        <f t="shared" si="5"/>
        <v>0</v>
      </c>
    </row>
    <row r="97" spans="1:18">
      <c r="A97" t="s">
        <v>43</v>
      </c>
      <c r="B97">
        <v>9150</v>
      </c>
      <c r="C97">
        <v>8310</v>
      </c>
      <c r="D97">
        <v>14952.5</v>
      </c>
      <c r="E97">
        <v>0</v>
      </c>
      <c r="F97" t="s">
        <v>44</v>
      </c>
      <c r="H97" s="11">
        <f t="shared" ref="H97:H128" si="6">D97/B97</f>
        <v>1.63415300546448</v>
      </c>
      <c r="I97" s="11"/>
      <c r="J97">
        <v>0</v>
      </c>
      <c r="K97" s="11" t="s">
        <v>45</v>
      </c>
      <c r="Q97">
        <v>9150</v>
      </c>
      <c r="R97" s="4">
        <f t="shared" ref="R97:R128" si="7">B97/Q97-1</f>
        <v>0</v>
      </c>
    </row>
    <row r="98" spans="1:18">
      <c r="A98" t="s">
        <v>393</v>
      </c>
      <c r="B98">
        <v>22.76</v>
      </c>
      <c r="C98">
        <v>20.33</v>
      </c>
      <c r="D98">
        <v>23.9</v>
      </c>
      <c r="E98" s="2">
        <v>1510000000</v>
      </c>
      <c r="F98" t="s">
        <v>394</v>
      </c>
      <c r="H98" s="11">
        <f t="shared" si="6"/>
        <v>1.05008787346221</v>
      </c>
      <c r="I98" s="11"/>
      <c r="J98">
        <v>0</v>
      </c>
      <c r="K98" s="11"/>
      <c r="Q98">
        <v>22.76</v>
      </c>
      <c r="R98" s="4">
        <f t="shared" si="7"/>
        <v>0</v>
      </c>
    </row>
    <row r="99" spans="1:18">
      <c r="A99" t="s">
        <v>51</v>
      </c>
      <c r="B99">
        <v>6609.5</v>
      </c>
      <c r="C99">
        <v>6360.08</v>
      </c>
      <c r="D99">
        <v>11815.51</v>
      </c>
      <c r="E99" s="2">
        <v>5622375339860</v>
      </c>
      <c r="F99" t="s">
        <v>52</v>
      </c>
      <c r="H99" s="11">
        <f t="shared" si="6"/>
        <v>1.78765564717452</v>
      </c>
      <c r="I99" s="11"/>
      <c r="J99">
        <v>0</v>
      </c>
      <c r="K99" s="11"/>
      <c r="Q99">
        <v>6609.5</v>
      </c>
      <c r="R99" s="4">
        <f t="shared" si="7"/>
        <v>0</v>
      </c>
    </row>
    <row r="100" spans="1:18">
      <c r="A100" t="s">
        <v>228</v>
      </c>
      <c r="B100">
        <v>2324.83</v>
      </c>
      <c r="C100">
        <v>2254.62</v>
      </c>
      <c r="D100">
        <v>4195.2</v>
      </c>
      <c r="E100" s="2">
        <v>7556451626447.68</v>
      </c>
      <c r="F100" t="s">
        <v>229</v>
      </c>
      <c r="H100" s="11">
        <f t="shared" si="6"/>
        <v>1.80451904010186</v>
      </c>
      <c r="I100" s="11"/>
      <c r="J100">
        <v>0</v>
      </c>
      <c r="K100" s="11"/>
      <c r="Q100">
        <v>2324.83</v>
      </c>
      <c r="R100" s="4">
        <f t="shared" si="7"/>
        <v>0</v>
      </c>
    </row>
    <row r="101" spans="1:18">
      <c r="A101" t="s">
        <v>66</v>
      </c>
      <c r="B101">
        <v>2040.98</v>
      </c>
      <c r="C101">
        <v>1874.22</v>
      </c>
      <c r="D101">
        <v>3494.82</v>
      </c>
      <c r="E101" s="2">
        <v>4124641686000</v>
      </c>
      <c r="F101" t="s">
        <v>67</v>
      </c>
      <c r="H101" s="11">
        <f t="shared" si="6"/>
        <v>1.71232447157738</v>
      </c>
      <c r="I101" s="11"/>
      <c r="J101">
        <v>0</v>
      </c>
      <c r="K101" s="11"/>
      <c r="Q101">
        <v>2040.98</v>
      </c>
      <c r="R101" s="4">
        <f t="shared" si="7"/>
        <v>0</v>
      </c>
    </row>
    <row r="102" s="1" customFormat="1" spans="1:18">
      <c r="A102" t="s">
        <v>53</v>
      </c>
      <c r="B102">
        <v>3081.35</v>
      </c>
      <c r="C102">
        <v>2952.01</v>
      </c>
      <c r="D102">
        <v>5380.43</v>
      </c>
      <c r="E102">
        <v>0</v>
      </c>
      <c r="F102" t="s">
        <v>54</v>
      </c>
      <c r="G102"/>
      <c r="H102" s="11">
        <f t="shared" si="6"/>
        <v>1.74612750904636</v>
      </c>
      <c r="I102" s="11"/>
      <c r="J102">
        <v>0</v>
      </c>
      <c r="K102" s="11"/>
      <c r="L102"/>
      <c r="M102"/>
      <c r="N102"/>
      <c r="O102"/>
      <c r="Q102">
        <v>3081.35</v>
      </c>
      <c r="R102" s="4">
        <f t="shared" si="7"/>
        <v>0</v>
      </c>
    </row>
    <row r="103" spans="1:18">
      <c r="A103" t="s">
        <v>61</v>
      </c>
      <c r="B103">
        <v>2.337</v>
      </c>
      <c r="C103">
        <v>1.77</v>
      </c>
      <c r="D103">
        <v>8.05</v>
      </c>
      <c r="E103" s="2">
        <v>533862885.6</v>
      </c>
      <c r="F103" t="s">
        <v>62</v>
      </c>
      <c r="H103" s="11">
        <f t="shared" si="6"/>
        <v>3.44458707744972</v>
      </c>
      <c r="I103" s="11"/>
      <c r="J103">
        <v>175.37</v>
      </c>
      <c r="K103" s="11">
        <v>2.345</v>
      </c>
      <c r="L103">
        <v>1.768</v>
      </c>
      <c r="Q103">
        <v>2.337</v>
      </c>
      <c r="R103" s="4">
        <f t="shared" si="7"/>
        <v>0</v>
      </c>
    </row>
    <row r="104" spans="1:18">
      <c r="A104" t="s">
        <v>232</v>
      </c>
      <c r="B104">
        <v>0.813</v>
      </c>
      <c r="C104">
        <v>0.813</v>
      </c>
      <c r="D104">
        <v>1.629</v>
      </c>
      <c r="E104" s="2">
        <v>4318351310.34</v>
      </c>
      <c r="F104" t="s">
        <v>233</v>
      </c>
      <c r="H104" s="11">
        <f t="shared" si="6"/>
        <v>2.00369003690037</v>
      </c>
      <c r="I104" s="11"/>
      <c r="J104">
        <v>18.73</v>
      </c>
      <c r="K104" s="11">
        <v>0.8316</v>
      </c>
      <c r="L104">
        <v>0.8316</v>
      </c>
      <c r="Q104">
        <v>0.813</v>
      </c>
      <c r="R104" s="4">
        <f t="shared" si="7"/>
        <v>0</v>
      </c>
    </row>
    <row r="105" spans="1:18">
      <c r="A105" t="s">
        <v>206</v>
      </c>
      <c r="B105">
        <v>100.238</v>
      </c>
      <c r="C105">
        <v>96</v>
      </c>
      <c r="D105">
        <v>104.9</v>
      </c>
      <c r="E105" s="2">
        <v>50000098550.78</v>
      </c>
      <c r="F105" t="s">
        <v>207</v>
      </c>
      <c r="H105" s="11">
        <f t="shared" si="6"/>
        <v>1.04650930784732</v>
      </c>
      <c r="I105" s="11"/>
      <c r="J105">
        <v>1002550</v>
      </c>
      <c r="K105" s="11">
        <v>100.289</v>
      </c>
      <c r="L105">
        <v>111.052</v>
      </c>
      <c r="Q105">
        <v>100.238</v>
      </c>
      <c r="R105" s="4">
        <f t="shared" si="7"/>
        <v>0</v>
      </c>
    </row>
    <row r="106" s="1" customFormat="1" spans="1:18">
      <c r="A106" t="s">
        <v>790</v>
      </c>
      <c r="B106">
        <v>16.58</v>
      </c>
      <c r="C106">
        <v>11.91</v>
      </c>
      <c r="D106">
        <v>20.12</v>
      </c>
      <c r="E106" s="2">
        <v>317482083483.3</v>
      </c>
      <c r="F106" t="s">
        <v>791</v>
      </c>
      <c r="G106"/>
      <c r="H106" s="11">
        <f t="shared" si="6"/>
        <v>1.21351025331725</v>
      </c>
      <c r="I106" s="11"/>
      <c r="J106">
        <v>1.06</v>
      </c>
      <c r="K106" s="11">
        <v>2.2352</v>
      </c>
      <c r="L106">
        <v>6.7512</v>
      </c>
      <c r="M106">
        <v>6.4282</v>
      </c>
      <c r="N106"/>
      <c r="O106"/>
      <c r="Q106">
        <v>16.58</v>
      </c>
      <c r="R106" s="4">
        <f t="shared" si="7"/>
        <v>0</v>
      </c>
    </row>
    <row r="107" s="1" customFormat="1" spans="1:18">
      <c r="A107" t="s">
        <v>257</v>
      </c>
      <c r="B107">
        <v>37.02</v>
      </c>
      <c r="C107">
        <v>8.88</v>
      </c>
      <c r="D107">
        <v>77.58</v>
      </c>
      <c r="E107" s="2">
        <v>16522239888</v>
      </c>
      <c r="F107" t="s">
        <v>258</v>
      </c>
      <c r="G107"/>
      <c r="H107" s="11">
        <f t="shared" si="6"/>
        <v>2.09562398703404</v>
      </c>
      <c r="I107" s="11"/>
      <c r="J107">
        <v>18.78</v>
      </c>
      <c r="K107" s="11">
        <v>21.0935</v>
      </c>
      <c r="L107">
        <v>218.6994</v>
      </c>
      <c r="M107">
        <v>246.4885</v>
      </c>
      <c r="N107"/>
      <c r="O107"/>
      <c r="Q107">
        <v>37.02</v>
      </c>
      <c r="R107" s="4">
        <f t="shared" si="7"/>
        <v>0</v>
      </c>
    </row>
    <row r="108" spans="1:18">
      <c r="A108" t="s">
        <v>582</v>
      </c>
      <c r="B108">
        <v>31.98</v>
      </c>
      <c r="C108">
        <v>27.6</v>
      </c>
      <c r="D108">
        <v>81.9</v>
      </c>
      <c r="E108" s="2">
        <v>38466371561.55</v>
      </c>
      <c r="F108" t="s">
        <v>583</v>
      </c>
      <c r="H108" s="11">
        <f t="shared" si="6"/>
        <v>2.5609756097561</v>
      </c>
      <c r="I108" s="11"/>
      <c r="J108">
        <v>8.63</v>
      </c>
      <c r="K108" s="11">
        <v>8.4573</v>
      </c>
      <c r="L108">
        <v>107.9454</v>
      </c>
      <c r="M108">
        <v>100.6825</v>
      </c>
      <c r="Q108">
        <v>31.98</v>
      </c>
      <c r="R108" s="4">
        <f t="shared" si="7"/>
        <v>0</v>
      </c>
    </row>
    <row r="109" spans="1:18">
      <c r="A109" t="s">
        <v>584</v>
      </c>
      <c r="B109">
        <v>17.31</v>
      </c>
      <c r="C109">
        <v>8.9</v>
      </c>
      <c r="D109">
        <v>27</v>
      </c>
      <c r="E109" s="2">
        <v>49077321174.3</v>
      </c>
      <c r="F109" t="s">
        <v>585</v>
      </c>
      <c r="H109" s="11">
        <f t="shared" si="6"/>
        <v>1.55979202772964</v>
      </c>
      <c r="I109" s="11"/>
      <c r="J109">
        <v>2.71</v>
      </c>
      <c r="K109" s="11">
        <v>0.4067</v>
      </c>
      <c r="L109">
        <v>19.5746</v>
      </c>
      <c r="M109">
        <v>19.3002</v>
      </c>
      <c r="Q109">
        <v>17.31</v>
      </c>
      <c r="R109" s="4">
        <f t="shared" si="7"/>
        <v>0</v>
      </c>
    </row>
    <row r="110" spans="1:18">
      <c r="A110" t="s">
        <v>577</v>
      </c>
      <c r="B110">
        <v>12.17</v>
      </c>
      <c r="C110">
        <v>11.69</v>
      </c>
      <c r="D110">
        <v>42.98</v>
      </c>
      <c r="E110" s="2">
        <v>149789980479.35</v>
      </c>
      <c r="F110" t="s">
        <v>578</v>
      </c>
      <c r="H110" s="11">
        <f t="shared" si="6"/>
        <v>3.531635168447</v>
      </c>
      <c r="I110" s="11"/>
      <c r="J110">
        <v>2.87</v>
      </c>
      <c r="K110" s="11">
        <v>-5.7513</v>
      </c>
      <c r="L110">
        <v>31.1386</v>
      </c>
      <c r="Q110">
        <v>12.17</v>
      </c>
      <c r="R110" s="4">
        <f t="shared" si="7"/>
        <v>0</v>
      </c>
    </row>
    <row r="111" spans="1:18">
      <c r="A111" t="s">
        <v>265</v>
      </c>
      <c r="B111">
        <v>21.89</v>
      </c>
      <c r="C111">
        <v>14.35</v>
      </c>
      <c r="D111">
        <v>52.98</v>
      </c>
      <c r="E111" s="2">
        <v>3130729875</v>
      </c>
      <c r="F111" t="s">
        <v>266</v>
      </c>
      <c r="H111" s="11">
        <f t="shared" si="6"/>
        <v>2.42028323435359</v>
      </c>
      <c r="I111" s="11"/>
      <c r="J111">
        <v>11.58</v>
      </c>
      <c r="K111" s="11">
        <v>27.2088</v>
      </c>
      <c r="L111">
        <v>38.5541</v>
      </c>
      <c r="Q111">
        <v>21.89</v>
      </c>
      <c r="R111" s="4">
        <f t="shared" si="7"/>
        <v>0</v>
      </c>
    </row>
    <row r="112" spans="1:18">
      <c r="A112" t="s">
        <v>197</v>
      </c>
      <c r="B112">
        <v>13.54</v>
      </c>
      <c r="C112">
        <v>13.28</v>
      </c>
      <c r="D112">
        <v>32.99</v>
      </c>
      <c r="E112" s="2">
        <v>23127196823.32</v>
      </c>
      <c r="F112" t="s">
        <v>198</v>
      </c>
      <c r="H112" s="11">
        <f t="shared" si="6"/>
        <v>2.43648449039882</v>
      </c>
      <c r="I112" s="11"/>
      <c r="J112">
        <v>3.13</v>
      </c>
      <c r="K112" s="11">
        <v>1.1187</v>
      </c>
      <c r="L112">
        <v>19.8141</v>
      </c>
      <c r="Q112">
        <v>13.54</v>
      </c>
      <c r="R112" s="4">
        <f t="shared" si="7"/>
        <v>0</v>
      </c>
    </row>
    <row r="113" spans="1:18">
      <c r="A113" t="s">
        <v>116</v>
      </c>
      <c r="B113">
        <v>3.09</v>
      </c>
      <c r="C113">
        <v>2.71</v>
      </c>
      <c r="D113">
        <v>4.25</v>
      </c>
      <c r="E113" s="2">
        <v>1010109703870</v>
      </c>
      <c r="F113" t="s">
        <v>114</v>
      </c>
      <c r="H113" s="11">
        <f t="shared" si="6"/>
        <v>1.37540453074434</v>
      </c>
      <c r="I113" s="11"/>
      <c r="J113">
        <v>0.86</v>
      </c>
      <c r="K113" s="11">
        <v>1.891</v>
      </c>
      <c r="L113">
        <v>5.6286</v>
      </c>
      <c r="M113">
        <v>5.6045</v>
      </c>
      <c r="Q113">
        <v>3.09</v>
      </c>
      <c r="R113" s="4">
        <f t="shared" si="7"/>
        <v>0</v>
      </c>
    </row>
    <row r="114" spans="1:18">
      <c r="A114" t="s">
        <v>511</v>
      </c>
      <c r="B114">
        <v>5.35</v>
      </c>
      <c r="C114">
        <v>4.88</v>
      </c>
      <c r="D114">
        <v>12.52</v>
      </c>
      <c r="E114" s="2">
        <v>163800000000</v>
      </c>
      <c r="F114" t="s">
        <v>512</v>
      </c>
      <c r="H114" s="11">
        <f t="shared" si="6"/>
        <v>2.34018691588785</v>
      </c>
      <c r="I114" s="11"/>
      <c r="J114">
        <v>1.02</v>
      </c>
      <c r="K114" s="11">
        <v>0.1938</v>
      </c>
      <c r="L114">
        <v>7.2574</v>
      </c>
      <c r="M114">
        <v>6.6284</v>
      </c>
      <c r="Q114">
        <v>5.35</v>
      </c>
      <c r="R114" s="4">
        <f t="shared" si="7"/>
        <v>0</v>
      </c>
    </row>
    <row r="115" spans="1:18">
      <c r="A115" t="s">
        <v>510</v>
      </c>
      <c r="B115">
        <v>10.44</v>
      </c>
      <c r="C115">
        <v>9.63</v>
      </c>
      <c r="D115">
        <v>39.47</v>
      </c>
      <c r="E115" s="2">
        <v>291171051413.11</v>
      </c>
      <c r="F115" t="s">
        <v>509</v>
      </c>
      <c r="H115" s="11">
        <f t="shared" si="6"/>
        <v>3.78065134099617</v>
      </c>
      <c r="I115" s="11"/>
      <c r="J115">
        <v>3.01</v>
      </c>
      <c r="K115" s="11">
        <v>2.4213</v>
      </c>
      <c r="L115">
        <v>54.7832</v>
      </c>
      <c r="M115">
        <v>31.3019</v>
      </c>
      <c r="Q115">
        <v>10.44</v>
      </c>
      <c r="R115" s="4">
        <f t="shared" si="7"/>
        <v>0</v>
      </c>
    </row>
    <row r="116" spans="1:18">
      <c r="A116" t="s">
        <v>506</v>
      </c>
      <c r="B116">
        <v>17.56</v>
      </c>
      <c r="C116">
        <v>14.36</v>
      </c>
      <c r="D116">
        <v>38.32</v>
      </c>
      <c r="E116" s="2">
        <v>70672181997.51</v>
      </c>
      <c r="F116" t="s">
        <v>507</v>
      </c>
      <c r="H116" s="11">
        <f t="shared" si="6"/>
        <v>2.18223234624146</v>
      </c>
      <c r="I116" s="11"/>
      <c r="J116">
        <v>1.88</v>
      </c>
      <c r="K116" s="11">
        <v>4.5618</v>
      </c>
      <c r="L116">
        <v>34.1691</v>
      </c>
      <c r="M116">
        <v>9.8574</v>
      </c>
      <c r="Q116">
        <v>17.56</v>
      </c>
      <c r="R116" s="4">
        <f t="shared" si="7"/>
        <v>0</v>
      </c>
    </row>
    <row r="117" spans="1:18">
      <c r="A117" t="s">
        <v>825</v>
      </c>
      <c r="B117">
        <v>45.19</v>
      </c>
      <c r="C117">
        <v>31.92</v>
      </c>
      <c r="D117">
        <v>61.25</v>
      </c>
      <c r="E117" s="2">
        <v>2731566474</v>
      </c>
      <c r="F117" t="s">
        <v>826</v>
      </c>
      <c r="H117" s="11">
        <f t="shared" si="6"/>
        <v>1.35538836025669</v>
      </c>
      <c r="I117" s="11"/>
      <c r="J117">
        <v>1.32</v>
      </c>
      <c r="K117" s="11">
        <v>3.16</v>
      </c>
      <c r="L117">
        <v>50.02</v>
      </c>
      <c r="M117">
        <v>42.5234</v>
      </c>
      <c r="Q117">
        <v>45.19</v>
      </c>
      <c r="R117" s="4">
        <f t="shared" si="7"/>
        <v>0</v>
      </c>
    </row>
    <row r="118" spans="1:18">
      <c r="A118" t="s">
        <v>713</v>
      </c>
      <c r="B118">
        <v>309.39</v>
      </c>
      <c r="C118">
        <v>246.75</v>
      </c>
      <c r="D118">
        <v>520.71</v>
      </c>
      <c r="E118">
        <v>0</v>
      </c>
      <c r="F118" t="s">
        <v>714</v>
      </c>
      <c r="H118" s="11">
        <f t="shared" si="6"/>
        <v>1.68302142926404</v>
      </c>
      <c r="I118" s="11"/>
      <c r="J118">
        <v>0</v>
      </c>
      <c r="K118" s="11"/>
      <c r="Q118">
        <v>309.39</v>
      </c>
      <c r="R118" s="4">
        <f t="shared" si="7"/>
        <v>0</v>
      </c>
    </row>
    <row r="119" spans="1:18">
      <c r="A119" t="s">
        <v>617</v>
      </c>
      <c r="B119">
        <v>4.16</v>
      </c>
      <c r="C119">
        <v>3.75</v>
      </c>
      <c r="D119">
        <v>6.12</v>
      </c>
      <c r="E119" s="2">
        <v>489500000</v>
      </c>
      <c r="F119" t="s">
        <v>618</v>
      </c>
      <c r="H119" s="11">
        <f t="shared" si="6"/>
        <v>1.47115384615385</v>
      </c>
      <c r="I119" s="11"/>
      <c r="J119">
        <v>1.01</v>
      </c>
      <c r="K119" s="11">
        <v>0.22</v>
      </c>
      <c r="L119">
        <v>19.77</v>
      </c>
      <c r="M119">
        <v>14.8333</v>
      </c>
      <c r="Q119">
        <v>4.16</v>
      </c>
      <c r="R119" s="4">
        <f t="shared" si="7"/>
        <v>0</v>
      </c>
    </row>
    <row r="120" spans="1:18">
      <c r="A120" t="s">
        <v>772</v>
      </c>
      <c r="B120">
        <v>51.13</v>
      </c>
      <c r="C120">
        <v>40.2</v>
      </c>
      <c r="D120">
        <v>71.78</v>
      </c>
      <c r="E120" s="2">
        <v>1985171731.76</v>
      </c>
      <c r="F120" t="s">
        <v>773</v>
      </c>
      <c r="H120" s="11">
        <f t="shared" si="6"/>
        <v>1.40387248190886</v>
      </c>
      <c r="I120" s="11"/>
      <c r="J120">
        <v>1.32</v>
      </c>
      <c r="K120" s="11">
        <v>0.86</v>
      </c>
      <c r="Q120">
        <v>51.13</v>
      </c>
      <c r="R120" s="4">
        <f t="shared" si="7"/>
        <v>0</v>
      </c>
    </row>
    <row r="121" spans="1:18">
      <c r="A121" t="s">
        <v>386</v>
      </c>
      <c r="B121">
        <v>0.01</v>
      </c>
      <c r="C121">
        <v>0.01</v>
      </c>
      <c r="D121">
        <v>2.77</v>
      </c>
      <c r="E121">
        <v>875460</v>
      </c>
      <c r="F121" t="s">
        <v>387</v>
      </c>
      <c r="H121" s="11">
        <f t="shared" si="6"/>
        <v>277</v>
      </c>
      <c r="I121" s="11"/>
      <c r="J121" t="s">
        <v>388</v>
      </c>
      <c r="K121" s="11" t="s">
        <v>389</v>
      </c>
      <c r="L121">
        <v>-0.04</v>
      </c>
      <c r="M121">
        <v>0.012</v>
      </c>
      <c r="Q121">
        <v>0.01</v>
      </c>
      <c r="R121" s="4">
        <f t="shared" si="7"/>
        <v>0</v>
      </c>
    </row>
    <row r="122" spans="1:18">
      <c r="A122" t="s">
        <v>38</v>
      </c>
      <c r="B122">
        <v>16.37</v>
      </c>
      <c r="C122">
        <v>12</v>
      </c>
      <c r="D122">
        <v>18.9</v>
      </c>
      <c r="E122" s="2">
        <v>9881886800</v>
      </c>
      <c r="F122" t="s">
        <v>39</v>
      </c>
      <c r="H122" s="11">
        <f t="shared" si="6"/>
        <v>1.15455100794136</v>
      </c>
      <c r="I122" s="11"/>
      <c r="J122">
        <v>3.38</v>
      </c>
      <c r="K122" s="11">
        <v>6.18</v>
      </c>
      <c r="Q122">
        <v>16.37</v>
      </c>
      <c r="R122" s="4">
        <f t="shared" si="7"/>
        <v>0</v>
      </c>
    </row>
    <row r="123" spans="1:18">
      <c r="A123" t="s">
        <v>633</v>
      </c>
      <c r="B123">
        <v>0.56</v>
      </c>
      <c r="C123">
        <v>0.5</v>
      </c>
      <c r="D123">
        <v>1.65</v>
      </c>
      <c r="E123" s="2">
        <v>15330075</v>
      </c>
      <c r="F123" t="s">
        <v>634</v>
      </c>
      <c r="H123" s="11">
        <f t="shared" si="6"/>
        <v>2.94642857142857</v>
      </c>
      <c r="I123" s="11"/>
      <c r="J123">
        <v>0.09</v>
      </c>
      <c r="K123" s="11">
        <v>0.187</v>
      </c>
      <c r="L123">
        <v>2.5901</v>
      </c>
      <c r="Q123">
        <v>0.56</v>
      </c>
      <c r="R123" s="4">
        <f t="shared" si="7"/>
        <v>0</v>
      </c>
    </row>
    <row r="124" spans="1:18">
      <c r="A124" t="s">
        <v>298</v>
      </c>
      <c r="B124">
        <v>186.69</v>
      </c>
      <c r="C124">
        <v>181.02</v>
      </c>
      <c r="D124">
        <v>213.78</v>
      </c>
      <c r="E124" s="2">
        <v>177360000000</v>
      </c>
      <c r="F124" t="s">
        <v>299</v>
      </c>
      <c r="H124" s="11">
        <f t="shared" si="6"/>
        <v>1.14510686164229</v>
      </c>
      <c r="I124" s="11"/>
      <c r="J124">
        <v>0</v>
      </c>
      <c r="K124" s="11">
        <v>8.8821</v>
      </c>
      <c r="Q124">
        <v>186.69</v>
      </c>
      <c r="R124" s="4">
        <f t="shared" si="7"/>
        <v>0</v>
      </c>
    </row>
    <row r="125" spans="1:18">
      <c r="A125" t="s">
        <v>274</v>
      </c>
      <c r="B125">
        <v>10.02</v>
      </c>
      <c r="C125">
        <v>8.27</v>
      </c>
      <c r="D125">
        <v>14.78</v>
      </c>
      <c r="E125" s="2">
        <v>3249364974.65</v>
      </c>
      <c r="F125" t="s">
        <v>275</v>
      </c>
      <c r="H125" s="11">
        <f t="shared" si="6"/>
        <v>1.4750499001996</v>
      </c>
      <c r="I125" s="11"/>
      <c r="J125" t="s">
        <v>276</v>
      </c>
      <c r="K125" s="11">
        <v>-5.53</v>
      </c>
      <c r="L125">
        <v>1.37</v>
      </c>
      <c r="Q125">
        <v>10.02</v>
      </c>
      <c r="R125" s="4">
        <f t="shared" si="7"/>
        <v>0</v>
      </c>
    </row>
    <row r="126" spans="1:18">
      <c r="A126" t="s">
        <v>263</v>
      </c>
      <c r="B126">
        <v>1.43</v>
      </c>
      <c r="C126">
        <v>1.39</v>
      </c>
      <c r="D126">
        <v>5.35</v>
      </c>
      <c r="E126" s="2">
        <v>91946577.8</v>
      </c>
      <c r="F126" t="s">
        <v>264</v>
      </c>
      <c r="H126" s="11">
        <f t="shared" si="6"/>
        <v>3.74125874125874</v>
      </c>
      <c r="I126" s="11"/>
      <c r="J126">
        <v>0.92</v>
      </c>
      <c r="K126" s="11">
        <v>1.34</v>
      </c>
      <c r="L126">
        <v>5.5</v>
      </c>
      <c r="Q126">
        <v>1.43</v>
      </c>
      <c r="R126" s="4">
        <f t="shared" si="7"/>
        <v>0</v>
      </c>
    </row>
    <row r="127" spans="1:18">
      <c r="A127" t="s">
        <v>55</v>
      </c>
      <c r="B127">
        <v>5.07</v>
      </c>
      <c r="C127">
        <v>3.62</v>
      </c>
      <c r="D127">
        <v>8.15</v>
      </c>
      <c r="E127" s="2">
        <v>283638529.35</v>
      </c>
      <c r="F127" t="s">
        <v>56</v>
      </c>
      <c r="H127" s="11">
        <f t="shared" si="6"/>
        <v>1.60749506903353</v>
      </c>
      <c r="I127" s="11"/>
      <c r="J127">
        <v>2.35</v>
      </c>
      <c r="K127" s="11">
        <v>0.73</v>
      </c>
      <c r="L127">
        <v>4.0909</v>
      </c>
      <c r="Q127">
        <v>5.07</v>
      </c>
      <c r="R127" s="4">
        <f t="shared" si="7"/>
        <v>0</v>
      </c>
    </row>
    <row r="128" spans="1:18">
      <c r="A128" t="s">
        <v>171</v>
      </c>
      <c r="B128">
        <v>24.43</v>
      </c>
      <c r="C128">
        <v>11.53</v>
      </c>
      <c r="D128">
        <v>24.43</v>
      </c>
      <c r="E128" s="2">
        <v>269685994784.43</v>
      </c>
      <c r="F128" t="s">
        <v>172</v>
      </c>
      <c r="H128" s="11">
        <f t="shared" si="6"/>
        <v>1</v>
      </c>
      <c r="I128" s="11"/>
      <c r="J128">
        <v>3.03</v>
      </c>
      <c r="K128" s="11">
        <v>1.6578</v>
      </c>
      <c r="L128">
        <v>17.1455</v>
      </c>
      <c r="M128">
        <v>16.7246</v>
      </c>
      <c r="Q128">
        <v>24.43</v>
      </c>
      <c r="R128" s="4">
        <f t="shared" si="7"/>
        <v>0</v>
      </c>
    </row>
    <row r="129" spans="1:18">
      <c r="A129" t="s">
        <v>576</v>
      </c>
      <c r="B129">
        <v>14.99</v>
      </c>
      <c r="C129">
        <v>14.84</v>
      </c>
      <c r="D129">
        <v>33.92</v>
      </c>
      <c r="E129" s="2">
        <v>45292637424.06</v>
      </c>
      <c r="F129" t="s">
        <v>131</v>
      </c>
      <c r="H129" s="11">
        <f t="shared" ref="H129:H160" si="8">D129/B129</f>
        <v>2.2628418945964</v>
      </c>
      <c r="I129" s="11"/>
      <c r="J129">
        <v>1.76</v>
      </c>
      <c r="K129" s="11">
        <v>0.6887</v>
      </c>
      <c r="L129">
        <v>18.2794</v>
      </c>
      <c r="M129">
        <v>17.5503</v>
      </c>
      <c r="Q129">
        <v>14.99</v>
      </c>
      <c r="R129" s="4">
        <f t="shared" ref="R129:R160" si="9">B129/Q129-1</f>
        <v>0</v>
      </c>
    </row>
    <row r="130" spans="1:18">
      <c r="A130" t="s">
        <v>306</v>
      </c>
      <c r="B130">
        <v>9.71</v>
      </c>
      <c r="C130">
        <v>9.2</v>
      </c>
      <c r="D130">
        <v>21.88</v>
      </c>
      <c r="E130" s="2">
        <v>44843947797.12</v>
      </c>
      <c r="F130" t="s">
        <v>307</v>
      </c>
      <c r="H130" s="11">
        <f t="shared" si="8"/>
        <v>2.25334706488157</v>
      </c>
      <c r="I130" s="11"/>
      <c r="J130">
        <v>4.42</v>
      </c>
      <c r="K130" s="11">
        <v>5.4763</v>
      </c>
      <c r="L130">
        <v>28.7703</v>
      </c>
      <c r="M130">
        <v>18.8248</v>
      </c>
      <c r="Q130">
        <v>9.71</v>
      </c>
      <c r="R130" s="4">
        <f t="shared" si="9"/>
        <v>0</v>
      </c>
    </row>
    <row r="131" spans="1:18">
      <c r="A131" t="s">
        <v>579</v>
      </c>
      <c r="B131">
        <v>3.52</v>
      </c>
      <c r="C131">
        <v>3.45</v>
      </c>
      <c r="D131">
        <v>7.68</v>
      </c>
      <c r="E131" s="2">
        <v>43655244136.14</v>
      </c>
      <c r="F131" t="s">
        <v>580</v>
      </c>
      <c r="H131" s="11">
        <f t="shared" si="8"/>
        <v>2.18181818181818</v>
      </c>
      <c r="I131" s="11"/>
      <c r="J131">
        <v>1.81</v>
      </c>
      <c r="K131" s="11">
        <v>0.4121</v>
      </c>
      <c r="L131">
        <v>13.7142</v>
      </c>
      <c r="M131">
        <v>14.4148</v>
      </c>
      <c r="Q131">
        <v>3.52</v>
      </c>
      <c r="R131" s="4">
        <f t="shared" si="9"/>
        <v>0</v>
      </c>
    </row>
    <row r="132" s="1" customFormat="1" spans="1:18">
      <c r="A132" t="s">
        <v>255</v>
      </c>
      <c r="B132">
        <v>54.47</v>
      </c>
      <c r="C132">
        <v>20.72</v>
      </c>
      <c r="D132">
        <v>90</v>
      </c>
      <c r="E132" s="2">
        <v>5282073325.37</v>
      </c>
      <c r="F132" t="s">
        <v>256</v>
      </c>
      <c r="G132"/>
      <c r="H132" s="11">
        <f t="shared" si="8"/>
        <v>1.6522856618322</v>
      </c>
      <c r="I132" s="11"/>
      <c r="J132">
        <v>33.18</v>
      </c>
      <c r="K132" s="11">
        <v>204.5724</v>
      </c>
      <c r="L132">
        <v>2685.9608</v>
      </c>
      <c r="M132">
        <v>1287.4567</v>
      </c>
      <c r="N132"/>
      <c r="O132"/>
      <c r="Q132">
        <v>54.47</v>
      </c>
      <c r="R132" s="4">
        <f t="shared" si="9"/>
        <v>0</v>
      </c>
    </row>
    <row r="133" spans="1:18">
      <c r="A133" t="s">
        <v>341</v>
      </c>
      <c r="B133">
        <v>12.73</v>
      </c>
      <c r="C133">
        <v>9.31</v>
      </c>
      <c r="D133">
        <v>30.05</v>
      </c>
      <c r="E133" s="2">
        <v>3515900685.03</v>
      </c>
      <c r="F133" t="s">
        <v>342</v>
      </c>
      <c r="H133" s="11">
        <f t="shared" si="8"/>
        <v>2.3605655930872</v>
      </c>
      <c r="I133" s="11"/>
      <c r="J133">
        <v>4.46</v>
      </c>
      <c r="K133" s="11">
        <v>8.7719</v>
      </c>
      <c r="L133">
        <v>136.7526</v>
      </c>
      <c r="M133">
        <v>132.2516</v>
      </c>
      <c r="Q133">
        <v>12.73</v>
      </c>
      <c r="R133" s="4">
        <f t="shared" si="9"/>
        <v>0</v>
      </c>
    </row>
    <row r="134" spans="1:18">
      <c r="A134" t="s">
        <v>188</v>
      </c>
      <c r="B134">
        <v>14.5</v>
      </c>
      <c r="C134">
        <v>10.85</v>
      </c>
      <c r="D134">
        <v>30.17</v>
      </c>
      <c r="E134" s="2">
        <v>23252409923.03</v>
      </c>
      <c r="F134" t="s">
        <v>189</v>
      </c>
      <c r="H134" s="11">
        <f t="shared" si="8"/>
        <v>2.08068965517241</v>
      </c>
      <c r="I134" s="11"/>
      <c r="J134">
        <v>3.51</v>
      </c>
      <c r="K134" s="11">
        <v>9.8218</v>
      </c>
      <c r="L134">
        <v>122.888</v>
      </c>
      <c r="M134">
        <v>66.8055</v>
      </c>
      <c r="Q134">
        <v>14.5</v>
      </c>
      <c r="R134" s="4">
        <f t="shared" si="9"/>
        <v>0</v>
      </c>
    </row>
    <row r="135" spans="1:18">
      <c r="A135" t="s">
        <v>815</v>
      </c>
      <c r="B135">
        <v>18.01</v>
      </c>
      <c r="C135">
        <v>16.01</v>
      </c>
      <c r="D135">
        <v>78.89</v>
      </c>
      <c r="E135" s="2">
        <v>17233099883.28</v>
      </c>
      <c r="F135" t="s">
        <v>816</v>
      </c>
      <c r="H135" s="11">
        <f t="shared" si="8"/>
        <v>4.38034425319267</v>
      </c>
      <c r="I135" s="11"/>
      <c r="J135">
        <v>8.06</v>
      </c>
      <c r="K135" s="11">
        <v>6.1255</v>
      </c>
      <c r="L135">
        <v>62.4925</v>
      </c>
      <c r="M135">
        <v>46.2247</v>
      </c>
      <c r="Q135">
        <v>18.01</v>
      </c>
      <c r="R135" s="4">
        <f t="shared" si="9"/>
        <v>0</v>
      </c>
    </row>
    <row r="136" spans="1:18">
      <c r="A136" t="s">
        <v>267</v>
      </c>
      <c r="B136">
        <v>29.96</v>
      </c>
      <c r="C136">
        <v>7.9</v>
      </c>
      <c r="D136">
        <v>62.34</v>
      </c>
      <c r="E136" s="2">
        <v>128621609312.5</v>
      </c>
      <c r="F136" t="s">
        <v>268</v>
      </c>
      <c r="H136" s="11">
        <f t="shared" si="8"/>
        <v>2.08077436582109</v>
      </c>
      <c r="I136" s="11"/>
      <c r="J136">
        <v>261.07</v>
      </c>
      <c r="K136" s="11">
        <v>301.1562</v>
      </c>
      <c r="L136">
        <v>19513.9016</v>
      </c>
      <c r="M136">
        <v>44972.5389</v>
      </c>
      <c r="Q136">
        <v>29.96</v>
      </c>
      <c r="R136" s="4">
        <f t="shared" si="9"/>
        <v>0</v>
      </c>
    </row>
    <row r="137" s="1" customFormat="1" spans="1:18">
      <c r="A137" t="s">
        <v>261</v>
      </c>
      <c r="B137">
        <v>60.15</v>
      </c>
      <c r="C137">
        <v>25.52</v>
      </c>
      <c r="D137">
        <v>73.29</v>
      </c>
      <c r="E137" s="2">
        <v>36500100775.2</v>
      </c>
      <c r="F137" t="s">
        <v>262</v>
      </c>
      <c r="G137"/>
      <c r="H137" s="11">
        <f t="shared" si="8"/>
        <v>1.21845386533666</v>
      </c>
      <c r="I137" s="11"/>
      <c r="J137">
        <v>13.02</v>
      </c>
      <c r="K137" s="11">
        <v>29.1326</v>
      </c>
      <c r="L137">
        <v>119.9254</v>
      </c>
      <c r="M137">
        <v>106.2868</v>
      </c>
      <c r="N137"/>
      <c r="O137"/>
      <c r="Q137">
        <v>60.15</v>
      </c>
      <c r="R137" s="4">
        <f t="shared" si="9"/>
        <v>0</v>
      </c>
    </row>
    <row r="138" spans="1:18">
      <c r="A138" t="s">
        <v>581</v>
      </c>
      <c r="B138">
        <v>17.08</v>
      </c>
      <c r="C138">
        <v>13.09</v>
      </c>
      <c r="D138">
        <v>27.2</v>
      </c>
      <c r="E138" s="2">
        <v>46941883560</v>
      </c>
      <c r="F138" t="s">
        <v>497</v>
      </c>
      <c r="H138" s="11">
        <f t="shared" si="8"/>
        <v>1.59250585480094</v>
      </c>
      <c r="I138" s="11"/>
      <c r="J138">
        <v>2.93</v>
      </c>
      <c r="K138" s="11">
        <v>1.8317</v>
      </c>
      <c r="L138">
        <v>25.6558</v>
      </c>
      <c r="M138">
        <v>17.1155</v>
      </c>
      <c r="Q138">
        <v>17.08</v>
      </c>
      <c r="R138" s="4">
        <f t="shared" si="9"/>
        <v>0</v>
      </c>
    </row>
    <row r="139" spans="1:18">
      <c r="A139" t="s">
        <v>802</v>
      </c>
      <c r="B139">
        <v>22.9</v>
      </c>
      <c r="C139">
        <v>14.54</v>
      </c>
      <c r="D139">
        <v>99.83</v>
      </c>
      <c r="E139" s="2">
        <v>21038867123.8</v>
      </c>
      <c r="F139" t="s">
        <v>803</v>
      </c>
      <c r="H139" s="11">
        <f t="shared" si="8"/>
        <v>4.35938864628821</v>
      </c>
      <c r="I139" s="11"/>
      <c r="J139">
        <v>14.51</v>
      </c>
      <c r="K139" s="11">
        <v>15.8711</v>
      </c>
      <c r="L139">
        <v>223.6961</v>
      </c>
      <c r="Q139">
        <v>22.9</v>
      </c>
      <c r="R139" s="4">
        <f t="shared" si="9"/>
        <v>0</v>
      </c>
    </row>
    <row r="140" spans="1:18">
      <c r="A140" t="s">
        <v>377</v>
      </c>
      <c r="B140">
        <v>9.81</v>
      </c>
      <c r="C140">
        <v>9.24</v>
      </c>
      <c r="D140">
        <v>27.28</v>
      </c>
      <c r="E140" s="2">
        <v>26873051649.45</v>
      </c>
      <c r="F140" t="s">
        <v>378</v>
      </c>
      <c r="H140" s="11">
        <f t="shared" si="8"/>
        <v>2.78083588175331</v>
      </c>
      <c r="I140" s="11"/>
      <c r="J140">
        <v>4.4</v>
      </c>
      <c r="K140" s="11">
        <v>1.5896</v>
      </c>
      <c r="L140">
        <v>33.7735</v>
      </c>
      <c r="M140">
        <v>35.7756</v>
      </c>
      <c r="Q140">
        <v>9.81</v>
      </c>
      <c r="R140" s="4">
        <f t="shared" si="9"/>
        <v>0</v>
      </c>
    </row>
    <row r="141" spans="1:18">
      <c r="A141" t="s">
        <v>810</v>
      </c>
      <c r="B141">
        <v>16.18</v>
      </c>
      <c r="C141">
        <v>13.91</v>
      </c>
      <c r="D141">
        <v>62.14</v>
      </c>
      <c r="E141" s="2">
        <v>9084024276.05</v>
      </c>
      <c r="F141" t="s">
        <v>811</v>
      </c>
      <c r="H141" s="11">
        <f t="shared" si="8"/>
        <v>3.84054388133498</v>
      </c>
      <c r="I141" s="11"/>
      <c r="J141">
        <v>3.68</v>
      </c>
      <c r="K141" s="11">
        <v>2.3016</v>
      </c>
      <c r="L141">
        <v>37.5757</v>
      </c>
      <c r="M141">
        <v>37.3038</v>
      </c>
      <c r="Q141">
        <v>16.18</v>
      </c>
      <c r="R141" s="4">
        <f t="shared" si="9"/>
        <v>0</v>
      </c>
    </row>
    <row r="142" spans="1:18">
      <c r="A142" t="s">
        <v>11</v>
      </c>
      <c r="B142">
        <v>26.01</v>
      </c>
      <c r="C142">
        <v>25.35</v>
      </c>
      <c r="D142">
        <v>56.48</v>
      </c>
      <c r="E142" s="2">
        <v>105666015410.41</v>
      </c>
      <c r="F142" t="s">
        <v>12</v>
      </c>
      <c r="H142" s="11">
        <f t="shared" si="8"/>
        <v>2.17147251057286</v>
      </c>
      <c r="I142" s="11"/>
      <c r="J142">
        <v>6.18</v>
      </c>
      <c r="K142" s="11">
        <v>4.5465</v>
      </c>
      <c r="L142">
        <v>22.649</v>
      </c>
      <c r="M142">
        <v>18.4549</v>
      </c>
      <c r="Q142">
        <v>26.01</v>
      </c>
      <c r="R142" s="4">
        <f t="shared" si="9"/>
        <v>0</v>
      </c>
    </row>
    <row r="143" spans="1:18">
      <c r="A143" t="s">
        <v>813</v>
      </c>
      <c r="B143">
        <v>10.7</v>
      </c>
      <c r="C143">
        <v>9.23</v>
      </c>
      <c r="D143">
        <v>23.93</v>
      </c>
      <c r="E143" s="2">
        <v>8261151140</v>
      </c>
      <c r="F143" t="s">
        <v>814</v>
      </c>
      <c r="H143" s="11">
        <f t="shared" si="8"/>
        <v>2.23644859813084</v>
      </c>
      <c r="I143" s="11"/>
      <c r="J143">
        <v>2.12</v>
      </c>
      <c r="K143" s="11">
        <v>4.0588</v>
      </c>
      <c r="L143">
        <v>44.3416</v>
      </c>
      <c r="M143">
        <v>37.415</v>
      </c>
      <c r="Q143">
        <v>10.7</v>
      </c>
      <c r="R143" s="4">
        <f t="shared" si="9"/>
        <v>0</v>
      </c>
    </row>
    <row r="144" spans="1:18">
      <c r="A144" t="s">
        <v>8</v>
      </c>
      <c r="B144">
        <v>119.52</v>
      </c>
      <c r="C144">
        <v>35.24</v>
      </c>
      <c r="D144">
        <v>176</v>
      </c>
      <c r="E144" s="2">
        <v>31376280000</v>
      </c>
      <c r="F144" t="s">
        <v>9</v>
      </c>
      <c r="H144" s="11">
        <f t="shared" si="8"/>
        <v>1.47255689424364</v>
      </c>
      <c r="I144" s="11"/>
      <c r="J144">
        <v>10.82</v>
      </c>
      <c r="K144" s="11">
        <v>17.1545</v>
      </c>
      <c r="L144">
        <v>240.4286</v>
      </c>
      <c r="M144">
        <v>187.5369</v>
      </c>
      <c r="Q144">
        <v>119.52</v>
      </c>
      <c r="R144" s="4">
        <f t="shared" si="9"/>
        <v>0</v>
      </c>
    </row>
    <row r="145" s="1" customFormat="1" spans="1:18">
      <c r="A145" t="s">
        <v>269</v>
      </c>
      <c r="B145">
        <v>120</v>
      </c>
      <c r="C145">
        <v>34.82</v>
      </c>
      <c r="D145">
        <v>231.1</v>
      </c>
      <c r="E145" s="2">
        <v>8639400000</v>
      </c>
      <c r="F145" t="s">
        <v>270</v>
      </c>
      <c r="G145"/>
      <c r="H145" s="11">
        <f t="shared" si="8"/>
        <v>1.92583333333333</v>
      </c>
      <c r="I145" s="11"/>
      <c r="J145">
        <v>14.64</v>
      </c>
      <c r="K145" s="11">
        <v>17.151</v>
      </c>
      <c r="L145">
        <v>816.4638</v>
      </c>
      <c r="M145"/>
      <c r="N145"/>
      <c r="O145"/>
      <c r="Q145">
        <v>120</v>
      </c>
      <c r="R145" s="4">
        <f t="shared" si="9"/>
        <v>0</v>
      </c>
    </row>
    <row r="146" spans="1:18">
      <c r="A146" t="s">
        <v>827</v>
      </c>
      <c r="B146">
        <v>56.02</v>
      </c>
      <c r="C146">
        <v>35.91</v>
      </c>
      <c r="D146">
        <v>87.6</v>
      </c>
      <c r="E146" s="2">
        <v>136576160000</v>
      </c>
      <c r="F146" t="s">
        <v>828</v>
      </c>
      <c r="H146" s="11">
        <f t="shared" si="8"/>
        <v>1.56372724027133</v>
      </c>
      <c r="I146" s="11"/>
      <c r="J146">
        <v>4.71</v>
      </c>
      <c r="K146" s="11">
        <v>2.0606</v>
      </c>
      <c r="L146">
        <v>315.0364</v>
      </c>
      <c r="M146">
        <v>68.0846</v>
      </c>
      <c r="Q146">
        <v>56.02</v>
      </c>
      <c r="R146" s="4">
        <f t="shared" si="9"/>
        <v>0</v>
      </c>
    </row>
    <row r="147" spans="1:18">
      <c r="A147" t="s">
        <v>182</v>
      </c>
      <c r="B147">
        <v>88.32</v>
      </c>
      <c r="C147">
        <v>27.94</v>
      </c>
      <c r="D147">
        <v>248.66</v>
      </c>
      <c r="E147" s="2">
        <v>105216829670.4</v>
      </c>
      <c r="F147" t="s">
        <v>183</v>
      </c>
      <c r="H147" s="11">
        <f t="shared" si="8"/>
        <v>2.81544384057971</v>
      </c>
      <c r="I147" s="11"/>
      <c r="J147">
        <v>22.25</v>
      </c>
      <c r="K147" s="11">
        <v>15.2443</v>
      </c>
      <c r="L147">
        <v>131.365</v>
      </c>
      <c r="M147">
        <v>98.9696</v>
      </c>
      <c r="Q147">
        <v>88.32</v>
      </c>
      <c r="R147" s="4">
        <f t="shared" si="9"/>
        <v>0</v>
      </c>
    </row>
    <row r="148" s="1" customFormat="1" spans="1:18">
      <c r="A148" t="s">
        <v>329</v>
      </c>
      <c r="B148">
        <v>0.56</v>
      </c>
      <c r="C148">
        <v>0.559</v>
      </c>
      <c r="D148">
        <v>2.372</v>
      </c>
      <c r="E148" s="2">
        <v>1503412838.4</v>
      </c>
      <c r="F148" t="s">
        <v>330</v>
      </c>
      <c r="G148"/>
      <c r="H148" s="11">
        <f t="shared" si="8"/>
        <v>4.23571428571428</v>
      </c>
      <c r="I148" s="11"/>
      <c r="J148">
        <v>1.48</v>
      </c>
      <c r="K148" s="11">
        <v>0.4734</v>
      </c>
      <c r="L148">
        <v>0.4734</v>
      </c>
      <c r="M148"/>
      <c r="N148"/>
      <c r="O148"/>
      <c r="Q148">
        <v>0.56</v>
      </c>
      <c r="R148" s="4">
        <f t="shared" si="9"/>
        <v>0</v>
      </c>
    </row>
    <row r="149" spans="1:18">
      <c r="A149" t="s">
        <v>202</v>
      </c>
      <c r="B149">
        <v>0.37</v>
      </c>
      <c r="C149">
        <v>0.321</v>
      </c>
      <c r="D149">
        <v>2.205</v>
      </c>
      <c r="E149" s="2">
        <v>330976370.82</v>
      </c>
      <c r="F149" t="s">
        <v>203</v>
      </c>
      <c r="H149" s="11">
        <f t="shared" si="8"/>
        <v>5.95945945945946</v>
      </c>
      <c r="I149" s="11"/>
      <c r="J149">
        <v>71.13</v>
      </c>
      <c r="K149" s="11">
        <v>0.3849</v>
      </c>
      <c r="L149">
        <v>1.4938</v>
      </c>
      <c r="Q149">
        <v>0.37</v>
      </c>
      <c r="R149" s="4">
        <f t="shared" si="9"/>
        <v>0</v>
      </c>
    </row>
    <row r="150" spans="1:18">
      <c r="A150" t="s">
        <v>317</v>
      </c>
      <c r="B150">
        <v>0.946</v>
      </c>
      <c r="C150">
        <v>0.944</v>
      </c>
      <c r="D150">
        <v>1.55</v>
      </c>
      <c r="E150" s="2">
        <v>600352895.81</v>
      </c>
      <c r="F150" t="s">
        <v>318</v>
      </c>
      <c r="H150" s="11">
        <f t="shared" si="8"/>
        <v>1.6384778012685</v>
      </c>
      <c r="I150" s="11"/>
      <c r="J150">
        <v>31.16</v>
      </c>
      <c r="K150" s="11">
        <v>0.9662</v>
      </c>
      <c r="L150">
        <v>0.9662</v>
      </c>
      <c r="Q150">
        <v>0.946</v>
      </c>
      <c r="R150" s="4">
        <f t="shared" si="9"/>
        <v>0</v>
      </c>
    </row>
    <row r="151" spans="1:18">
      <c r="A151" t="s">
        <v>663</v>
      </c>
      <c r="B151">
        <v>1</v>
      </c>
      <c r="C151">
        <v>0</v>
      </c>
      <c r="D151">
        <v>0</v>
      </c>
      <c r="E151" s="2">
        <v>128915000</v>
      </c>
      <c r="F151" t="s">
        <v>664</v>
      </c>
      <c r="H151" s="11">
        <f t="shared" si="8"/>
        <v>0</v>
      </c>
      <c r="I151" s="11"/>
      <c r="J151">
        <v>0</v>
      </c>
      <c r="K151" s="11">
        <v>0.709</v>
      </c>
      <c r="L151">
        <v>0.459</v>
      </c>
      <c r="Q151">
        <v>1</v>
      </c>
      <c r="R151" s="4">
        <f t="shared" si="9"/>
        <v>0</v>
      </c>
    </row>
    <row r="152" spans="1:18">
      <c r="A152" t="s">
        <v>817</v>
      </c>
      <c r="B152">
        <v>51.46</v>
      </c>
      <c r="C152">
        <v>35.77</v>
      </c>
      <c r="D152">
        <v>110.88</v>
      </c>
      <c r="E152" s="2">
        <v>37224361706.7</v>
      </c>
      <c r="F152" t="s">
        <v>818</v>
      </c>
      <c r="H152" s="11">
        <f t="shared" si="8"/>
        <v>2.15468324912553</v>
      </c>
      <c r="I152" s="11"/>
      <c r="J152">
        <v>16.99</v>
      </c>
      <c r="K152" s="11">
        <v>14.5713</v>
      </c>
      <c r="L152">
        <v>76.9575</v>
      </c>
      <c r="M152">
        <v>50.5852</v>
      </c>
      <c r="Q152">
        <v>51.46</v>
      </c>
      <c r="R152" s="4">
        <f t="shared" si="9"/>
        <v>0</v>
      </c>
    </row>
    <row r="153" spans="1:18">
      <c r="A153" t="s">
        <v>292</v>
      </c>
      <c r="B153">
        <v>66.49</v>
      </c>
      <c r="C153">
        <v>33.75</v>
      </c>
      <c r="D153">
        <v>181.87</v>
      </c>
      <c r="E153" s="2">
        <v>35831040000</v>
      </c>
      <c r="F153" t="s">
        <v>293</v>
      </c>
      <c r="H153" s="11">
        <f t="shared" si="8"/>
        <v>2.73529854113401</v>
      </c>
      <c r="I153" s="11"/>
      <c r="J153">
        <v>21.59</v>
      </c>
      <c r="K153" s="11">
        <v>41.0352</v>
      </c>
      <c r="L153">
        <v>592.6844</v>
      </c>
      <c r="M153">
        <v>67.8233</v>
      </c>
      <c r="Q153">
        <v>66.49</v>
      </c>
      <c r="R153" s="4">
        <f t="shared" si="9"/>
        <v>0</v>
      </c>
    </row>
    <row r="154" spans="1:18">
      <c r="A154" t="s">
        <v>295</v>
      </c>
      <c r="B154">
        <v>40.77</v>
      </c>
      <c r="C154">
        <v>29.01</v>
      </c>
      <c r="D154">
        <v>102.84</v>
      </c>
      <c r="E154" s="2">
        <v>76380352542.4</v>
      </c>
      <c r="F154" t="s">
        <v>296</v>
      </c>
      <c r="H154" s="11">
        <f t="shared" si="8"/>
        <v>2.5224429727741</v>
      </c>
      <c r="I154" s="11"/>
      <c r="J154">
        <v>22.85</v>
      </c>
      <c r="K154" s="11">
        <v>29.6616</v>
      </c>
      <c r="L154">
        <v>460.8894</v>
      </c>
      <c r="M154">
        <v>48.3883</v>
      </c>
      <c r="Q154">
        <v>40.77</v>
      </c>
      <c r="R154" s="4">
        <f t="shared" si="9"/>
        <v>0</v>
      </c>
    </row>
    <row r="155" spans="1:18">
      <c r="A155" t="s">
        <v>747</v>
      </c>
      <c r="B155">
        <v>58.8</v>
      </c>
      <c r="C155">
        <v>28.22</v>
      </c>
      <c r="D155">
        <v>179.03</v>
      </c>
      <c r="E155" s="2">
        <v>109133691290.4</v>
      </c>
      <c r="F155" t="s">
        <v>748</v>
      </c>
      <c r="H155" s="11">
        <f t="shared" si="8"/>
        <v>3.04472789115646</v>
      </c>
      <c r="I155" s="11"/>
      <c r="J155">
        <v>30.52</v>
      </c>
      <c r="K155" s="11">
        <v>10.4446</v>
      </c>
      <c r="L155">
        <v>299.7935</v>
      </c>
      <c r="M155">
        <v>208.6981</v>
      </c>
      <c r="Q155">
        <v>58.8</v>
      </c>
      <c r="R155" s="4">
        <f t="shared" si="9"/>
        <v>0</v>
      </c>
    </row>
    <row r="156" spans="1:18">
      <c r="A156" t="s">
        <v>779</v>
      </c>
      <c r="B156">
        <v>12.93</v>
      </c>
      <c r="C156">
        <v>11.5</v>
      </c>
      <c r="D156">
        <v>45.8</v>
      </c>
      <c r="E156" s="2">
        <v>4189280480</v>
      </c>
      <c r="F156" t="s">
        <v>780</v>
      </c>
      <c r="H156" s="11">
        <f t="shared" si="8"/>
        <v>3.54215003866976</v>
      </c>
      <c r="I156" s="11"/>
      <c r="J156">
        <v>4.08</v>
      </c>
      <c r="K156" s="11">
        <v>6.9864</v>
      </c>
      <c r="L156">
        <v>67.4774</v>
      </c>
      <c r="M156">
        <v>175.9323</v>
      </c>
      <c r="Q156">
        <v>12.93</v>
      </c>
      <c r="R156" s="4">
        <f t="shared" si="9"/>
        <v>0</v>
      </c>
    </row>
    <row r="157" spans="1:18">
      <c r="A157" t="s">
        <v>226</v>
      </c>
      <c r="B157">
        <v>22.4</v>
      </c>
      <c r="C157">
        <v>17.6</v>
      </c>
      <c r="D157">
        <v>51.06</v>
      </c>
      <c r="E157" s="2">
        <v>34088530003.08</v>
      </c>
      <c r="F157" t="s">
        <v>227</v>
      </c>
      <c r="H157" s="11">
        <f t="shared" si="8"/>
        <v>2.27946428571429</v>
      </c>
      <c r="I157" s="11"/>
      <c r="J157">
        <v>5.45</v>
      </c>
      <c r="K157" s="11">
        <v>24.1607</v>
      </c>
      <c r="L157">
        <v>103.5103</v>
      </c>
      <c r="M157">
        <v>107.8534</v>
      </c>
      <c r="Q157">
        <v>22.4</v>
      </c>
      <c r="R157" s="4">
        <f t="shared" si="9"/>
        <v>0</v>
      </c>
    </row>
    <row r="158" spans="1:18">
      <c r="A158" t="s">
        <v>190</v>
      </c>
      <c r="B158">
        <v>70.1</v>
      </c>
      <c r="C158">
        <v>51.2</v>
      </c>
      <c r="D158">
        <v>467.57</v>
      </c>
      <c r="E158" s="2">
        <v>17783009569.3</v>
      </c>
      <c r="F158" t="s">
        <v>191</v>
      </c>
      <c r="H158" s="11">
        <f t="shared" si="8"/>
        <v>6.67004279600571</v>
      </c>
      <c r="I158" s="11"/>
      <c r="J158">
        <v>44.72</v>
      </c>
      <c r="K158" s="11">
        <v>63.5255</v>
      </c>
      <c r="L158">
        <v>396.2578</v>
      </c>
      <c r="M158">
        <v>381.4087</v>
      </c>
      <c r="Q158">
        <v>70.1</v>
      </c>
      <c r="R158" s="4">
        <f t="shared" si="9"/>
        <v>0</v>
      </c>
    </row>
    <row r="159" spans="1:18">
      <c r="A159" t="s">
        <v>375</v>
      </c>
      <c r="B159">
        <v>95.83</v>
      </c>
      <c r="C159">
        <v>9.43</v>
      </c>
      <c r="D159">
        <v>327.01</v>
      </c>
      <c r="E159" s="2">
        <v>26348715611.89</v>
      </c>
      <c r="F159" t="s">
        <v>376</v>
      </c>
      <c r="H159" s="11">
        <f t="shared" si="8"/>
        <v>3.41239695293749</v>
      </c>
      <c r="I159" s="11"/>
      <c r="J159">
        <v>43.74</v>
      </c>
      <c r="K159" s="11">
        <v>60.8834</v>
      </c>
      <c r="L159">
        <v>627.0161</v>
      </c>
      <c r="M159">
        <v>1019.0567</v>
      </c>
      <c r="Q159">
        <v>95.83</v>
      </c>
      <c r="R159" s="4">
        <f t="shared" si="9"/>
        <v>0</v>
      </c>
    </row>
    <row r="160" spans="1:18">
      <c r="A160" t="s">
        <v>300</v>
      </c>
      <c r="B160">
        <v>2112.4</v>
      </c>
      <c r="C160">
        <v>1660.05</v>
      </c>
      <c r="D160">
        <v>4037.96</v>
      </c>
      <c r="E160">
        <v>0</v>
      </c>
      <c r="F160" t="s">
        <v>301</v>
      </c>
      <c r="H160" s="11">
        <f t="shared" si="8"/>
        <v>1.91155084264344</v>
      </c>
      <c r="I160" s="11"/>
      <c r="J160">
        <v>0</v>
      </c>
      <c r="K160" s="11"/>
      <c r="Q160">
        <v>2112.4</v>
      </c>
      <c r="R160" s="4">
        <f t="shared" si="9"/>
        <v>0</v>
      </c>
    </row>
    <row r="161" s="1" customFormat="1" spans="1:18">
      <c r="A161" t="s">
        <v>468</v>
      </c>
      <c r="B161">
        <v>3553.58</v>
      </c>
      <c r="C161">
        <v>3431.73</v>
      </c>
      <c r="D161">
        <v>6835.78</v>
      </c>
      <c r="E161">
        <v>0</v>
      </c>
      <c r="F161" t="s">
        <v>469</v>
      </c>
      <c r="G161"/>
      <c r="H161" s="11">
        <f t="shared" ref="H161:H196" si="10">D161/B161</f>
        <v>1.92363194299833</v>
      </c>
      <c r="I161" s="11"/>
      <c r="J161">
        <v>0</v>
      </c>
      <c r="K161" s="11"/>
      <c r="L161"/>
      <c r="M161"/>
      <c r="N161"/>
      <c r="O161"/>
      <c r="Q161">
        <v>3553.58</v>
      </c>
      <c r="R161" s="4">
        <f t="shared" ref="R161:R192" si="11">B161/Q161-1</f>
        <v>0</v>
      </c>
    </row>
    <row r="162" spans="1:18">
      <c r="A162" t="s">
        <v>599</v>
      </c>
      <c r="B162">
        <v>3.55</v>
      </c>
      <c r="C162">
        <v>2.15</v>
      </c>
      <c r="D162">
        <v>4.19</v>
      </c>
      <c r="E162" s="2">
        <v>126294828.4</v>
      </c>
      <c r="F162" t="s">
        <v>600</v>
      </c>
      <c r="H162" s="11">
        <f t="shared" si="10"/>
        <v>1.18028169014085</v>
      </c>
      <c r="I162" s="11"/>
      <c r="J162">
        <v>1.46</v>
      </c>
      <c r="K162" s="11">
        <v>3.53</v>
      </c>
      <c r="Q162">
        <v>3.55</v>
      </c>
      <c r="R162" s="4">
        <f t="shared" si="11"/>
        <v>0</v>
      </c>
    </row>
    <row r="163" spans="1:18">
      <c r="A163" t="s">
        <v>774</v>
      </c>
      <c r="B163">
        <v>9.26</v>
      </c>
      <c r="C163">
        <v>6.65</v>
      </c>
      <c r="D163">
        <v>14.83</v>
      </c>
      <c r="E163" s="2">
        <v>498059186.7</v>
      </c>
      <c r="F163" t="s">
        <v>775</v>
      </c>
      <c r="H163" s="11">
        <f t="shared" si="10"/>
        <v>1.60151187904968</v>
      </c>
      <c r="I163" s="11"/>
      <c r="J163">
        <v>2.61</v>
      </c>
      <c r="K163" s="11">
        <v>3.02</v>
      </c>
      <c r="L163">
        <v>24.96</v>
      </c>
      <c r="M163">
        <v>24.7297</v>
      </c>
      <c r="Q163">
        <v>9.26</v>
      </c>
      <c r="R163" s="4">
        <f t="shared" si="11"/>
        <v>0</v>
      </c>
    </row>
    <row r="164" spans="1:18">
      <c r="A164" t="s">
        <v>707</v>
      </c>
      <c r="B164">
        <v>1282.69</v>
      </c>
      <c r="C164">
        <v>973.19</v>
      </c>
      <c r="D164">
        <v>1626.5</v>
      </c>
      <c r="E164">
        <v>0</v>
      </c>
      <c r="F164" t="s">
        <v>708</v>
      </c>
      <c r="H164" s="11">
        <f t="shared" si="10"/>
        <v>1.26803826333721</v>
      </c>
      <c r="I164" s="11"/>
      <c r="J164">
        <v>0</v>
      </c>
      <c r="K164" s="11"/>
      <c r="Q164">
        <v>1282.69</v>
      </c>
      <c r="R164" s="4">
        <f t="shared" si="11"/>
        <v>0</v>
      </c>
    </row>
    <row r="165" spans="1:18">
      <c r="A165" t="s">
        <v>246</v>
      </c>
      <c r="B165">
        <v>0.49</v>
      </c>
      <c r="C165">
        <v>0.352</v>
      </c>
      <c r="D165">
        <v>4.9</v>
      </c>
      <c r="E165">
        <v>4085620</v>
      </c>
      <c r="F165" t="s">
        <v>247</v>
      </c>
      <c r="H165" s="11">
        <f t="shared" si="10"/>
        <v>10</v>
      </c>
      <c r="I165" s="11"/>
      <c r="J165">
        <v>0.02</v>
      </c>
      <c r="K165" s="11">
        <v>0.02</v>
      </c>
      <c r="Q165">
        <v>0.49</v>
      </c>
      <c r="R165" s="4">
        <f t="shared" si="11"/>
        <v>0</v>
      </c>
    </row>
    <row r="166" spans="1:18">
      <c r="A166" t="s">
        <v>753</v>
      </c>
      <c r="B166">
        <v>12.5</v>
      </c>
      <c r="C166">
        <v>11.1</v>
      </c>
      <c r="D166">
        <v>20.85</v>
      </c>
      <c r="E166" s="2">
        <v>1292279434.2</v>
      </c>
      <c r="F166" t="s">
        <v>754</v>
      </c>
      <c r="H166" s="11">
        <f t="shared" si="10"/>
        <v>1.668</v>
      </c>
      <c r="I166" s="11"/>
      <c r="J166">
        <v>2.18</v>
      </c>
      <c r="K166" s="11">
        <v>1.15</v>
      </c>
      <c r="Q166">
        <v>12.5</v>
      </c>
      <c r="R166" s="4">
        <f t="shared" si="11"/>
        <v>0</v>
      </c>
    </row>
    <row r="167" spans="1:18">
      <c r="A167" t="s">
        <v>70</v>
      </c>
      <c r="B167">
        <v>0</v>
      </c>
      <c r="C167">
        <v>0</v>
      </c>
      <c r="D167">
        <v>0</v>
      </c>
      <c r="E167">
        <v>0</v>
      </c>
      <c r="F167" t="s">
        <v>71</v>
      </c>
      <c r="H167" s="11" t="e">
        <f t="shared" si="10"/>
        <v>#DIV/0!</v>
      </c>
      <c r="I167" s="11"/>
      <c r="J167">
        <v>0</v>
      </c>
      <c r="K167" s="11" t="s">
        <v>45</v>
      </c>
      <c r="Q167">
        <v>0</v>
      </c>
      <c r="R167" s="4" t="e">
        <f t="shared" si="11"/>
        <v>#DIV/0!</v>
      </c>
    </row>
    <row r="168" spans="1:18">
      <c r="A168" t="s">
        <v>637</v>
      </c>
      <c r="B168">
        <v>9.07</v>
      </c>
      <c r="C168">
        <v>7.15</v>
      </c>
      <c r="D168">
        <v>13.33</v>
      </c>
      <c r="E168" s="2">
        <v>874256446.83</v>
      </c>
      <c r="F168" t="s">
        <v>638</v>
      </c>
      <c r="H168" s="11">
        <f t="shared" si="10"/>
        <v>1.4696802646086</v>
      </c>
      <c r="I168" s="11"/>
      <c r="J168">
        <v>0.79</v>
      </c>
      <c r="K168" s="11">
        <v>0.28</v>
      </c>
      <c r="L168">
        <v>11.29</v>
      </c>
      <c r="M168">
        <v>20.1915</v>
      </c>
      <c r="Q168">
        <v>9.07</v>
      </c>
      <c r="R168" s="4">
        <f t="shared" si="11"/>
        <v>0</v>
      </c>
    </row>
    <row r="169" spans="1:18">
      <c r="A169" t="s">
        <v>35</v>
      </c>
      <c r="B169">
        <v>7.51</v>
      </c>
      <c r="C169">
        <v>6.44</v>
      </c>
      <c r="D169">
        <v>53.6</v>
      </c>
      <c r="E169" s="2">
        <v>1030000000</v>
      </c>
      <c r="F169" t="s">
        <v>36</v>
      </c>
      <c r="H169" s="11">
        <f t="shared" si="10"/>
        <v>7.13715046604527</v>
      </c>
      <c r="I169" s="11"/>
      <c r="J169" t="s">
        <v>37</v>
      </c>
      <c r="K169" s="11">
        <v>0</v>
      </c>
      <c r="L169">
        <v>3.6</v>
      </c>
      <c r="Q169">
        <v>7.51</v>
      </c>
      <c r="R169" s="4">
        <f t="shared" si="11"/>
        <v>0</v>
      </c>
    </row>
    <row r="170" spans="1:18">
      <c r="A170" t="s">
        <v>5</v>
      </c>
      <c r="B170">
        <v>8.56</v>
      </c>
      <c r="C170">
        <v>7.92</v>
      </c>
      <c r="D170">
        <v>21.5</v>
      </c>
      <c r="E170" s="2">
        <v>2770000000</v>
      </c>
      <c r="F170" t="s">
        <v>6</v>
      </c>
      <c r="H170" s="11">
        <f t="shared" si="10"/>
        <v>2.51168224299065</v>
      </c>
      <c r="I170" s="11"/>
      <c r="J170">
        <v>0</v>
      </c>
      <c r="K170" s="11"/>
      <c r="Q170">
        <v>8.56</v>
      </c>
      <c r="R170" s="4">
        <f t="shared" si="11"/>
        <v>0</v>
      </c>
    </row>
    <row r="171" spans="1:18">
      <c r="A171" t="s">
        <v>407</v>
      </c>
      <c r="B171">
        <v>25.72</v>
      </c>
      <c r="C171">
        <v>24.2</v>
      </c>
      <c r="D171">
        <v>26.5</v>
      </c>
      <c r="E171" s="2">
        <v>1390000000</v>
      </c>
      <c r="F171" t="s">
        <v>408</v>
      </c>
      <c r="H171" s="11">
        <f t="shared" si="10"/>
        <v>1.0303265940902</v>
      </c>
      <c r="I171" s="11"/>
      <c r="J171" t="s">
        <v>409</v>
      </c>
      <c r="K171" s="11">
        <v>0</v>
      </c>
      <c r="Q171">
        <v>25.72</v>
      </c>
      <c r="R171" s="4">
        <f t="shared" si="11"/>
        <v>0</v>
      </c>
    </row>
    <row r="172" spans="1:18">
      <c r="A172" t="s">
        <v>443</v>
      </c>
      <c r="B172">
        <v>50.34</v>
      </c>
      <c r="C172">
        <v>23.83</v>
      </c>
      <c r="D172">
        <v>166.6</v>
      </c>
      <c r="E172" s="2">
        <v>536850000</v>
      </c>
      <c r="F172" t="s">
        <v>444</v>
      </c>
      <c r="H172" s="11">
        <f t="shared" si="10"/>
        <v>3.30949543106873</v>
      </c>
      <c r="I172" s="11"/>
      <c r="J172" t="s">
        <v>445</v>
      </c>
      <c r="K172" s="11" t="s">
        <v>446</v>
      </c>
      <c r="L172" t="s">
        <v>447</v>
      </c>
      <c r="M172" t="s">
        <v>448</v>
      </c>
      <c r="N172">
        <v>0</v>
      </c>
      <c r="Q172">
        <v>50.34</v>
      </c>
      <c r="R172" s="4">
        <f t="shared" si="11"/>
        <v>0</v>
      </c>
    </row>
    <row r="173" spans="1:18">
      <c r="A173" t="s">
        <v>724</v>
      </c>
      <c r="B173">
        <v>13.43</v>
      </c>
      <c r="C173">
        <v>5.6</v>
      </c>
      <c r="D173">
        <v>16.49</v>
      </c>
      <c r="E173" s="2">
        <v>346363111.22</v>
      </c>
      <c r="F173" t="s">
        <v>725</v>
      </c>
      <c r="H173" s="11">
        <f t="shared" si="10"/>
        <v>1.22784810126582</v>
      </c>
      <c r="I173" s="11"/>
      <c r="J173">
        <v>3.37</v>
      </c>
      <c r="K173" s="11">
        <v>41.3</v>
      </c>
      <c r="L173">
        <v>58.3913</v>
      </c>
      <c r="Q173">
        <v>13.43</v>
      </c>
      <c r="R173" s="4">
        <f t="shared" si="11"/>
        <v>0</v>
      </c>
    </row>
    <row r="174" spans="1:18">
      <c r="A174" t="s">
        <v>794</v>
      </c>
      <c r="B174">
        <v>13.76</v>
      </c>
      <c r="C174">
        <v>12.02</v>
      </c>
      <c r="D174">
        <v>30.72</v>
      </c>
      <c r="E174" s="2">
        <v>8044111626</v>
      </c>
      <c r="F174" t="s">
        <v>795</v>
      </c>
      <c r="H174" s="11">
        <f t="shared" si="10"/>
        <v>2.23255813953488</v>
      </c>
      <c r="I174" s="11"/>
      <c r="J174">
        <v>13.97</v>
      </c>
      <c r="K174" s="11">
        <v>1.48</v>
      </c>
      <c r="L174">
        <v>76.53</v>
      </c>
      <c r="M174">
        <v>36.3947</v>
      </c>
      <c r="Q174">
        <v>13.76</v>
      </c>
      <c r="R174" s="4">
        <f t="shared" si="11"/>
        <v>0</v>
      </c>
    </row>
    <row r="175" spans="1:18">
      <c r="A175" t="s">
        <v>627</v>
      </c>
      <c r="B175">
        <v>8.9</v>
      </c>
      <c r="C175">
        <v>7.34</v>
      </c>
      <c r="D175">
        <v>19.87</v>
      </c>
      <c r="E175" s="2">
        <v>44626938.18</v>
      </c>
      <c r="F175" t="s">
        <v>628</v>
      </c>
      <c r="H175" s="11">
        <f t="shared" si="10"/>
        <v>2.23258426966292</v>
      </c>
      <c r="I175" s="11"/>
      <c r="J175">
        <v>-2.2</v>
      </c>
      <c r="K175" s="11">
        <v>0.55</v>
      </c>
      <c r="Q175">
        <v>8.9</v>
      </c>
      <c r="R175" s="4">
        <f t="shared" si="11"/>
        <v>0</v>
      </c>
    </row>
    <row r="176" spans="1:18">
      <c r="A176" t="s">
        <v>629</v>
      </c>
      <c r="B176">
        <v>19.13</v>
      </c>
      <c r="C176">
        <v>15.03</v>
      </c>
      <c r="D176">
        <v>22.86</v>
      </c>
      <c r="E176" s="2">
        <v>1661549993.64</v>
      </c>
      <c r="F176" t="s">
        <v>630</v>
      </c>
      <c r="H176" s="11">
        <f t="shared" si="10"/>
        <v>1.19498170412964</v>
      </c>
      <c r="I176" s="11"/>
      <c r="J176">
        <v>2.68</v>
      </c>
      <c r="K176" s="11">
        <v>3.13</v>
      </c>
      <c r="Q176">
        <v>19.13</v>
      </c>
      <c r="R176" s="4">
        <f t="shared" si="11"/>
        <v>0</v>
      </c>
    </row>
    <row r="177" spans="1:18">
      <c r="A177" t="s">
        <v>419</v>
      </c>
      <c r="B177">
        <v>27.29</v>
      </c>
      <c r="C177">
        <v>15.48</v>
      </c>
      <c r="D177">
        <v>37.35</v>
      </c>
      <c r="E177" s="2">
        <v>1090000000</v>
      </c>
      <c r="F177" t="s">
        <v>420</v>
      </c>
      <c r="H177" s="11">
        <f t="shared" si="10"/>
        <v>1.36863319897398</v>
      </c>
      <c r="I177" s="11"/>
      <c r="J177" t="s">
        <v>333</v>
      </c>
      <c r="K177" s="11">
        <v>0</v>
      </c>
      <c r="Q177">
        <v>27.29</v>
      </c>
      <c r="R177" s="4">
        <f t="shared" si="11"/>
        <v>0</v>
      </c>
    </row>
    <row r="178" spans="1:18">
      <c r="A178" t="s">
        <v>758</v>
      </c>
      <c r="B178">
        <v>15.84</v>
      </c>
      <c r="C178">
        <v>8.78</v>
      </c>
      <c r="D178">
        <v>20.7</v>
      </c>
      <c r="E178" s="2">
        <v>3301296714.93</v>
      </c>
      <c r="F178" t="s">
        <v>759</v>
      </c>
      <c r="H178" s="11">
        <f t="shared" si="10"/>
        <v>1.30681818181818</v>
      </c>
      <c r="I178" s="11"/>
      <c r="J178">
        <v>5.69</v>
      </c>
      <c r="K178" s="11">
        <v>7.56</v>
      </c>
      <c r="L178">
        <v>162.1</v>
      </c>
      <c r="Q178">
        <v>15.84</v>
      </c>
      <c r="R178" s="4">
        <f t="shared" si="11"/>
        <v>0</v>
      </c>
    </row>
    <row r="179" spans="1:18">
      <c r="A179" t="s">
        <v>786</v>
      </c>
      <c r="B179">
        <v>18.87</v>
      </c>
      <c r="C179">
        <v>7.31</v>
      </c>
      <c r="D179">
        <v>30.67</v>
      </c>
      <c r="E179" s="2">
        <v>805621293.09</v>
      </c>
      <c r="F179" t="s">
        <v>787</v>
      </c>
      <c r="H179" s="11">
        <f t="shared" si="10"/>
        <v>1.62533121356651</v>
      </c>
      <c r="I179" s="11"/>
      <c r="J179">
        <v>2.91</v>
      </c>
      <c r="K179" s="11">
        <v>21.2</v>
      </c>
      <c r="L179">
        <v>47.4633</v>
      </c>
      <c r="Q179">
        <v>18.87</v>
      </c>
      <c r="R179" s="4">
        <f t="shared" si="11"/>
        <v>0</v>
      </c>
    </row>
    <row r="180" spans="1:18">
      <c r="A180" t="s">
        <v>741</v>
      </c>
      <c r="B180">
        <v>29.09</v>
      </c>
      <c r="C180">
        <v>28.25</v>
      </c>
      <c r="D180">
        <v>57.57</v>
      </c>
      <c r="E180" s="2">
        <v>10381372560</v>
      </c>
      <c r="F180" t="s">
        <v>742</v>
      </c>
      <c r="H180" s="11">
        <f t="shared" si="10"/>
        <v>1.97903059470608</v>
      </c>
      <c r="I180" s="11"/>
      <c r="J180" t="s">
        <v>743</v>
      </c>
      <c r="K180" s="11">
        <v>2.82</v>
      </c>
      <c r="L180">
        <v>0.65</v>
      </c>
      <c r="M180">
        <v>31.12</v>
      </c>
      <c r="N180">
        <v>20.5541</v>
      </c>
      <c r="Q180">
        <v>29.09</v>
      </c>
      <c r="R180" s="4">
        <f t="shared" si="11"/>
        <v>0</v>
      </c>
    </row>
    <row r="181" spans="1:18">
      <c r="A181" t="s">
        <v>722</v>
      </c>
      <c r="B181">
        <v>55.57</v>
      </c>
      <c r="C181">
        <v>37.15</v>
      </c>
      <c r="D181">
        <v>83.71</v>
      </c>
      <c r="E181" s="2">
        <v>7854841259.72</v>
      </c>
      <c r="F181" t="s">
        <v>723</v>
      </c>
      <c r="H181" s="11">
        <f t="shared" si="10"/>
        <v>1.50638833903185</v>
      </c>
      <c r="I181" s="11"/>
      <c r="J181">
        <v>2.8</v>
      </c>
      <c r="K181" s="11">
        <v>14.33</v>
      </c>
      <c r="L181">
        <v>344.36</v>
      </c>
      <c r="Q181">
        <v>55.57</v>
      </c>
      <c r="R181" s="4">
        <f t="shared" si="11"/>
        <v>0</v>
      </c>
    </row>
    <row r="182" spans="1:18">
      <c r="A182" t="s">
        <v>402</v>
      </c>
      <c r="B182">
        <v>12.37</v>
      </c>
      <c r="C182">
        <v>11.38</v>
      </c>
      <c r="D182">
        <v>30.09</v>
      </c>
      <c r="E182" s="2">
        <v>385160000</v>
      </c>
      <c r="F182" t="s">
        <v>403</v>
      </c>
      <c r="H182" s="11">
        <f t="shared" si="10"/>
        <v>2.43249797898141</v>
      </c>
      <c r="I182" s="11"/>
      <c r="J182">
        <v>0</v>
      </c>
      <c r="K182" s="11"/>
      <c r="Q182">
        <v>12.37</v>
      </c>
      <c r="R182" s="4">
        <f t="shared" si="11"/>
        <v>0</v>
      </c>
    </row>
    <row r="183" spans="1:18">
      <c r="A183" t="s">
        <v>744</v>
      </c>
      <c r="B183">
        <v>6.28</v>
      </c>
      <c r="C183">
        <v>5.93</v>
      </c>
      <c r="D183">
        <v>14.34</v>
      </c>
      <c r="E183" s="2">
        <v>434075803.43</v>
      </c>
      <c r="F183" t="s">
        <v>745</v>
      </c>
      <c r="H183" s="11">
        <f t="shared" si="10"/>
        <v>2.28343949044586</v>
      </c>
      <c r="I183" s="11"/>
      <c r="J183">
        <v>0.96</v>
      </c>
      <c r="K183" s="11">
        <v>2.73</v>
      </c>
      <c r="L183">
        <v>63.92</v>
      </c>
      <c r="Q183">
        <v>6.28</v>
      </c>
      <c r="R183" s="4">
        <f t="shared" si="11"/>
        <v>0</v>
      </c>
    </row>
    <row r="184" spans="1:18">
      <c r="A184" t="s">
        <v>331</v>
      </c>
      <c r="B184">
        <v>25.42</v>
      </c>
      <c r="C184">
        <v>22.06</v>
      </c>
      <c r="D184">
        <v>56.18</v>
      </c>
      <c r="E184" s="2">
        <v>1800000000</v>
      </c>
      <c r="F184" t="s">
        <v>332</v>
      </c>
      <c r="H184" s="11">
        <f t="shared" si="10"/>
        <v>2.21007081038552</v>
      </c>
      <c r="I184" s="11"/>
      <c r="J184" t="s">
        <v>333</v>
      </c>
      <c r="K184" s="11">
        <v>0</v>
      </c>
      <c r="Q184">
        <v>25.42</v>
      </c>
      <c r="R184" s="4">
        <f t="shared" si="11"/>
        <v>0</v>
      </c>
    </row>
    <row r="185" spans="1:18">
      <c r="A185" t="s">
        <v>751</v>
      </c>
      <c r="B185">
        <v>43.93</v>
      </c>
      <c r="C185">
        <v>26.48</v>
      </c>
      <c r="D185">
        <v>48.84</v>
      </c>
      <c r="E185" s="2">
        <v>3516213272</v>
      </c>
      <c r="F185" t="s">
        <v>752</v>
      </c>
      <c r="H185" s="11">
        <f t="shared" si="10"/>
        <v>1.11176872296836</v>
      </c>
      <c r="I185" s="11"/>
      <c r="J185">
        <v>8.66</v>
      </c>
      <c r="K185" s="11">
        <v>6.69</v>
      </c>
      <c r="L185">
        <v>30.37</v>
      </c>
      <c r="M185">
        <v>35.2</v>
      </c>
      <c r="Q185">
        <v>43.93</v>
      </c>
      <c r="R185" s="4">
        <f t="shared" si="11"/>
        <v>0</v>
      </c>
    </row>
    <row r="186" spans="1:18">
      <c r="A186" t="s">
        <v>609</v>
      </c>
      <c r="B186">
        <v>5.32</v>
      </c>
      <c r="C186">
        <v>2.12</v>
      </c>
      <c r="D186">
        <v>5.45</v>
      </c>
      <c r="E186" s="2">
        <v>334077388.56</v>
      </c>
      <c r="F186" t="s">
        <v>610</v>
      </c>
      <c r="H186" s="11">
        <f t="shared" si="10"/>
        <v>1.02443609022556</v>
      </c>
      <c r="I186" s="11"/>
      <c r="J186">
        <v>2.93</v>
      </c>
      <c r="K186" s="11">
        <v>0.96</v>
      </c>
      <c r="L186">
        <v>42</v>
      </c>
      <c r="Q186">
        <v>5.32</v>
      </c>
      <c r="R186" s="4">
        <f t="shared" si="11"/>
        <v>0</v>
      </c>
    </row>
    <row r="187" spans="1:18">
      <c r="A187" t="s">
        <v>397</v>
      </c>
      <c r="B187">
        <v>159.45</v>
      </c>
      <c r="C187">
        <v>48.8</v>
      </c>
      <c r="D187">
        <v>172.2</v>
      </c>
      <c r="E187" s="2">
        <v>10950000</v>
      </c>
      <c r="F187" t="s">
        <v>398</v>
      </c>
      <c r="H187" s="11">
        <f t="shared" si="10"/>
        <v>1.07996237064911</v>
      </c>
      <c r="I187" s="11"/>
      <c r="J187" t="s">
        <v>399</v>
      </c>
      <c r="K187" s="11" t="s">
        <v>400</v>
      </c>
      <c r="L187" t="s">
        <v>401</v>
      </c>
      <c r="M187">
        <v>0</v>
      </c>
      <c r="Q187">
        <v>159.45</v>
      </c>
      <c r="R187" s="4">
        <f t="shared" si="11"/>
        <v>0</v>
      </c>
    </row>
    <row r="188" spans="1:18">
      <c r="A188" t="s">
        <v>737</v>
      </c>
      <c r="B188">
        <v>20.98</v>
      </c>
      <c r="C188">
        <v>18.94</v>
      </c>
      <c r="D188">
        <v>57.7</v>
      </c>
      <c r="E188" s="2">
        <v>1640111233.41</v>
      </c>
      <c r="F188" t="s">
        <v>738</v>
      </c>
      <c r="H188" s="11">
        <f t="shared" si="10"/>
        <v>2.75023832221163</v>
      </c>
      <c r="I188" s="11"/>
      <c r="J188">
        <v>2.35</v>
      </c>
      <c r="K188" s="11">
        <v>3.13</v>
      </c>
      <c r="L188">
        <v>225.55</v>
      </c>
      <c r="M188">
        <v>80.4815</v>
      </c>
      <c r="Q188">
        <v>20.98</v>
      </c>
      <c r="R188" s="4">
        <f t="shared" si="11"/>
        <v>0</v>
      </c>
    </row>
    <row r="189" spans="1:18">
      <c r="A189" t="s">
        <v>658</v>
      </c>
      <c r="B189">
        <v>4.04</v>
      </c>
      <c r="C189">
        <v>2.93</v>
      </c>
      <c r="D189">
        <v>24.7</v>
      </c>
      <c r="E189" s="2">
        <v>82702515.35</v>
      </c>
      <c r="F189" t="s">
        <v>659</v>
      </c>
      <c r="H189" s="11">
        <f t="shared" si="10"/>
        <v>6.11386138613861</v>
      </c>
      <c r="I189" s="11"/>
      <c r="J189">
        <v>-0.12</v>
      </c>
      <c r="K189" s="11">
        <v>0.04</v>
      </c>
      <c r="Q189">
        <v>4.04</v>
      </c>
      <c r="R189" s="4">
        <f t="shared" si="11"/>
        <v>0</v>
      </c>
    </row>
    <row r="190" spans="1:18">
      <c r="A190" t="s">
        <v>739</v>
      </c>
      <c r="B190">
        <v>29.31</v>
      </c>
      <c r="C190">
        <v>27.2</v>
      </c>
      <c r="D190">
        <v>50.32</v>
      </c>
      <c r="E190" s="2">
        <v>28094565534</v>
      </c>
      <c r="F190" t="s">
        <v>740</v>
      </c>
      <c r="H190" s="11">
        <f t="shared" si="10"/>
        <v>1.71682019788468</v>
      </c>
      <c r="I190" s="11"/>
      <c r="J190">
        <v>0.99</v>
      </c>
      <c r="K190" s="11">
        <v>5.59</v>
      </c>
      <c r="L190">
        <v>47.71</v>
      </c>
      <c r="M190">
        <v>119</v>
      </c>
      <c r="Q190">
        <v>29.31</v>
      </c>
      <c r="R190" s="4">
        <f t="shared" si="11"/>
        <v>0</v>
      </c>
    </row>
    <row r="191" spans="1:18">
      <c r="A191" t="s">
        <v>798</v>
      </c>
      <c r="B191">
        <v>27.16</v>
      </c>
      <c r="C191">
        <v>11.85</v>
      </c>
      <c r="D191">
        <v>31.5</v>
      </c>
      <c r="E191" s="2">
        <v>5325759913.04</v>
      </c>
      <c r="F191" t="s">
        <v>799</v>
      </c>
      <c r="H191" s="11">
        <f t="shared" si="10"/>
        <v>1.15979381443299</v>
      </c>
      <c r="I191" s="11"/>
      <c r="J191">
        <v>2.6</v>
      </c>
      <c r="K191" s="11">
        <v>5.94</v>
      </c>
      <c r="Q191">
        <v>27.16</v>
      </c>
      <c r="R191" s="4">
        <f t="shared" si="11"/>
        <v>0</v>
      </c>
    </row>
    <row r="192" spans="1:18">
      <c r="A192" t="s">
        <v>212</v>
      </c>
      <c r="B192">
        <v>7</v>
      </c>
      <c r="C192">
        <v>6.34</v>
      </c>
      <c r="D192">
        <v>10.39</v>
      </c>
      <c r="E192" s="2">
        <v>353500000</v>
      </c>
      <c r="F192" t="s">
        <v>213</v>
      </c>
      <c r="H192" s="11">
        <f t="shared" si="10"/>
        <v>1.48428571428571</v>
      </c>
      <c r="I192" s="11"/>
      <c r="J192">
        <v>5.4</v>
      </c>
      <c r="K192" s="11">
        <v>2.23</v>
      </c>
      <c r="L192">
        <v>9.5027</v>
      </c>
      <c r="Q192">
        <v>7</v>
      </c>
      <c r="R192" s="4">
        <f t="shared" si="11"/>
        <v>0</v>
      </c>
    </row>
    <row r="193" spans="1:18">
      <c r="A193" t="s">
        <v>703</v>
      </c>
      <c r="B193">
        <v>59</v>
      </c>
      <c r="C193">
        <v>50.52</v>
      </c>
      <c r="D193">
        <v>81.7</v>
      </c>
      <c r="E193" s="2">
        <v>3363172413.42</v>
      </c>
      <c r="F193" t="s">
        <v>704</v>
      </c>
      <c r="H193" s="11">
        <f t="shared" si="10"/>
        <v>1.38474576271186</v>
      </c>
      <c r="I193" s="11"/>
      <c r="J193">
        <v>7.58</v>
      </c>
      <c r="K193" s="11">
        <v>4.12</v>
      </c>
      <c r="L193">
        <v>43.9394</v>
      </c>
      <c r="M193">
        <v>19.9128</v>
      </c>
      <c r="Q193">
        <v>59</v>
      </c>
      <c r="R193" s="4">
        <f t="shared" ref="R193:R196" si="12">B193/Q193-1</f>
        <v>0</v>
      </c>
    </row>
    <row r="194" spans="1:18">
      <c r="A194" t="s">
        <v>573</v>
      </c>
      <c r="B194">
        <v>1.4</v>
      </c>
      <c r="C194">
        <v>1.23</v>
      </c>
      <c r="D194">
        <v>4.96</v>
      </c>
      <c r="E194" s="2">
        <v>38946639.2</v>
      </c>
      <c r="F194" t="s">
        <v>574</v>
      </c>
      <c r="H194" s="11">
        <f t="shared" si="10"/>
        <v>3.54285714285714</v>
      </c>
      <c r="I194" s="11"/>
      <c r="J194">
        <v>0.04</v>
      </c>
      <c r="K194" s="11">
        <v>1.3898</v>
      </c>
      <c r="L194">
        <v>0.8642</v>
      </c>
      <c r="Q194">
        <v>1.4</v>
      </c>
      <c r="R194" s="4">
        <f t="shared" si="12"/>
        <v>0</v>
      </c>
    </row>
    <row r="195" spans="1:18">
      <c r="A195" t="s">
        <v>152</v>
      </c>
      <c r="B195">
        <v>0.65</v>
      </c>
      <c r="C195">
        <v>0.551</v>
      </c>
      <c r="D195">
        <v>1.4599</v>
      </c>
      <c r="E195" s="2">
        <v>34846875</v>
      </c>
      <c r="F195" t="s">
        <v>153</v>
      </c>
      <c r="H195" s="11">
        <f t="shared" si="10"/>
        <v>2.246</v>
      </c>
      <c r="I195" s="11"/>
      <c r="J195">
        <v>0.09</v>
      </c>
      <c r="K195" s="11">
        <v>0.084</v>
      </c>
      <c r="L195">
        <v>0.934</v>
      </c>
      <c r="M195">
        <v>7.5</v>
      </c>
      <c r="Q195">
        <v>0.65</v>
      </c>
      <c r="R195" s="4">
        <f t="shared" si="12"/>
        <v>0</v>
      </c>
    </row>
    <row r="196" spans="1:18">
      <c r="A196" t="b">
        <v>1</v>
      </c>
      <c r="B196">
        <v>6.19</v>
      </c>
      <c r="C196">
        <v>4.01</v>
      </c>
      <c r="D196">
        <v>21</v>
      </c>
      <c r="E196" s="2">
        <v>532500976.28</v>
      </c>
      <c r="F196" t="s">
        <v>734</v>
      </c>
      <c r="H196" s="11">
        <f t="shared" si="10"/>
        <v>3.39256865912762</v>
      </c>
      <c r="I196" s="11"/>
      <c r="J196">
        <v>2.19</v>
      </c>
      <c r="K196" s="11">
        <v>2.03</v>
      </c>
      <c r="Q196">
        <v>6.19</v>
      </c>
      <c r="R196" s="4">
        <f t="shared" si="12"/>
        <v>0</v>
      </c>
    </row>
  </sheetData>
  <pageMargins left="0.699305555555556" right="0.699305555555556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R410"/>
  <sheetViews>
    <sheetView workbookViewId="0">
      <pane ySplit="1" topLeftCell="A387" activePane="bottomLeft" state="frozen"/>
      <selection/>
      <selection pane="bottomLeft" activeCell="F409" sqref="F409"/>
    </sheetView>
  </sheetViews>
  <sheetFormatPr defaultColWidth="9" defaultRowHeight="13.5"/>
  <cols>
    <col min="1" max="1" width="13.875" customWidth="1"/>
    <col min="2" max="2" width="15.125" customWidth="1"/>
    <col min="3" max="3" width="11.125" customWidth="1"/>
    <col min="4" max="4" width="9.5" customWidth="1"/>
    <col min="5" max="5" width="11.625" customWidth="1"/>
    <col min="6" max="6" width="33" customWidth="1"/>
    <col min="7" max="8" width="17.125" style="11" customWidth="1"/>
    <col min="9" max="9" width="13" style="11" customWidth="1"/>
    <col min="10" max="10" width="15.5" customWidth="1"/>
    <col min="11" max="11" width="11.25" customWidth="1"/>
    <col min="12" max="12" width="14" hidden="1" customWidth="1"/>
    <col min="13" max="13" width="13.75" hidden="1" customWidth="1"/>
    <col min="14" max="14" width="9.5" hidden="1" customWidth="1"/>
    <col min="15" max="15" width="5.5" hidden="1" customWidth="1"/>
    <col min="16" max="16" width="11.5" customWidth="1"/>
    <col min="17" max="17" width="15.125" customWidth="1"/>
    <col min="18" max="18" width="9.5" customWidth="1"/>
  </cols>
  <sheetData>
    <row r="1" s="10" customFormat="1" spans="1:18">
      <c r="A1" s="10" t="s">
        <v>0</v>
      </c>
      <c r="B1" s="10" t="s">
        <v>829</v>
      </c>
      <c r="C1" s="10" t="s">
        <v>2</v>
      </c>
      <c r="D1" s="10" t="s">
        <v>3</v>
      </c>
      <c r="E1" s="10" t="s">
        <v>4</v>
      </c>
      <c r="F1" s="10" t="s">
        <v>830</v>
      </c>
      <c r="G1" s="12" t="s">
        <v>831</v>
      </c>
      <c r="H1" s="12" t="s">
        <v>832</v>
      </c>
      <c r="I1" s="12" t="s">
        <v>833</v>
      </c>
      <c r="J1" s="10" t="s">
        <v>834</v>
      </c>
      <c r="K1" s="10" t="s">
        <v>835</v>
      </c>
      <c r="L1" s="10" t="s">
        <v>836</v>
      </c>
      <c r="M1" s="10" t="s">
        <v>837</v>
      </c>
      <c r="Q1" s="10" t="s">
        <v>1</v>
      </c>
      <c r="R1" s="10" t="s">
        <v>1432</v>
      </c>
    </row>
    <row r="2" s="4" customFormat="1" spans="1:18">
      <c r="A2" s="4">
        <v>736</v>
      </c>
      <c r="B2" s="4">
        <v>0.335</v>
      </c>
      <c r="C2" s="4">
        <v>0.075</v>
      </c>
      <c r="D2" s="4">
        <v>3.85</v>
      </c>
      <c r="E2" s="13">
        <v>83550413.07</v>
      </c>
      <c r="F2" s="4" t="s">
        <v>320</v>
      </c>
      <c r="G2" s="14">
        <f t="shared" ref="G2:G65" si="0">1-C2/B2</f>
        <v>0.776119402985075</v>
      </c>
      <c r="H2" s="14">
        <f t="shared" ref="H2:H65" si="1">D2/B2</f>
        <v>11.4925373134328</v>
      </c>
      <c r="I2" s="14">
        <f t="shared" ref="I2:I65" si="2">H2/G2</f>
        <v>14.8076923076923</v>
      </c>
      <c r="J2" s="4">
        <v>0.1</v>
      </c>
      <c r="K2" s="4">
        <v>4.14963787171828</v>
      </c>
      <c r="Q2" s="4">
        <v>0.086</v>
      </c>
      <c r="R2" s="18">
        <f t="shared" ref="R2:R65" si="3">B2/Q2-1</f>
        <v>2.8953488372093</v>
      </c>
    </row>
    <row r="3" s="4" customFormat="1" spans="1:18">
      <c r="A3" s="4">
        <v>8282</v>
      </c>
      <c r="B3" s="4">
        <v>7.17</v>
      </c>
      <c r="C3" s="4">
        <v>2.5</v>
      </c>
      <c r="D3" s="4">
        <v>6.6</v>
      </c>
      <c r="E3" s="13">
        <v>1019200000</v>
      </c>
      <c r="F3" s="4" t="s">
        <v>31</v>
      </c>
      <c r="G3" s="14">
        <f t="shared" si="0"/>
        <v>0.651324965132496</v>
      </c>
      <c r="H3" s="14">
        <f t="shared" si="1"/>
        <v>0.920502092050209</v>
      </c>
      <c r="I3" s="17">
        <f t="shared" si="2"/>
        <v>1.41327623126338</v>
      </c>
      <c r="J3" s="4">
        <v>13.29</v>
      </c>
      <c r="K3" s="14">
        <v>144.67</v>
      </c>
      <c r="Q3" s="4">
        <v>3.9</v>
      </c>
      <c r="R3" s="18">
        <f t="shared" si="3"/>
        <v>0.838461538461539</v>
      </c>
    </row>
    <row r="4" s="4" customFormat="1" spans="1:18">
      <c r="A4" s="4">
        <v>365</v>
      </c>
      <c r="B4" s="4">
        <v>1.66</v>
      </c>
      <c r="C4" s="4">
        <v>0.35</v>
      </c>
      <c r="D4" s="4">
        <v>1.54</v>
      </c>
      <c r="E4" s="13">
        <v>666750000</v>
      </c>
      <c r="F4" s="4" t="s">
        <v>16</v>
      </c>
      <c r="G4" s="14">
        <f t="shared" si="0"/>
        <v>0.789156626506024</v>
      </c>
      <c r="H4" s="14">
        <f t="shared" si="1"/>
        <v>0.927710843373494</v>
      </c>
      <c r="I4" s="17">
        <f t="shared" si="2"/>
        <v>1.17557251908397</v>
      </c>
      <c r="J4" s="4">
        <v>1.98</v>
      </c>
      <c r="K4" s="4">
        <v>0.727251904025654</v>
      </c>
      <c r="L4" s="4">
        <v>219.5266</v>
      </c>
      <c r="M4" s="4">
        <v>220.833</v>
      </c>
      <c r="Q4" s="4">
        <v>1.06</v>
      </c>
      <c r="R4" s="18">
        <f t="shared" si="3"/>
        <v>0.566037735849056</v>
      </c>
    </row>
    <row r="5" s="4" customFormat="1" spans="1:18">
      <c r="A5" s="6">
        <v>1101</v>
      </c>
      <c r="B5" s="6">
        <v>0.23</v>
      </c>
      <c r="C5" s="6">
        <v>0.147</v>
      </c>
      <c r="D5" s="6">
        <v>1.78</v>
      </c>
      <c r="E5" s="15">
        <v>1672125460.39</v>
      </c>
      <c r="F5" s="6" t="s">
        <v>806</v>
      </c>
      <c r="G5" s="16">
        <f t="shared" si="0"/>
        <v>0.360869565217391</v>
      </c>
      <c r="H5" s="16">
        <f t="shared" si="1"/>
        <v>7.73913043478261</v>
      </c>
      <c r="I5" s="16">
        <f t="shared" si="2"/>
        <v>21.4457831325301</v>
      </c>
      <c r="J5" s="6">
        <v>82.05</v>
      </c>
      <c r="K5" s="6">
        <v>1.58126176063434</v>
      </c>
      <c r="L5" s="6"/>
      <c r="M5" s="6"/>
      <c r="N5" s="6"/>
      <c r="O5" s="6"/>
      <c r="P5" s="6"/>
      <c r="Q5" s="6">
        <v>0.153</v>
      </c>
      <c r="R5" s="19">
        <f t="shared" si="3"/>
        <v>0.503267973856209</v>
      </c>
    </row>
    <row r="6" s="4" customFormat="1" spans="1:18">
      <c r="A6" s="6">
        <v>1112</v>
      </c>
      <c r="B6" s="6">
        <v>22.7</v>
      </c>
      <c r="C6" s="6">
        <v>11.8</v>
      </c>
      <c r="D6" s="6">
        <v>42</v>
      </c>
      <c r="E6" s="15">
        <v>10950797803.88</v>
      </c>
      <c r="F6" s="6" t="s">
        <v>527</v>
      </c>
      <c r="G6" s="16">
        <f t="shared" si="0"/>
        <v>0.480176211453744</v>
      </c>
      <c r="H6" s="16">
        <f t="shared" si="1"/>
        <v>1.85022026431718</v>
      </c>
      <c r="I6" s="16">
        <f t="shared" si="2"/>
        <v>3.85321100917431</v>
      </c>
      <c r="J6" s="6">
        <v>3.1</v>
      </c>
      <c r="K6" s="6">
        <v>2.08463054506657</v>
      </c>
      <c r="L6" s="6">
        <v>10.1682</v>
      </c>
      <c r="M6" s="6">
        <v>9.721</v>
      </c>
      <c r="N6" s="6"/>
      <c r="O6" s="6"/>
      <c r="P6" s="6"/>
      <c r="Q6" s="6">
        <v>16.28</v>
      </c>
      <c r="R6" s="19">
        <f t="shared" si="3"/>
        <v>0.394348894348894</v>
      </c>
    </row>
    <row r="7" s="4" customFormat="1" spans="1:18">
      <c r="A7" s="6">
        <v>1831</v>
      </c>
      <c r="B7" s="6">
        <v>2.54</v>
      </c>
      <c r="C7" s="6">
        <v>0.41</v>
      </c>
      <c r="D7" s="6">
        <v>3.13</v>
      </c>
      <c r="E7" s="15">
        <v>1913190029.9</v>
      </c>
      <c r="F7" s="6" t="s">
        <v>155</v>
      </c>
      <c r="G7" s="16">
        <f t="shared" si="0"/>
        <v>0.838582677165354</v>
      </c>
      <c r="H7" s="16">
        <f t="shared" si="1"/>
        <v>1.23228346456693</v>
      </c>
      <c r="I7" s="16">
        <f t="shared" si="2"/>
        <v>1.46948356807512</v>
      </c>
      <c r="J7" s="6">
        <v>6.22</v>
      </c>
      <c r="K7" s="6">
        <v>14.6836409556113</v>
      </c>
      <c r="L7" s="6"/>
      <c r="M7" s="6"/>
      <c r="N7" s="6"/>
      <c r="O7" s="6"/>
      <c r="P7" s="6"/>
      <c r="Q7" s="6">
        <v>1.83</v>
      </c>
      <c r="R7" s="19">
        <f t="shared" si="3"/>
        <v>0.387978142076503</v>
      </c>
    </row>
    <row r="8" s="4" customFormat="1" spans="1:18">
      <c r="A8" s="4">
        <v>1568</v>
      </c>
      <c r="B8" s="4">
        <v>3.42</v>
      </c>
      <c r="C8" s="4">
        <v>1.47</v>
      </c>
      <c r="D8" s="4">
        <v>2.66</v>
      </c>
      <c r="E8" s="13">
        <v>5260000000</v>
      </c>
      <c r="F8" s="4" t="s">
        <v>29</v>
      </c>
      <c r="G8" s="14">
        <f t="shared" si="0"/>
        <v>0.570175438596491</v>
      </c>
      <c r="H8" s="14">
        <f t="shared" si="1"/>
        <v>0.777777777777778</v>
      </c>
      <c r="I8" s="17">
        <f t="shared" si="2"/>
        <v>1.36410256410256</v>
      </c>
      <c r="J8" s="4">
        <v>3.27</v>
      </c>
      <c r="K8" s="4">
        <v>22.39</v>
      </c>
      <c r="Q8" s="4">
        <v>2.49</v>
      </c>
      <c r="R8" s="18">
        <f t="shared" si="3"/>
        <v>0.373493975903614</v>
      </c>
    </row>
    <row r="9" s="4" customFormat="1" spans="1:18">
      <c r="A9" s="6">
        <v>299</v>
      </c>
      <c r="B9" s="6">
        <v>0.17</v>
      </c>
      <c r="C9" s="6">
        <v>0.11</v>
      </c>
      <c r="D9" s="6">
        <v>4.5</v>
      </c>
      <c r="E9" s="15">
        <v>1870483363.84</v>
      </c>
      <c r="F9" s="6" t="s">
        <v>367</v>
      </c>
      <c r="G9" s="16">
        <f t="shared" si="0"/>
        <v>0.352941176470588</v>
      </c>
      <c r="H9" s="16">
        <f t="shared" si="1"/>
        <v>26.4705882352941</v>
      </c>
      <c r="I9" s="16">
        <f t="shared" si="2"/>
        <v>75</v>
      </c>
      <c r="J9" s="6">
        <v>2.91</v>
      </c>
      <c r="K9" s="6">
        <v>0.296090677770067</v>
      </c>
      <c r="L9" s="6"/>
      <c r="M9" s="6"/>
      <c r="N9" s="6"/>
      <c r="O9" s="6"/>
      <c r="P9" s="6"/>
      <c r="Q9" s="6">
        <v>0.124</v>
      </c>
      <c r="R9" s="19">
        <f t="shared" si="3"/>
        <v>0.370967741935484</v>
      </c>
    </row>
    <row r="10" s="4" customFormat="1" spans="1:18">
      <c r="A10" s="6">
        <v>419</v>
      </c>
      <c r="B10" s="6">
        <v>1.08</v>
      </c>
      <c r="C10" s="6">
        <v>0.43</v>
      </c>
      <c r="D10" s="6">
        <v>1.98</v>
      </c>
      <c r="E10" s="15">
        <v>5394994240.77</v>
      </c>
      <c r="F10" s="6" t="s">
        <v>251</v>
      </c>
      <c r="G10" s="16">
        <f t="shared" si="0"/>
        <v>0.601851851851852</v>
      </c>
      <c r="H10" s="16">
        <f t="shared" si="1"/>
        <v>1.83333333333333</v>
      </c>
      <c r="I10" s="16">
        <f t="shared" si="2"/>
        <v>3.04615384615385</v>
      </c>
      <c r="J10" s="6">
        <v>2.31</v>
      </c>
      <c r="K10" s="6">
        <v>40.7035175879397</v>
      </c>
      <c r="L10" s="6">
        <v>97.7744</v>
      </c>
      <c r="M10" s="6">
        <v>73.832</v>
      </c>
      <c r="N10" s="6"/>
      <c r="O10" s="6"/>
      <c r="P10" s="6"/>
      <c r="Q10" s="6">
        <v>0.79</v>
      </c>
      <c r="R10" s="19">
        <f t="shared" si="3"/>
        <v>0.367088607594937</v>
      </c>
    </row>
    <row r="11" s="4" customFormat="1" spans="1:18">
      <c r="A11" s="6">
        <v>1326</v>
      </c>
      <c r="B11" s="6">
        <v>0.59</v>
      </c>
      <c r="C11" s="6">
        <v>0.23</v>
      </c>
      <c r="D11" s="6">
        <v>5.45</v>
      </c>
      <c r="E11" s="15">
        <v>1072601501.57</v>
      </c>
      <c r="F11" s="6" t="s">
        <v>338</v>
      </c>
      <c r="G11" s="16">
        <f t="shared" si="0"/>
        <v>0.610169491525424</v>
      </c>
      <c r="H11" s="16">
        <f t="shared" si="1"/>
        <v>9.23728813559322</v>
      </c>
      <c r="I11" s="16">
        <f t="shared" si="2"/>
        <v>15.1388888888889</v>
      </c>
      <c r="J11" s="6">
        <v>3</v>
      </c>
      <c r="K11" s="6">
        <v>1.62337662337662</v>
      </c>
      <c r="L11" s="6"/>
      <c r="M11" s="6"/>
      <c r="N11" s="6"/>
      <c r="O11" s="6"/>
      <c r="Q11" s="6">
        <v>0.45</v>
      </c>
      <c r="R11" s="18">
        <f t="shared" si="3"/>
        <v>0.311111111111111</v>
      </c>
    </row>
    <row r="12" s="4" customFormat="1" spans="1:18">
      <c r="A12" s="4">
        <v>8127</v>
      </c>
      <c r="B12" s="4">
        <v>4.4</v>
      </c>
      <c r="C12" s="4">
        <v>1.52</v>
      </c>
      <c r="D12" s="4">
        <v>4.2</v>
      </c>
      <c r="E12" s="13">
        <v>3460000000</v>
      </c>
      <c r="F12" s="4" t="s">
        <v>322</v>
      </c>
      <c r="G12" s="14">
        <f t="shared" si="0"/>
        <v>0.654545454545455</v>
      </c>
      <c r="H12" s="14">
        <f t="shared" si="1"/>
        <v>0.954545454545454</v>
      </c>
      <c r="I12" s="17">
        <f t="shared" si="2"/>
        <v>1.45833333333333</v>
      </c>
      <c r="J12" s="4">
        <v>100</v>
      </c>
      <c r="K12" s="14">
        <v>16.9857633775159</v>
      </c>
      <c r="L12" s="4">
        <v>234.1001</v>
      </c>
      <c r="Q12" s="4">
        <v>3.4</v>
      </c>
      <c r="R12" s="18">
        <f t="shared" si="3"/>
        <v>0.294117647058824</v>
      </c>
    </row>
    <row r="13" s="4" customFormat="1" spans="1:18">
      <c r="A13" s="4">
        <v>2899</v>
      </c>
      <c r="B13" s="4">
        <v>2.22</v>
      </c>
      <c r="C13" s="4">
        <v>1.71</v>
      </c>
      <c r="D13" s="4">
        <v>3.63</v>
      </c>
      <c r="E13" s="13">
        <v>10153457600</v>
      </c>
      <c r="F13" s="4" t="s">
        <v>135</v>
      </c>
      <c r="G13" s="14">
        <f t="shared" si="0"/>
        <v>0.22972972972973</v>
      </c>
      <c r="H13" s="14">
        <f t="shared" si="1"/>
        <v>1.63513513513513</v>
      </c>
      <c r="I13" s="17">
        <f t="shared" si="2"/>
        <v>7.11764705882353</v>
      </c>
      <c r="J13" s="4">
        <v>1.13</v>
      </c>
      <c r="K13" s="4">
        <v>0.376117123419312</v>
      </c>
      <c r="L13" s="4">
        <v>12.9484</v>
      </c>
      <c r="M13" s="4">
        <v>12.694</v>
      </c>
      <c r="Q13" s="4">
        <v>1.72</v>
      </c>
      <c r="R13" s="18">
        <f t="shared" si="3"/>
        <v>0.290697674418605</v>
      </c>
    </row>
    <row r="14" s="6" customFormat="1" spans="1:18">
      <c r="A14" s="4">
        <v>8197</v>
      </c>
      <c r="B14" s="4">
        <v>2.24</v>
      </c>
      <c r="C14" s="4">
        <v>0.18</v>
      </c>
      <c r="D14" s="4">
        <v>2.6</v>
      </c>
      <c r="E14" s="13">
        <v>366390000</v>
      </c>
      <c r="F14" s="4" t="s">
        <v>242</v>
      </c>
      <c r="G14" s="14">
        <f t="shared" si="0"/>
        <v>0.919642857142857</v>
      </c>
      <c r="H14" s="14">
        <f t="shared" si="1"/>
        <v>1.16071428571429</v>
      </c>
      <c r="I14" s="17">
        <f t="shared" si="2"/>
        <v>1.2621359223301</v>
      </c>
      <c r="J14" s="4">
        <v>16.02</v>
      </c>
      <c r="K14" s="14">
        <v>47.602975051469</v>
      </c>
      <c r="L14" s="4"/>
      <c r="M14" s="4"/>
      <c r="N14" s="4"/>
      <c r="O14" s="4"/>
      <c r="P14" s="4"/>
      <c r="Q14" s="4">
        <v>1.75</v>
      </c>
      <c r="R14" s="18">
        <f t="shared" si="3"/>
        <v>0.28</v>
      </c>
    </row>
    <row r="15" s="4" customFormat="1" spans="1:18">
      <c r="A15" s="4">
        <v>1515</v>
      </c>
      <c r="B15" s="4">
        <v>7.43</v>
      </c>
      <c r="C15" s="4">
        <v>5.75</v>
      </c>
      <c r="D15" s="4">
        <v>17.2</v>
      </c>
      <c r="E15" s="13">
        <v>5077616670</v>
      </c>
      <c r="F15" s="4" t="s">
        <v>518</v>
      </c>
      <c r="G15" s="14">
        <f t="shared" si="0"/>
        <v>0.226110363391655</v>
      </c>
      <c r="H15" s="14">
        <f t="shared" si="1"/>
        <v>2.31493943472409</v>
      </c>
      <c r="I15" s="17">
        <f t="shared" si="2"/>
        <v>10.2380952380952</v>
      </c>
      <c r="J15" s="4">
        <v>2.51</v>
      </c>
      <c r="K15" s="4">
        <v>3.11538795389053</v>
      </c>
      <c r="L15" s="4">
        <v>17.6517</v>
      </c>
      <c r="M15" s="4">
        <v>16.782</v>
      </c>
      <c r="Q15" s="4">
        <v>5.81</v>
      </c>
      <c r="R15" s="18">
        <f t="shared" si="3"/>
        <v>0.278829604130809</v>
      </c>
    </row>
    <row r="16" s="4" customFormat="1" spans="1:18">
      <c r="A16" s="6">
        <v>327</v>
      </c>
      <c r="B16" s="6">
        <v>8.29</v>
      </c>
      <c r="C16" s="6">
        <v>5.57</v>
      </c>
      <c r="D16" s="6">
        <v>14.2</v>
      </c>
      <c r="E16" s="15">
        <v>7750737580</v>
      </c>
      <c r="F16" s="6" t="s">
        <v>85</v>
      </c>
      <c r="G16" s="16">
        <f t="shared" si="0"/>
        <v>0.32810615199035</v>
      </c>
      <c r="H16" s="16">
        <f t="shared" si="1"/>
        <v>1.71290711700844</v>
      </c>
      <c r="I16" s="16">
        <f t="shared" si="2"/>
        <v>5.22058823529412</v>
      </c>
      <c r="J16" s="6">
        <v>2.69</v>
      </c>
      <c r="K16" s="6">
        <v>3.36081778292106</v>
      </c>
      <c r="L16" s="6">
        <v>19.7821</v>
      </c>
      <c r="M16" s="6">
        <v>18.054</v>
      </c>
      <c r="N16" s="6"/>
      <c r="O16" s="6"/>
      <c r="P16" s="6"/>
      <c r="Q16" s="6">
        <v>6.55</v>
      </c>
      <c r="R16" s="19">
        <f t="shared" si="3"/>
        <v>0.265648854961832</v>
      </c>
    </row>
    <row r="17" s="6" customFormat="1" spans="1:18">
      <c r="A17" s="4">
        <v>2689</v>
      </c>
      <c r="B17" s="4">
        <v>4.89</v>
      </c>
      <c r="C17" s="4">
        <v>3.76</v>
      </c>
      <c r="D17" s="4">
        <v>8.35</v>
      </c>
      <c r="E17" s="13">
        <v>20997993649.5</v>
      </c>
      <c r="F17" s="4" t="s">
        <v>15</v>
      </c>
      <c r="G17" s="14">
        <f t="shared" si="0"/>
        <v>0.231083844580777</v>
      </c>
      <c r="H17" s="14">
        <f t="shared" si="1"/>
        <v>1.70756646216769</v>
      </c>
      <c r="I17" s="17">
        <f t="shared" si="2"/>
        <v>7.38938053097345</v>
      </c>
      <c r="J17" s="4">
        <v>0.7</v>
      </c>
      <c r="K17" s="4">
        <v>0.553034353867289</v>
      </c>
      <c r="L17" s="4">
        <v>10.286</v>
      </c>
      <c r="M17" s="4">
        <v>10.286</v>
      </c>
      <c r="N17" s="4"/>
      <c r="O17" s="4"/>
      <c r="P17" s="4"/>
      <c r="Q17" s="4">
        <v>3.89</v>
      </c>
      <c r="R17" s="18">
        <f t="shared" si="3"/>
        <v>0.25706940874036</v>
      </c>
    </row>
    <row r="18" s="4" customFormat="1" spans="1:18">
      <c r="A18" s="4">
        <v>8269</v>
      </c>
      <c r="B18" s="4">
        <v>0.05</v>
      </c>
      <c r="C18" s="4">
        <v>0.037</v>
      </c>
      <c r="D18" s="4">
        <v>0.395</v>
      </c>
      <c r="E18" s="13">
        <v>197218368</v>
      </c>
      <c r="F18" s="4" t="s">
        <v>46</v>
      </c>
      <c r="G18" s="14">
        <f t="shared" si="0"/>
        <v>0.26</v>
      </c>
      <c r="H18" s="14">
        <f t="shared" si="1"/>
        <v>7.9</v>
      </c>
      <c r="I18" s="14">
        <f t="shared" si="2"/>
        <v>30.3846153846154</v>
      </c>
      <c r="J18" s="4">
        <v>0.77</v>
      </c>
      <c r="K18" s="14">
        <v>1.89723320158102</v>
      </c>
      <c r="Q18" s="4">
        <v>0.04</v>
      </c>
      <c r="R18" s="18">
        <f t="shared" si="3"/>
        <v>0.25</v>
      </c>
    </row>
    <row r="19" s="4" customFormat="1" spans="1:18">
      <c r="A19" s="4">
        <v>953</v>
      </c>
      <c r="B19" s="4">
        <v>0.87</v>
      </c>
      <c r="C19" s="4">
        <v>0.27</v>
      </c>
      <c r="D19" s="4">
        <v>1.32</v>
      </c>
      <c r="E19" s="13">
        <v>912149700</v>
      </c>
      <c r="F19" s="4" t="s">
        <v>470</v>
      </c>
      <c r="G19" s="14">
        <f t="shared" si="0"/>
        <v>0.689655172413793</v>
      </c>
      <c r="H19" s="14">
        <f t="shared" si="1"/>
        <v>1.51724137931034</v>
      </c>
      <c r="I19" s="17">
        <f t="shared" si="2"/>
        <v>2.2</v>
      </c>
      <c r="J19" s="4">
        <v>2.52</v>
      </c>
      <c r="K19" s="4">
        <v>4.52868717475792</v>
      </c>
      <c r="Q19" s="4">
        <v>0.7</v>
      </c>
      <c r="R19" s="18">
        <f t="shared" si="3"/>
        <v>0.242857142857143</v>
      </c>
    </row>
    <row r="20" s="4" customFormat="1" spans="1:18">
      <c r="A20" s="6">
        <v>143</v>
      </c>
      <c r="B20" s="6">
        <v>0.29</v>
      </c>
      <c r="C20" s="6">
        <v>0.06</v>
      </c>
      <c r="D20" s="6">
        <v>0.52</v>
      </c>
      <c r="E20" s="15">
        <v>1317323352.92</v>
      </c>
      <c r="F20" s="6" t="s">
        <v>156</v>
      </c>
      <c r="G20" s="16">
        <f t="shared" si="0"/>
        <v>0.793103448275862</v>
      </c>
      <c r="H20" s="16">
        <f t="shared" si="1"/>
        <v>1.79310344827586</v>
      </c>
      <c r="I20" s="16">
        <f t="shared" si="2"/>
        <v>2.26086956521739</v>
      </c>
      <c r="J20" s="6" t="s">
        <v>157</v>
      </c>
      <c r="K20" s="6">
        <v>56.67</v>
      </c>
      <c r="L20" s="6">
        <v>15.1785714285714</v>
      </c>
      <c r="M20" s="6"/>
      <c r="N20" s="6"/>
      <c r="O20" s="6"/>
      <c r="P20" s="6"/>
      <c r="Q20" s="6">
        <v>0.236</v>
      </c>
      <c r="R20" s="19">
        <f t="shared" si="3"/>
        <v>0.228813559322034</v>
      </c>
    </row>
    <row r="21" s="4" customFormat="1" spans="1:18">
      <c r="A21" s="4">
        <v>8331</v>
      </c>
      <c r="B21" s="4">
        <v>0.46</v>
      </c>
      <c r="C21" s="4">
        <v>0</v>
      </c>
      <c r="D21" s="4">
        <v>99</v>
      </c>
      <c r="E21" s="4">
        <v>0</v>
      </c>
      <c r="F21" s="4" t="s">
        <v>60</v>
      </c>
      <c r="G21" s="14">
        <f t="shared" si="0"/>
        <v>1</v>
      </c>
      <c r="H21" s="14">
        <f t="shared" si="1"/>
        <v>215.217391304348</v>
      </c>
      <c r="I21" s="14">
        <f t="shared" si="2"/>
        <v>215.217391304348</v>
      </c>
      <c r="J21" s="4">
        <v>0</v>
      </c>
      <c r="K21" s="14"/>
      <c r="Q21" s="4">
        <v>0.375</v>
      </c>
      <c r="R21" s="18">
        <f t="shared" si="3"/>
        <v>0.226666666666667</v>
      </c>
    </row>
    <row r="22" s="6" customFormat="1" spans="1:18">
      <c r="A22" s="4">
        <v>8161</v>
      </c>
      <c r="B22" s="4">
        <v>0.233</v>
      </c>
      <c r="C22" s="4">
        <v>0.09</v>
      </c>
      <c r="D22" s="4">
        <v>0.22</v>
      </c>
      <c r="E22" s="13">
        <v>1522139880</v>
      </c>
      <c r="F22" s="4" t="s">
        <v>757</v>
      </c>
      <c r="G22" s="14">
        <f t="shared" si="0"/>
        <v>0.613733905579399</v>
      </c>
      <c r="H22" s="14">
        <f t="shared" si="1"/>
        <v>0.944206008583691</v>
      </c>
      <c r="I22" s="17">
        <f t="shared" si="2"/>
        <v>1.53846153846154</v>
      </c>
      <c r="J22" s="4">
        <v>1.41</v>
      </c>
      <c r="K22" s="14">
        <v>22.418</v>
      </c>
      <c r="L22" s="4"/>
      <c r="M22" s="4"/>
      <c r="N22" s="4"/>
      <c r="O22" s="4"/>
      <c r="P22" s="4"/>
      <c r="Q22" s="4">
        <v>0.19</v>
      </c>
      <c r="R22" s="18">
        <f t="shared" si="3"/>
        <v>0.226315789473684</v>
      </c>
    </row>
    <row r="23" s="4" customFormat="1" spans="1:18">
      <c r="A23" s="6">
        <v>1980</v>
      </c>
      <c r="B23" s="6">
        <v>4.45</v>
      </c>
      <c r="C23" s="6">
        <v>2.28</v>
      </c>
      <c r="D23" s="6">
        <v>7.72</v>
      </c>
      <c r="E23" s="15">
        <v>5039312472.32</v>
      </c>
      <c r="F23" s="6" t="s">
        <v>500</v>
      </c>
      <c r="G23" s="16">
        <f t="shared" si="0"/>
        <v>0.487640449438202</v>
      </c>
      <c r="H23" s="16">
        <f t="shared" si="1"/>
        <v>1.73483146067416</v>
      </c>
      <c r="I23" s="16">
        <f t="shared" si="2"/>
        <v>3.55760368663594</v>
      </c>
      <c r="J23" s="6">
        <v>1.88</v>
      </c>
      <c r="K23" s="6">
        <v>5.36003806392745</v>
      </c>
      <c r="L23" s="6"/>
      <c r="M23" s="6"/>
      <c r="N23" s="6"/>
      <c r="O23" s="6"/>
      <c r="P23" s="6"/>
      <c r="Q23" s="6">
        <v>3.63</v>
      </c>
      <c r="R23" s="19">
        <f t="shared" si="3"/>
        <v>0.225895316804408</v>
      </c>
    </row>
    <row r="24" s="4" customFormat="1" spans="1:18">
      <c r="A24" s="4">
        <v>8105</v>
      </c>
      <c r="B24" s="4">
        <v>1.87</v>
      </c>
      <c r="C24" s="4">
        <v>1.08</v>
      </c>
      <c r="D24" s="4">
        <v>5.38</v>
      </c>
      <c r="E24" s="13">
        <v>840000000</v>
      </c>
      <c r="F24" s="4" t="s">
        <v>309</v>
      </c>
      <c r="G24" s="14">
        <f t="shared" si="0"/>
        <v>0.422459893048128</v>
      </c>
      <c r="H24" s="14">
        <f t="shared" si="1"/>
        <v>2.87700534759358</v>
      </c>
      <c r="I24" s="14">
        <f t="shared" si="2"/>
        <v>6.81012658227848</v>
      </c>
      <c r="J24" s="4">
        <v>7.38</v>
      </c>
      <c r="K24" s="14">
        <v>7.35229759299781</v>
      </c>
      <c r="L24" s="4">
        <v>32.0256</v>
      </c>
      <c r="M24" s="4">
        <v>24.483</v>
      </c>
      <c r="Q24" s="4">
        <v>1.54</v>
      </c>
      <c r="R24" s="18">
        <f t="shared" si="3"/>
        <v>0.214285714285714</v>
      </c>
    </row>
    <row r="25" s="4" customFormat="1" spans="1:18">
      <c r="A25" s="4">
        <v>75</v>
      </c>
      <c r="B25" s="4">
        <v>6.9</v>
      </c>
      <c r="C25" s="4">
        <v>2.2</v>
      </c>
      <c r="D25" s="4">
        <v>6.3</v>
      </c>
      <c r="E25" s="13">
        <v>4557477265.5</v>
      </c>
      <c r="F25" s="4" t="s">
        <v>217</v>
      </c>
      <c r="G25" s="14">
        <f t="shared" si="0"/>
        <v>0.681159420289855</v>
      </c>
      <c r="H25" s="14">
        <f t="shared" si="1"/>
        <v>0.91304347826087</v>
      </c>
      <c r="I25" s="17">
        <f t="shared" si="2"/>
        <v>1.34042553191489</v>
      </c>
      <c r="J25" s="4">
        <v>0.71</v>
      </c>
      <c r="K25" s="4">
        <v>20.5701912666907</v>
      </c>
      <c r="L25" s="4">
        <v>9.4504</v>
      </c>
      <c r="M25" s="4">
        <v>9.451</v>
      </c>
      <c r="Q25" s="4">
        <v>5.7</v>
      </c>
      <c r="R25" s="18">
        <f t="shared" si="3"/>
        <v>0.210526315789474</v>
      </c>
    </row>
    <row r="26" s="6" customFormat="1" spans="1:18">
      <c r="A26" s="6">
        <v>1499</v>
      </c>
      <c r="B26" s="6">
        <v>0.35</v>
      </c>
      <c r="C26" s="6">
        <v>0.27</v>
      </c>
      <c r="D26" s="6">
        <v>0.97</v>
      </c>
      <c r="E26" s="15">
        <v>697840000</v>
      </c>
      <c r="F26" s="6" t="s">
        <v>364</v>
      </c>
      <c r="G26" s="16">
        <f t="shared" si="0"/>
        <v>0.228571428571428</v>
      </c>
      <c r="H26" s="16">
        <f t="shared" si="1"/>
        <v>2.77142857142857</v>
      </c>
      <c r="I26" s="16">
        <f t="shared" si="2"/>
        <v>12.125</v>
      </c>
      <c r="J26" s="6">
        <v>4.65</v>
      </c>
      <c r="K26" s="6">
        <v>1.7559009786989</v>
      </c>
      <c r="L26" s="6">
        <v>18.1262</v>
      </c>
      <c r="P26" s="4"/>
      <c r="Q26" s="6">
        <v>0.29</v>
      </c>
      <c r="R26" s="18">
        <f t="shared" si="3"/>
        <v>0.206896551724138</v>
      </c>
    </row>
    <row r="27" s="4" customFormat="1" spans="1:18">
      <c r="A27" s="6">
        <v>621</v>
      </c>
      <c r="B27" s="6">
        <v>0.088</v>
      </c>
      <c r="C27" s="6">
        <v>0.049</v>
      </c>
      <c r="D27" s="6">
        <v>0.28</v>
      </c>
      <c r="E27" s="15">
        <v>1360787655.55</v>
      </c>
      <c r="F27" s="6" t="s">
        <v>17</v>
      </c>
      <c r="G27" s="16">
        <f t="shared" si="0"/>
        <v>0.443181818181818</v>
      </c>
      <c r="H27" s="16">
        <f t="shared" si="1"/>
        <v>3.18181818181818</v>
      </c>
      <c r="I27" s="16">
        <f t="shared" si="2"/>
        <v>7.17948717948718</v>
      </c>
      <c r="J27" s="6">
        <v>0.43</v>
      </c>
      <c r="K27" s="6">
        <v>34.074074074074</v>
      </c>
      <c r="L27" s="6"/>
      <c r="M27" s="6"/>
      <c r="N27" s="6"/>
      <c r="O27" s="6"/>
      <c r="Q27" s="6">
        <v>0.073</v>
      </c>
      <c r="R27" s="18">
        <f t="shared" si="3"/>
        <v>0.205479452054794</v>
      </c>
    </row>
    <row r="28" s="4" customFormat="1" spans="1:18">
      <c r="A28" s="6">
        <v>439</v>
      </c>
      <c r="B28" s="6">
        <v>3.13</v>
      </c>
      <c r="C28" s="6">
        <v>1.11</v>
      </c>
      <c r="D28" s="6">
        <v>6.38</v>
      </c>
      <c r="E28" s="15">
        <v>14772776937.12</v>
      </c>
      <c r="F28" s="6" t="s">
        <v>566</v>
      </c>
      <c r="G28" s="16">
        <f t="shared" si="0"/>
        <v>0.645367412140575</v>
      </c>
      <c r="H28" s="16">
        <f t="shared" si="1"/>
        <v>2.03833865814696</v>
      </c>
      <c r="I28" s="16">
        <f t="shared" si="2"/>
        <v>3.15841584158416</v>
      </c>
      <c r="J28" s="6">
        <v>8.45</v>
      </c>
      <c r="K28" s="6">
        <v>71.5068493150685</v>
      </c>
      <c r="L28" s="6"/>
      <c r="M28" s="6"/>
      <c r="N28" s="6"/>
      <c r="O28" s="6"/>
      <c r="P28" s="6"/>
      <c r="Q28" s="6">
        <v>2.61</v>
      </c>
      <c r="R28" s="19">
        <f t="shared" si="3"/>
        <v>0.199233716475096</v>
      </c>
    </row>
    <row r="29" s="6" customFormat="1" spans="1:18">
      <c r="A29" s="6">
        <v>1177</v>
      </c>
      <c r="B29" s="6">
        <v>5.81</v>
      </c>
      <c r="C29" s="6">
        <v>4.86</v>
      </c>
      <c r="D29" s="6">
        <v>10.76</v>
      </c>
      <c r="E29" s="15">
        <v>38024546032.17</v>
      </c>
      <c r="F29" s="6" t="s">
        <v>58</v>
      </c>
      <c r="G29" s="16">
        <f t="shared" si="0"/>
        <v>0.163511187607573</v>
      </c>
      <c r="H29" s="16">
        <f t="shared" si="1"/>
        <v>1.85197934595525</v>
      </c>
      <c r="I29" s="16">
        <f t="shared" si="2"/>
        <v>11.3263157894737</v>
      </c>
      <c r="J29" s="6">
        <v>5</v>
      </c>
      <c r="K29" s="6">
        <v>1.62676391311241</v>
      </c>
      <c r="L29" s="6">
        <v>25.1285</v>
      </c>
      <c r="M29" s="6">
        <v>23.861</v>
      </c>
      <c r="Q29" s="6">
        <v>4.87</v>
      </c>
      <c r="R29" s="19">
        <f t="shared" si="3"/>
        <v>0.193018480492813</v>
      </c>
    </row>
    <row r="30" s="4" customFormat="1" spans="1:18">
      <c r="A30" s="4">
        <v>996</v>
      </c>
      <c r="B30" s="4">
        <v>1.19</v>
      </c>
      <c r="C30" s="4">
        <v>0.8</v>
      </c>
      <c r="D30" s="4">
        <v>1.79</v>
      </c>
      <c r="E30" s="13">
        <v>15477673606.72</v>
      </c>
      <c r="F30" s="4" t="s">
        <v>99</v>
      </c>
      <c r="G30" s="14">
        <f t="shared" si="0"/>
        <v>0.327731092436975</v>
      </c>
      <c r="H30" s="14">
        <f t="shared" si="1"/>
        <v>1.50420168067227</v>
      </c>
      <c r="I30" s="17">
        <f t="shared" si="2"/>
        <v>4.58974358974359</v>
      </c>
      <c r="J30" s="4">
        <v>2.93</v>
      </c>
      <c r="K30" s="4">
        <v>14.4846796657381</v>
      </c>
      <c r="L30" s="4">
        <v>359.7953</v>
      </c>
      <c r="M30" s="4">
        <v>303.03</v>
      </c>
      <c r="Q30" s="4">
        <v>1</v>
      </c>
      <c r="R30" s="18">
        <f t="shared" si="3"/>
        <v>0.19</v>
      </c>
    </row>
    <row r="31" s="4" customFormat="1" spans="1:18">
      <c r="A31" s="4">
        <v>2686</v>
      </c>
      <c r="B31" s="4">
        <v>1.34</v>
      </c>
      <c r="C31" s="4">
        <v>1.1</v>
      </c>
      <c r="D31" s="4">
        <v>2.85</v>
      </c>
      <c r="E31" s="13">
        <v>3859065084.2</v>
      </c>
      <c r="F31" s="4" t="s">
        <v>221</v>
      </c>
      <c r="G31" s="14">
        <f t="shared" si="0"/>
        <v>0.17910447761194</v>
      </c>
      <c r="H31" s="14">
        <f t="shared" si="1"/>
        <v>2.12686567164179</v>
      </c>
      <c r="I31" s="17">
        <f t="shared" si="2"/>
        <v>11.875</v>
      </c>
      <c r="J31" s="4">
        <v>0.71</v>
      </c>
      <c r="K31" s="4">
        <v>4.28173301224272</v>
      </c>
      <c r="L31" s="4">
        <v>15.828</v>
      </c>
      <c r="Q31" s="4">
        <v>1.13</v>
      </c>
      <c r="R31" s="18">
        <f t="shared" si="3"/>
        <v>0.185840707964602</v>
      </c>
    </row>
    <row r="32" s="4" customFormat="1" spans="1:18">
      <c r="A32" s="4">
        <v>3799</v>
      </c>
      <c r="B32" s="4">
        <v>4.11</v>
      </c>
      <c r="C32" s="4">
        <v>3.37</v>
      </c>
      <c r="D32" s="4">
        <v>5.28</v>
      </c>
      <c r="E32" s="13">
        <v>52174587675</v>
      </c>
      <c r="F32" s="4" t="s">
        <v>154</v>
      </c>
      <c r="G32" s="14">
        <f t="shared" si="0"/>
        <v>0.180048661800487</v>
      </c>
      <c r="H32" s="14">
        <f t="shared" si="1"/>
        <v>1.28467153284672</v>
      </c>
      <c r="I32" s="17">
        <f t="shared" si="2"/>
        <v>7.13513513513514</v>
      </c>
      <c r="J32" s="4">
        <v>5.14</v>
      </c>
      <c r="K32" s="14">
        <v>20.0925</v>
      </c>
      <c r="Q32" s="4">
        <v>3.47</v>
      </c>
      <c r="R32" s="18">
        <f t="shared" si="3"/>
        <v>0.184438040345821</v>
      </c>
    </row>
    <row r="33" s="4" customFormat="1" spans="1:18">
      <c r="A33" s="4">
        <v>390</v>
      </c>
      <c r="B33" s="4">
        <v>5</v>
      </c>
      <c r="C33" s="4">
        <v>3.98</v>
      </c>
      <c r="D33" s="4">
        <v>12.3</v>
      </c>
      <c r="E33" s="13">
        <v>19353994000</v>
      </c>
      <c r="F33" s="4" t="s">
        <v>561</v>
      </c>
      <c r="G33" s="14">
        <f t="shared" si="0"/>
        <v>0.204</v>
      </c>
      <c r="H33" s="14">
        <f t="shared" si="1"/>
        <v>2.46</v>
      </c>
      <c r="I33" s="17">
        <f t="shared" si="2"/>
        <v>12.0588235294118</v>
      </c>
      <c r="J33" s="4">
        <v>0.75</v>
      </c>
      <c r="K33" s="4">
        <v>0.146827589415266</v>
      </c>
      <c r="L33" s="4">
        <v>8.1895</v>
      </c>
      <c r="M33" s="4">
        <v>7.022</v>
      </c>
      <c r="Q33" s="4">
        <v>4.23</v>
      </c>
      <c r="R33" s="18">
        <f t="shared" si="3"/>
        <v>0.182033096926714</v>
      </c>
    </row>
    <row r="34" s="4" customFormat="1" spans="1:18">
      <c r="A34" s="4">
        <v>31</v>
      </c>
      <c r="B34" s="4">
        <v>0.99</v>
      </c>
      <c r="C34" s="4">
        <v>0.78</v>
      </c>
      <c r="D34" s="4">
        <v>2.38</v>
      </c>
      <c r="E34" s="13">
        <v>2653118818.52</v>
      </c>
      <c r="F34" s="4" t="s">
        <v>73</v>
      </c>
      <c r="G34" s="14">
        <f t="shared" si="0"/>
        <v>0.212121212121212</v>
      </c>
      <c r="H34" s="14">
        <f t="shared" si="1"/>
        <v>2.4040404040404</v>
      </c>
      <c r="I34" s="17">
        <f t="shared" si="2"/>
        <v>11.3333333333333</v>
      </c>
      <c r="J34" s="4">
        <v>0.49</v>
      </c>
      <c r="K34" s="4">
        <v>1.03965183752417</v>
      </c>
      <c r="L34" s="4">
        <v>6.3824</v>
      </c>
      <c r="M34" s="4">
        <v>6.236</v>
      </c>
      <c r="Q34" s="4">
        <v>0.84</v>
      </c>
      <c r="R34" s="18">
        <f t="shared" si="3"/>
        <v>0.178571428571429</v>
      </c>
    </row>
    <row r="35" s="4" customFormat="1" spans="1:18">
      <c r="A35" s="4">
        <v>3330</v>
      </c>
      <c r="B35" s="4">
        <v>1.57</v>
      </c>
      <c r="C35" s="4">
        <v>1.08</v>
      </c>
      <c r="D35" s="4">
        <v>2.8</v>
      </c>
      <c r="E35" s="13">
        <v>404292640</v>
      </c>
      <c r="F35" s="4" t="s">
        <v>236</v>
      </c>
      <c r="G35" s="14">
        <f t="shared" si="0"/>
        <v>0.312101910828025</v>
      </c>
      <c r="H35" s="14">
        <f t="shared" si="1"/>
        <v>1.78343949044586</v>
      </c>
      <c r="I35" s="17">
        <f t="shared" si="2"/>
        <v>5.71428571428572</v>
      </c>
      <c r="J35" s="4">
        <v>0.54</v>
      </c>
      <c r="K35" s="14">
        <v>0.152211611889005</v>
      </c>
      <c r="L35" s="4">
        <v>24.869</v>
      </c>
      <c r="M35" s="4">
        <v>24.497</v>
      </c>
      <c r="Q35" s="4">
        <v>1.34</v>
      </c>
      <c r="R35" s="18">
        <f t="shared" si="3"/>
        <v>0.171641791044776</v>
      </c>
    </row>
    <row r="36" s="6" customFormat="1" spans="1:18">
      <c r="A36" s="4">
        <v>952</v>
      </c>
      <c r="B36" s="4">
        <v>1.31</v>
      </c>
      <c r="C36" s="4">
        <v>0.31</v>
      </c>
      <c r="D36" s="4">
        <v>2.6</v>
      </c>
      <c r="E36" s="13">
        <v>1752726915.64</v>
      </c>
      <c r="F36" s="4" t="s">
        <v>365</v>
      </c>
      <c r="G36" s="14">
        <f t="shared" si="0"/>
        <v>0.763358778625954</v>
      </c>
      <c r="H36" s="14">
        <f t="shared" si="1"/>
        <v>1.98473282442748</v>
      </c>
      <c r="I36" s="17">
        <f t="shared" si="2"/>
        <v>2.6</v>
      </c>
      <c r="J36" s="4">
        <v>2.74</v>
      </c>
      <c r="K36" s="4">
        <v>2.67157991708889</v>
      </c>
      <c r="L36" s="4">
        <v>46.9597</v>
      </c>
      <c r="M36" s="4">
        <v>36.964</v>
      </c>
      <c r="N36" s="4"/>
      <c r="O36" s="4"/>
      <c r="P36" s="4"/>
      <c r="Q36" s="4">
        <v>1.12</v>
      </c>
      <c r="R36" s="18">
        <f t="shared" si="3"/>
        <v>0.169642857142857</v>
      </c>
    </row>
    <row r="37" s="4" customFormat="1" spans="1:18">
      <c r="A37" s="4">
        <v>2238</v>
      </c>
      <c r="B37" s="4">
        <v>7.32</v>
      </c>
      <c r="C37" s="4">
        <v>4.71</v>
      </c>
      <c r="D37" s="4">
        <v>9.7</v>
      </c>
      <c r="E37" s="13">
        <v>14275786406.1</v>
      </c>
      <c r="F37" s="4" t="s">
        <v>216</v>
      </c>
      <c r="G37" s="14">
        <f t="shared" si="0"/>
        <v>0.35655737704918</v>
      </c>
      <c r="H37" s="14">
        <f t="shared" si="1"/>
        <v>1.32513661202186</v>
      </c>
      <c r="I37" s="17">
        <f t="shared" si="2"/>
        <v>3.71647509578544</v>
      </c>
      <c r="J37" s="4">
        <v>0.93</v>
      </c>
      <c r="K37" s="4">
        <v>1.37743279457345</v>
      </c>
      <c r="L37" s="4">
        <v>10.1142</v>
      </c>
      <c r="M37" s="4">
        <v>10.115</v>
      </c>
      <c r="Q37" s="4">
        <v>6.26</v>
      </c>
      <c r="R37" s="18">
        <f t="shared" si="3"/>
        <v>0.169329073482428</v>
      </c>
    </row>
    <row r="38" s="4" customFormat="1" spans="1:18">
      <c r="A38" s="4">
        <v>164</v>
      </c>
      <c r="B38" s="4">
        <v>0.228</v>
      </c>
      <c r="C38" s="4">
        <v>0.09</v>
      </c>
      <c r="D38" s="4">
        <v>0.5</v>
      </c>
      <c r="E38" s="13">
        <v>1466095949.7</v>
      </c>
      <c r="F38" s="4" t="s">
        <v>385</v>
      </c>
      <c r="G38" s="14">
        <f t="shared" si="0"/>
        <v>0.605263157894737</v>
      </c>
      <c r="H38" s="14">
        <f t="shared" si="1"/>
        <v>2.19298245614035</v>
      </c>
      <c r="I38" s="17">
        <f t="shared" si="2"/>
        <v>3.6231884057971</v>
      </c>
      <c r="J38" s="4">
        <v>6.12</v>
      </c>
      <c r="K38" s="4">
        <v>12.125</v>
      </c>
      <c r="Q38" s="4">
        <v>0.195</v>
      </c>
      <c r="R38" s="18">
        <f t="shared" si="3"/>
        <v>0.169230769230769</v>
      </c>
    </row>
    <row r="39" s="6" customFormat="1" spans="1:18">
      <c r="A39" s="4">
        <v>590</v>
      </c>
      <c r="B39" s="4">
        <v>14.92</v>
      </c>
      <c r="C39" s="4">
        <v>12.78</v>
      </c>
      <c r="D39" s="4">
        <v>30.8</v>
      </c>
      <c r="E39" s="13">
        <v>7704212835</v>
      </c>
      <c r="F39" s="4" t="s">
        <v>21</v>
      </c>
      <c r="G39" s="14">
        <f t="shared" si="0"/>
        <v>0.14343163538874</v>
      </c>
      <c r="H39" s="14">
        <f t="shared" si="1"/>
        <v>2.06434316353887</v>
      </c>
      <c r="I39" s="17">
        <f t="shared" si="2"/>
        <v>14.392523364486</v>
      </c>
      <c r="J39" s="4">
        <v>0.9</v>
      </c>
      <c r="K39" s="4">
        <v>0.547233338624648</v>
      </c>
      <c r="L39" s="4">
        <v>4.771</v>
      </c>
      <c r="M39" s="4">
        <v>4.692</v>
      </c>
      <c r="N39" s="4"/>
      <c r="O39" s="4"/>
      <c r="P39" s="4"/>
      <c r="Q39" s="4">
        <v>12.86</v>
      </c>
      <c r="R39" s="18">
        <f t="shared" si="3"/>
        <v>0.160186625194401</v>
      </c>
    </row>
    <row r="40" s="4" customFormat="1" spans="1:18">
      <c r="A40" s="4">
        <v>1233</v>
      </c>
      <c r="B40" s="4">
        <v>3.12</v>
      </c>
      <c r="C40" s="4">
        <v>2.5</v>
      </c>
      <c r="D40" s="4">
        <v>3.94</v>
      </c>
      <c r="E40" s="13">
        <v>4841517600</v>
      </c>
      <c r="F40" s="4" t="s">
        <v>177</v>
      </c>
      <c r="G40" s="14">
        <f t="shared" si="0"/>
        <v>0.198717948717949</v>
      </c>
      <c r="H40" s="14">
        <f t="shared" si="1"/>
        <v>1.26282051282051</v>
      </c>
      <c r="I40" s="17">
        <f t="shared" si="2"/>
        <v>6.35483870967742</v>
      </c>
      <c r="J40" s="4">
        <v>0.65</v>
      </c>
      <c r="K40" s="4">
        <v>0.475389250748645</v>
      </c>
      <c r="L40" s="4">
        <v>3.0273</v>
      </c>
      <c r="M40" s="4">
        <v>2.898</v>
      </c>
      <c r="Q40" s="4">
        <v>2.69</v>
      </c>
      <c r="R40" s="18">
        <f t="shared" si="3"/>
        <v>0.159851301115242</v>
      </c>
    </row>
    <row r="41" s="6" customFormat="1" spans="1:18">
      <c r="A41" s="4">
        <v>661</v>
      </c>
      <c r="B41" s="4">
        <v>0.131</v>
      </c>
      <c r="C41" s="4">
        <v>0.1</v>
      </c>
      <c r="D41" s="4">
        <v>0.41</v>
      </c>
      <c r="E41" s="13">
        <v>2129573985.01</v>
      </c>
      <c r="F41" s="4" t="s">
        <v>95</v>
      </c>
      <c r="G41" s="14">
        <f t="shared" si="0"/>
        <v>0.236641221374046</v>
      </c>
      <c r="H41" s="14">
        <f t="shared" si="1"/>
        <v>3.12977099236641</v>
      </c>
      <c r="I41" s="14">
        <f t="shared" si="2"/>
        <v>13.2258064516129</v>
      </c>
      <c r="J41" s="4">
        <v>0.49</v>
      </c>
      <c r="K41" s="4">
        <v>0.0462488559529323</v>
      </c>
      <c r="L41" s="4"/>
      <c r="M41" s="4"/>
      <c r="N41" s="4"/>
      <c r="O41" s="4"/>
      <c r="P41" s="4"/>
      <c r="Q41" s="4">
        <v>0.113</v>
      </c>
      <c r="R41" s="18">
        <f t="shared" si="3"/>
        <v>0.15929203539823</v>
      </c>
    </row>
    <row r="42" s="6" customFormat="1" spans="1:18">
      <c r="A42" s="4">
        <v>1813</v>
      </c>
      <c r="B42" s="4">
        <v>5.08</v>
      </c>
      <c r="C42" s="4">
        <v>4.25</v>
      </c>
      <c r="D42" s="4">
        <v>8.7</v>
      </c>
      <c r="E42" s="13">
        <v>14083467881.6</v>
      </c>
      <c r="F42" s="4" t="s">
        <v>503</v>
      </c>
      <c r="G42" s="14">
        <f t="shared" si="0"/>
        <v>0.163385826771654</v>
      </c>
      <c r="H42" s="14">
        <f t="shared" si="1"/>
        <v>1.71259842519685</v>
      </c>
      <c r="I42" s="17">
        <f t="shared" si="2"/>
        <v>10.4819277108434</v>
      </c>
      <c r="J42" s="4">
        <v>0.55</v>
      </c>
      <c r="K42" s="4">
        <v>1.40014841573206</v>
      </c>
      <c r="L42" s="4">
        <v>3.4421</v>
      </c>
      <c r="M42" s="4">
        <v>3.136</v>
      </c>
      <c r="N42" s="4"/>
      <c r="O42" s="4"/>
      <c r="P42" s="4"/>
      <c r="Q42" s="4">
        <v>4.4</v>
      </c>
      <c r="R42" s="18">
        <f t="shared" si="3"/>
        <v>0.154545454545455</v>
      </c>
    </row>
    <row r="43" s="4" customFormat="1" spans="1:18">
      <c r="A43" s="6">
        <v>799</v>
      </c>
      <c r="B43" s="6">
        <v>3.68</v>
      </c>
      <c r="C43" s="6">
        <v>2.49</v>
      </c>
      <c r="D43" s="6">
        <v>9.16</v>
      </c>
      <c r="E43" s="15">
        <v>4559915364.72</v>
      </c>
      <c r="F43" s="6" t="s">
        <v>463</v>
      </c>
      <c r="G43" s="16">
        <f t="shared" si="0"/>
        <v>0.323369565217391</v>
      </c>
      <c r="H43" s="16">
        <f t="shared" si="1"/>
        <v>2.48913043478261</v>
      </c>
      <c r="I43" s="16">
        <f t="shared" si="2"/>
        <v>7.69747899159664</v>
      </c>
      <c r="J43" s="6">
        <v>3.23</v>
      </c>
      <c r="K43" s="6">
        <v>2.81133354835463</v>
      </c>
      <c r="L43" s="6">
        <v>8.8579</v>
      </c>
      <c r="M43" s="6">
        <v>8.43</v>
      </c>
      <c r="N43" s="6"/>
      <c r="O43" s="6"/>
      <c r="P43" s="6"/>
      <c r="Q43" s="6">
        <v>3.19</v>
      </c>
      <c r="R43" s="19">
        <f t="shared" si="3"/>
        <v>0.153605015673981</v>
      </c>
    </row>
    <row r="44" s="6" customFormat="1" spans="1:18">
      <c r="A44" s="4">
        <v>2000</v>
      </c>
      <c r="B44" s="4">
        <v>0.345</v>
      </c>
      <c r="C44" s="4">
        <v>0.285</v>
      </c>
      <c r="D44" s="4">
        <v>0.78</v>
      </c>
      <c r="E44" s="13">
        <v>754579408.5</v>
      </c>
      <c r="F44" s="4" t="s">
        <v>129</v>
      </c>
      <c r="G44" s="14">
        <f t="shared" si="0"/>
        <v>0.173913043478261</v>
      </c>
      <c r="H44" s="14">
        <f t="shared" si="1"/>
        <v>2.26086956521739</v>
      </c>
      <c r="I44" s="17">
        <f t="shared" si="2"/>
        <v>13</v>
      </c>
      <c r="J44" s="4">
        <v>0.39</v>
      </c>
      <c r="K44" s="4">
        <v>0.321560933071724</v>
      </c>
      <c r="L44" s="4">
        <v>31.4841</v>
      </c>
      <c r="M44" s="4">
        <v>31.915</v>
      </c>
      <c r="N44" s="4"/>
      <c r="O44" s="4"/>
      <c r="P44" s="4"/>
      <c r="Q44" s="4">
        <v>0.3</v>
      </c>
      <c r="R44" s="18">
        <f t="shared" si="3"/>
        <v>0.15</v>
      </c>
    </row>
    <row r="45" s="4" customFormat="1" spans="1:18">
      <c r="A45" s="4">
        <v>1378</v>
      </c>
      <c r="B45" s="4">
        <v>4.44</v>
      </c>
      <c r="C45" s="4">
        <v>3.08</v>
      </c>
      <c r="D45" s="4">
        <v>8.51</v>
      </c>
      <c r="E45" s="13">
        <v>29039064092</v>
      </c>
      <c r="F45" s="4" t="s">
        <v>347</v>
      </c>
      <c r="G45" s="14">
        <f t="shared" si="0"/>
        <v>0.306306306306306</v>
      </c>
      <c r="H45" s="14">
        <f t="shared" si="1"/>
        <v>1.91666666666667</v>
      </c>
      <c r="I45" s="17">
        <f t="shared" si="2"/>
        <v>6.25735294117647</v>
      </c>
      <c r="J45" s="4">
        <v>0.71</v>
      </c>
      <c r="K45" s="4">
        <v>0.44591546903972</v>
      </c>
      <c r="L45" s="4">
        <v>4.3706</v>
      </c>
      <c r="M45" s="4">
        <v>3.48</v>
      </c>
      <c r="Q45" s="4">
        <v>3.87</v>
      </c>
      <c r="R45" s="18">
        <f t="shared" si="3"/>
        <v>0.147286821705426</v>
      </c>
    </row>
    <row r="46" s="4" customFormat="1" spans="1:18">
      <c r="A46" s="4">
        <v>613</v>
      </c>
      <c r="B46" s="4">
        <v>0.125</v>
      </c>
      <c r="C46" s="4">
        <v>0.074</v>
      </c>
      <c r="D46" s="4">
        <v>0.181</v>
      </c>
      <c r="E46" s="13">
        <v>1051496273.43</v>
      </c>
      <c r="F46" s="4" t="s">
        <v>215</v>
      </c>
      <c r="G46" s="14">
        <f t="shared" si="0"/>
        <v>0.408</v>
      </c>
      <c r="H46" s="14">
        <f t="shared" si="1"/>
        <v>1.448</v>
      </c>
      <c r="I46" s="17">
        <f t="shared" si="2"/>
        <v>3.54901960784314</v>
      </c>
      <c r="J46" s="4" t="s">
        <v>88</v>
      </c>
      <c r="K46" s="4">
        <v>0.35</v>
      </c>
      <c r="L46" s="4">
        <v>19.1525423728813</v>
      </c>
      <c r="M46" s="4">
        <v>3.5578</v>
      </c>
      <c r="N46" s="4">
        <v>3.428</v>
      </c>
      <c r="Q46" s="4">
        <v>0.109</v>
      </c>
      <c r="R46" s="18">
        <f t="shared" si="3"/>
        <v>0.146788990825688</v>
      </c>
    </row>
    <row r="47" s="4" customFormat="1" spans="1:18">
      <c r="A47" s="4">
        <v>1246</v>
      </c>
      <c r="B47" s="4">
        <v>0.016</v>
      </c>
      <c r="C47" s="4">
        <v>0.014</v>
      </c>
      <c r="D47" s="4">
        <v>1.26</v>
      </c>
      <c r="E47" s="13">
        <v>398400000</v>
      </c>
      <c r="F47" s="4" t="s">
        <v>14</v>
      </c>
      <c r="G47" s="14">
        <f t="shared" si="0"/>
        <v>0.125</v>
      </c>
      <c r="H47" s="14">
        <f t="shared" si="1"/>
        <v>78.75</v>
      </c>
      <c r="I47" s="14">
        <f t="shared" si="2"/>
        <v>630</v>
      </c>
      <c r="J47" s="4">
        <v>1.32</v>
      </c>
      <c r="K47" s="4">
        <v>0.869565217391304</v>
      </c>
      <c r="L47" s="4">
        <v>4.3992</v>
      </c>
      <c r="M47" s="4">
        <v>3.182</v>
      </c>
      <c r="Q47" s="4">
        <v>0.014</v>
      </c>
      <c r="R47" s="18">
        <f t="shared" si="3"/>
        <v>0.142857142857143</v>
      </c>
    </row>
    <row r="48" s="4" customFormat="1" spans="1:18">
      <c r="A48" s="4">
        <v>498</v>
      </c>
      <c r="B48" s="4">
        <v>0.12</v>
      </c>
      <c r="C48" s="4">
        <v>0.104</v>
      </c>
      <c r="D48" s="4">
        <v>0.33</v>
      </c>
      <c r="E48" s="13">
        <v>498932302.35</v>
      </c>
      <c r="F48" s="4" t="s">
        <v>555</v>
      </c>
      <c r="G48" s="14">
        <f t="shared" si="0"/>
        <v>0.133333333333333</v>
      </c>
      <c r="H48" s="14">
        <f t="shared" si="1"/>
        <v>2.75</v>
      </c>
      <c r="I48" s="14">
        <f t="shared" si="2"/>
        <v>20.625</v>
      </c>
      <c r="J48" s="4">
        <v>0.11</v>
      </c>
      <c r="K48" s="4">
        <v>0.903814262023217</v>
      </c>
      <c r="L48" s="4">
        <v>5.7997</v>
      </c>
      <c r="M48" s="4">
        <v>5.585</v>
      </c>
      <c r="Q48" s="4">
        <v>0.105</v>
      </c>
      <c r="R48" s="18">
        <f t="shared" si="3"/>
        <v>0.142857142857143</v>
      </c>
    </row>
    <row r="49" s="4" customFormat="1" spans="1:18">
      <c r="A49" s="6">
        <v>3337</v>
      </c>
      <c r="B49" s="6">
        <v>0.72</v>
      </c>
      <c r="C49" s="6">
        <v>0.61</v>
      </c>
      <c r="D49" s="6">
        <v>5.2</v>
      </c>
      <c r="E49" s="15">
        <v>1443729330.55</v>
      </c>
      <c r="F49" s="6" t="s">
        <v>487</v>
      </c>
      <c r="G49" s="16">
        <f t="shared" si="0"/>
        <v>0.152777777777778</v>
      </c>
      <c r="H49" s="16">
        <f t="shared" si="1"/>
        <v>7.22222222222222</v>
      </c>
      <c r="I49" s="16">
        <f t="shared" si="2"/>
        <v>47.2727272727273</v>
      </c>
      <c r="J49" s="6">
        <v>0.57</v>
      </c>
      <c r="K49" s="16">
        <v>0.656958318561878</v>
      </c>
      <c r="L49" s="6"/>
      <c r="M49" s="6"/>
      <c r="N49" s="6"/>
      <c r="O49" s="6"/>
      <c r="P49" s="6"/>
      <c r="Q49" s="6">
        <v>0.63</v>
      </c>
      <c r="R49" s="19">
        <f t="shared" si="3"/>
        <v>0.142857142857143</v>
      </c>
    </row>
    <row r="50" s="6" customFormat="1" spans="1:18">
      <c r="A50" s="6">
        <v>777</v>
      </c>
      <c r="B50" s="6">
        <v>20</v>
      </c>
      <c r="C50" s="6">
        <v>11.8</v>
      </c>
      <c r="D50" s="6">
        <v>42.05</v>
      </c>
      <c r="E50" s="15">
        <v>9007899762</v>
      </c>
      <c r="F50" s="6" t="s">
        <v>541</v>
      </c>
      <c r="G50" s="16">
        <f t="shared" si="0"/>
        <v>0.41</v>
      </c>
      <c r="H50" s="16">
        <f t="shared" si="1"/>
        <v>2.1025</v>
      </c>
      <c r="I50" s="16">
        <f t="shared" si="2"/>
        <v>5.12804878048781</v>
      </c>
      <c r="J50" s="6">
        <v>1.71</v>
      </c>
      <c r="K50" s="6">
        <v>6.31895569125926</v>
      </c>
      <c r="L50" s="6">
        <v>40.7741</v>
      </c>
      <c r="M50" s="6">
        <v>40.386</v>
      </c>
      <c r="Q50" s="6">
        <v>17.56</v>
      </c>
      <c r="R50" s="19">
        <f t="shared" si="3"/>
        <v>0.138952164009112</v>
      </c>
    </row>
    <row r="51" s="4" customFormat="1" spans="1:18">
      <c r="A51" s="4">
        <v>552</v>
      </c>
      <c r="B51" s="4">
        <v>2.96</v>
      </c>
      <c r="C51" s="4">
        <v>2.59</v>
      </c>
      <c r="D51" s="4">
        <v>4.69</v>
      </c>
      <c r="E51" s="13">
        <v>6576405660</v>
      </c>
      <c r="F51" s="4" t="s">
        <v>92</v>
      </c>
      <c r="G51" s="14">
        <f t="shared" si="0"/>
        <v>0.125</v>
      </c>
      <c r="H51" s="14">
        <f t="shared" si="1"/>
        <v>1.58445945945946</v>
      </c>
      <c r="I51" s="17">
        <f t="shared" si="2"/>
        <v>12.6756756756757</v>
      </c>
      <c r="J51" s="4">
        <v>0.63</v>
      </c>
      <c r="K51" s="4">
        <v>0.200960016838666</v>
      </c>
      <c r="L51" s="4">
        <v>7.084</v>
      </c>
      <c r="M51" s="4">
        <v>6.723</v>
      </c>
      <c r="Q51" s="4">
        <v>2.61</v>
      </c>
      <c r="R51" s="18">
        <f t="shared" si="3"/>
        <v>0.134099616858238</v>
      </c>
    </row>
    <row r="52" s="6" customFormat="1" spans="1:18">
      <c r="A52" s="6">
        <v>451</v>
      </c>
      <c r="B52" s="6">
        <v>0.385</v>
      </c>
      <c r="C52" s="6">
        <v>0.31</v>
      </c>
      <c r="D52" s="6">
        <v>1.44</v>
      </c>
      <c r="E52" s="15">
        <v>6771168981.55</v>
      </c>
      <c r="F52" s="6" t="s">
        <v>345</v>
      </c>
      <c r="G52" s="16">
        <f t="shared" si="0"/>
        <v>0.194805194805195</v>
      </c>
      <c r="H52" s="16">
        <f t="shared" si="1"/>
        <v>3.74025974025974</v>
      </c>
      <c r="I52" s="16">
        <f t="shared" si="2"/>
        <v>19.2</v>
      </c>
      <c r="J52" s="6">
        <v>2.22</v>
      </c>
      <c r="K52" s="6">
        <v>2.06155632984901</v>
      </c>
      <c r="P52" s="4"/>
      <c r="Q52" s="6">
        <v>0.34</v>
      </c>
      <c r="R52" s="18">
        <f t="shared" si="3"/>
        <v>0.132352941176471</v>
      </c>
    </row>
    <row r="53" s="4" customFormat="1" spans="1:18">
      <c r="A53" s="4">
        <v>8046</v>
      </c>
      <c r="B53" s="4">
        <v>0.3</v>
      </c>
      <c r="C53" s="4">
        <v>0.081</v>
      </c>
      <c r="D53" s="4">
        <v>0.35</v>
      </c>
      <c r="E53" s="13">
        <v>1420251350.76</v>
      </c>
      <c r="F53" s="4" t="s">
        <v>237</v>
      </c>
      <c r="G53" s="14">
        <f t="shared" si="0"/>
        <v>0.73</v>
      </c>
      <c r="H53" s="14">
        <f t="shared" si="1"/>
        <v>1.16666666666667</v>
      </c>
      <c r="I53" s="17">
        <f t="shared" si="2"/>
        <v>1.59817351598174</v>
      </c>
      <c r="J53" s="4">
        <v>3.04</v>
      </c>
      <c r="K53" s="14">
        <v>48.2142857142857</v>
      </c>
      <c r="P53" s="6"/>
      <c r="Q53" s="4">
        <v>0.265</v>
      </c>
      <c r="R53" s="18">
        <f t="shared" si="3"/>
        <v>0.132075471698113</v>
      </c>
    </row>
    <row r="54" s="4" customFormat="1" spans="1:18">
      <c r="A54" s="4">
        <v>1800</v>
      </c>
      <c r="B54" s="4">
        <v>6.62</v>
      </c>
      <c r="C54" s="4">
        <v>5.45</v>
      </c>
      <c r="D54" s="4">
        <v>17</v>
      </c>
      <c r="E54" s="13">
        <v>27317675000</v>
      </c>
      <c r="F54" s="4" t="s">
        <v>128</v>
      </c>
      <c r="G54" s="14">
        <f t="shared" si="0"/>
        <v>0.176737160120846</v>
      </c>
      <c r="H54" s="14">
        <f t="shared" si="1"/>
        <v>2.56797583081571</v>
      </c>
      <c r="I54" s="17">
        <f t="shared" si="2"/>
        <v>14.5299145299145</v>
      </c>
      <c r="J54" s="4">
        <v>0.67</v>
      </c>
      <c r="K54" s="4">
        <v>0.223206637857189</v>
      </c>
      <c r="L54" s="4">
        <v>5.707</v>
      </c>
      <c r="M54" s="4">
        <v>5.411</v>
      </c>
      <c r="Q54" s="4">
        <v>5.85</v>
      </c>
      <c r="R54" s="18">
        <f t="shared" si="3"/>
        <v>0.131623931623932</v>
      </c>
    </row>
    <row r="55" s="4" customFormat="1" spans="1:18">
      <c r="A55" s="4">
        <v>2356</v>
      </c>
      <c r="B55" s="4">
        <v>12.92</v>
      </c>
      <c r="C55" s="4">
        <v>11.4</v>
      </c>
      <c r="D55" s="4">
        <v>19.6</v>
      </c>
      <c r="E55" s="13">
        <v>16234833768.24</v>
      </c>
      <c r="F55" s="4" t="s">
        <v>467</v>
      </c>
      <c r="G55" s="14">
        <f t="shared" si="0"/>
        <v>0.117647058823529</v>
      </c>
      <c r="H55" s="14">
        <f t="shared" si="1"/>
        <v>1.51702786377709</v>
      </c>
      <c r="I55" s="17">
        <f t="shared" si="2"/>
        <v>12.8947368421053</v>
      </c>
      <c r="J55" s="4">
        <v>0.78</v>
      </c>
      <c r="K55" s="4">
        <v>3.49163274536408</v>
      </c>
      <c r="L55" s="4">
        <v>7.9831</v>
      </c>
      <c r="M55" s="4">
        <v>7.671</v>
      </c>
      <c r="Q55" s="4">
        <v>11.42</v>
      </c>
      <c r="R55" s="18">
        <f t="shared" si="3"/>
        <v>0.131348511383538</v>
      </c>
    </row>
    <row r="56" s="4" customFormat="1" spans="1:18">
      <c r="A56" s="4">
        <v>8078</v>
      </c>
      <c r="B56" s="4">
        <v>0.39</v>
      </c>
      <c r="C56" s="4">
        <v>0.29</v>
      </c>
      <c r="D56" s="4">
        <v>19.5</v>
      </c>
      <c r="E56" s="13">
        <v>1379792960.64</v>
      </c>
      <c r="F56" s="4" t="s">
        <v>288</v>
      </c>
      <c r="G56" s="14">
        <f t="shared" si="0"/>
        <v>0.256410256410256</v>
      </c>
      <c r="H56" s="14">
        <f t="shared" si="1"/>
        <v>50</v>
      </c>
      <c r="I56" s="14">
        <f t="shared" si="2"/>
        <v>195</v>
      </c>
      <c r="J56" s="4">
        <v>2.89</v>
      </c>
      <c r="K56" s="14">
        <v>3.17460317460317</v>
      </c>
      <c r="P56" s="6"/>
      <c r="Q56" s="4">
        <v>0.345</v>
      </c>
      <c r="R56" s="18">
        <f t="shared" si="3"/>
        <v>0.130434782608696</v>
      </c>
    </row>
    <row r="57" s="6" customFormat="1" spans="1:18">
      <c r="A57" s="4">
        <v>8369</v>
      </c>
      <c r="B57" s="4">
        <v>0.35</v>
      </c>
      <c r="C57" s="4">
        <v>0.23</v>
      </c>
      <c r="D57" s="4">
        <v>14.88</v>
      </c>
      <c r="E57" s="13">
        <v>384000000</v>
      </c>
      <c r="F57" s="4" t="s">
        <v>339</v>
      </c>
      <c r="G57" s="14">
        <f t="shared" si="0"/>
        <v>0.342857142857143</v>
      </c>
      <c r="H57" s="14">
        <f t="shared" si="1"/>
        <v>42.5142857142857</v>
      </c>
      <c r="I57" s="14">
        <f t="shared" si="2"/>
        <v>124</v>
      </c>
      <c r="J57" s="4">
        <v>4.32</v>
      </c>
      <c r="K57" s="14">
        <v>2.32018561484918</v>
      </c>
      <c r="L57" s="4">
        <v>15.8331</v>
      </c>
      <c r="M57" s="4"/>
      <c r="N57" s="4"/>
      <c r="O57" s="4"/>
      <c r="P57" s="4"/>
      <c r="Q57" s="4">
        <v>0.31</v>
      </c>
      <c r="R57" s="18">
        <f t="shared" si="3"/>
        <v>0.129032258064516</v>
      </c>
    </row>
    <row r="58" s="4" customFormat="1" spans="1:18">
      <c r="A58" s="4">
        <v>8327</v>
      </c>
      <c r="B58" s="4">
        <v>0.53</v>
      </c>
      <c r="C58" s="4">
        <v>0.38</v>
      </c>
      <c r="D58" s="4">
        <v>1.46</v>
      </c>
      <c r="E58" s="13">
        <v>400000000</v>
      </c>
      <c r="F58" s="4" t="s">
        <v>312</v>
      </c>
      <c r="G58" s="14">
        <f t="shared" si="0"/>
        <v>0.283018867924528</v>
      </c>
      <c r="H58" s="14">
        <f t="shared" si="1"/>
        <v>2.75471698113208</v>
      </c>
      <c r="I58" s="14">
        <f t="shared" si="2"/>
        <v>9.73333333333333</v>
      </c>
      <c r="J58" s="4">
        <v>6.44</v>
      </c>
      <c r="K58" s="14">
        <v>1.82548375319459</v>
      </c>
      <c r="L58" s="4">
        <v>24.667</v>
      </c>
      <c r="Q58" s="4">
        <v>0.47</v>
      </c>
      <c r="R58" s="18">
        <f t="shared" si="3"/>
        <v>0.127659574468085</v>
      </c>
    </row>
    <row r="59" s="4" customFormat="1" spans="1:18">
      <c r="A59" s="6">
        <v>8001</v>
      </c>
      <c r="B59" s="6">
        <v>1.08</v>
      </c>
      <c r="C59" s="6">
        <v>0.85</v>
      </c>
      <c r="D59" s="6">
        <v>3.81</v>
      </c>
      <c r="E59" s="15">
        <v>374400000</v>
      </c>
      <c r="F59" s="6" t="s">
        <v>466</v>
      </c>
      <c r="G59" s="16">
        <f t="shared" si="0"/>
        <v>0.212962962962963</v>
      </c>
      <c r="H59" s="16">
        <f t="shared" si="1"/>
        <v>3.52777777777778</v>
      </c>
      <c r="I59" s="16">
        <f t="shared" si="2"/>
        <v>16.5652173913043</v>
      </c>
      <c r="J59" s="6">
        <v>1.37</v>
      </c>
      <c r="K59" s="16">
        <v>14.6478873239436</v>
      </c>
      <c r="L59" s="6">
        <v>20.8812</v>
      </c>
      <c r="M59" s="6">
        <v>16.609</v>
      </c>
      <c r="N59" s="6"/>
      <c r="O59" s="6"/>
      <c r="P59" s="6"/>
      <c r="Q59" s="6">
        <v>0.96</v>
      </c>
      <c r="R59" s="19">
        <f t="shared" si="3"/>
        <v>0.125</v>
      </c>
    </row>
    <row r="60" s="4" customFormat="1" spans="1:18">
      <c r="A60" s="4">
        <v>1818</v>
      </c>
      <c r="B60" s="4">
        <v>5.18</v>
      </c>
      <c r="C60" s="4">
        <v>3.4</v>
      </c>
      <c r="D60" s="4">
        <v>6.74</v>
      </c>
      <c r="E60" s="13">
        <v>4100682740</v>
      </c>
      <c r="F60" s="4" t="s">
        <v>504</v>
      </c>
      <c r="G60" s="14">
        <f t="shared" si="0"/>
        <v>0.343629343629344</v>
      </c>
      <c r="H60" s="14">
        <f t="shared" si="1"/>
        <v>1.3011583011583</v>
      </c>
      <c r="I60" s="17">
        <f t="shared" si="2"/>
        <v>3.78651685393258</v>
      </c>
      <c r="J60" s="4">
        <v>1.19</v>
      </c>
      <c r="K60" s="4">
        <v>1.97546065088774</v>
      </c>
      <c r="L60" s="4">
        <v>24.428</v>
      </c>
      <c r="M60" s="4">
        <v>24.01</v>
      </c>
      <c r="Q60" s="4">
        <v>4.61</v>
      </c>
      <c r="R60" s="18">
        <f t="shared" si="3"/>
        <v>0.123644251626898</v>
      </c>
    </row>
    <row r="61" s="4" customFormat="1" spans="1:18">
      <c r="A61" s="4">
        <v>2006</v>
      </c>
      <c r="B61" s="4">
        <v>2.91</v>
      </c>
      <c r="C61" s="4">
        <v>2.02</v>
      </c>
      <c r="D61" s="4">
        <v>4.14</v>
      </c>
      <c r="E61" s="13">
        <v>3701390000</v>
      </c>
      <c r="F61" s="4" t="s">
        <v>130</v>
      </c>
      <c r="G61" s="14">
        <f t="shared" si="0"/>
        <v>0.305841924398625</v>
      </c>
      <c r="H61" s="14">
        <f t="shared" si="1"/>
        <v>1.42268041237113</v>
      </c>
      <c r="I61" s="17">
        <f t="shared" si="2"/>
        <v>4.65168539325843</v>
      </c>
      <c r="J61" s="4">
        <v>1.24</v>
      </c>
      <c r="K61" s="4">
        <v>0.892025647521417</v>
      </c>
      <c r="L61" s="4">
        <v>18.5586</v>
      </c>
      <c r="M61" s="4">
        <v>18.553</v>
      </c>
      <c r="Q61" s="4">
        <v>2.59</v>
      </c>
      <c r="R61" s="18">
        <f t="shared" si="3"/>
        <v>0.123552123552124</v>
      </c>
    </row>
    <row r="62" s="4" customFormat="1" spans="1:18">
      <c r="A62" s="4">
        <v>1321</v>
      </c>
      <c r="B62" s="4">
        <v>9.5</v>
      </c>
      <c r="C62" s="4">
        <v>1.54</v>
      </c>
      <c r="D62" s="4">
        <v>14</v>
      </c>
      <c r="E62" s="13">
        <v>15103220000</v>
      </c>
      <c r="F62" s="4" t="s">
        <v>363</v>
      </c>
      <c r="G62" s="14">
        <f t="shared" si="0"/>
        <v>0.837894736842105</v>
      </c>
      <c r="H62" s="14">
        <f t="shared" si="1"/>
        <v>1.47368421052632</v>
      </c>
      <c r="I62" s="17">
        <f t="shared" si="2"/>
        <v>1.75879396984925</v>
      </c>
      <c r="J62" s="4">
        <v>2.72</v>
      </c>
      <c r="K62" s="4">
        <v>19.5414333931479</v>
      </c>
      <c r="L62" s="4">
        <v>24.736</v>
      </c>
      <c r="M62" s="4">
        <v>21.232</v>
      </c>
      <c r="Q62" s="4">
        <v>8.48</v>
      </c>
      <c r="R62" s="18">
        <f t="shared" si="3"/>
        <v>0.120283018867924</v>
      </c>
    </row>
    <row r="63" s="6" customFormat="1" spans="1:18">
      <c r="A63" s="6">
        <v>1180</v>
      </c>
      <c r="B63" s="6">
        <v>1.13</v>
      </c>
      <c r="C63" s="6">
        <v>1</v>
      </c>
      <c r="D63" s="6">
        <v>5.94</v>
      </c>
      <c r="E63" s="15">
        <v>1125838287.05</v>
      </c>
      <c r="F63" s="6" t="s">
        <v>109</v>
      </c>
      <c r="G63" s="16">
        <f t="shared" si="0"/>
        <v>0.115044247787611</v>
      </c>
      <c r="H63" s="16">
        <f t="shared" si="1"/>
        <v>5.25663716814159</v>
      </c>
      <c r="I63" s="16">
        <f t="shared" si="2"/>
        <v>45.6923076923077</v>
      </c>
      <c r="J63" s="6">
        <v>1.04</v>
      </c>
      <c r="K63" s="6">
        <v>0.978777899743871</v>
      </c>
      <c r="L63" s="6">
        <v>19.2639</v>
      </c>
      <c r="M63" s="6">
        <v>18.297</v>
      </c>
      <c r="Q63" s="6">
        <v>1.01</v>
      </c>
      <c r="R63" s="19">
        <f t="shared" si="3"/>
        <v>0.118811881188119</v>
      </c>
    </row>
    <row r="64" s="4" customFormat="1" spans="1:18">
      <c r="A64" s="4">
        <v>1022</v>
      </c>
      <c r="B64" s="4">
        <v>1.89</v>
      </c>
      <c r="C64" s="4">
        <v>1.49</v>
      </c>
      <c r="D64" s="4">
        <v>4.47</v>
      </c>
      <c r="E64" s="13">
        <v>2599736085</v>
      </c>
      <c r="F64" s="4" t="s">
        <v>674</v>
      </c>
      <c r="G64" s="14">
        <f t="shared" si="0"/>
        <v>0.211640211640212</v>
      </c>
      <c r="H64" s="14">
        <f t="shared" si="1"/>
        <v>2.36507936507936</v>
      </c>
      <c r="I64" s="17">
        <f t="shared" si="2"/>
        <v>11.175</v>
      </c>
      <c r="J64" s="4">
        <v>1.67</v>
      </c>
      <c r="K64" s="4">
        <v>5.67428116794795</v>
      </c>
      <c r="L64" s="4">
        <v>20.3185</v>
      </c>
      <c r="M64" s="4">
        <v>12.003</v>
      </c>
      <c r="Q64" s="4">
        <v>1.69</v>
      </c>
      <c r="R64" s="18">
        <f t="shared" si="3"/>
        <v>0.118343195266272</v>
      </c>
    </row>
    <row r="65" s="4" customFormat="1" spans="1:18">
      <c r="A65" s="4">
        <v>827</v>
      </c>
      <c r="B65" s="4">
        <v>0.39</v>
      </c>
      <c r="C65" s="4">
        <v>0.35</v>
      </c>
      <c r="D65" s="4">
        <v>2.85</v>
      </c>
      <c r="E65" s="13">
        <v>1618777039.6</v>
      </c>
      <c r="F65" s="4" t="s">
        <v>13</v>
      </c>
      <c r="G65" s="14">
        <f t="shared" si="0"/>
        <v>0.102564102564103</v>
      </c>
      <c r="H65" s="14">
        <f t="shared" si="1"/>
        <v>7.30769230769231</v>
      </c>
      <c r="I65" s="14">
        <f t="shared" si="2"/>
        <v>71.2499999999999</v>
      </c>
      <c r="J65" s="4">
        <v>0.79</v>
      </c>
      <c r="K65" s="4">
        <v>0.750173055546751</v>
      </c>
      <c r="Q65" s="4">
        <v>0.35</v>
      </c>
      <c r="R65" s="18">
        <f t="shared" si="3"/>
        <v>0.114285714285714</v>
      </c>
    </row>
    <row r="66" s="4" customFormat="1" spans="1:18">
      <c r="A66" s="4">
        <v>218</v>
      </c>
      <c r="B66" s="4">
        <v>3.12</v>
      </c>
      <c r="C66" s="4">
        <v>2.24</v>
      </c>
      <c r="D66" s="4">
        <v>9.75</v>
      </c>
      <c r="E66" s="13">
        <v>2364531906.33</v>
      </c>
      <c r="F66" s="4" t="s">
        <v>238</v>
      </c>
      <c r="G66" s="14">
        <f t="shared" ref="G66:G129" si="4">1-C66/B66</f>
        <v>0.282051282051282</v>
      </c>
      <c r="H66" s="14">
        <f t="shared" ref="H66:H129" si="5">D66/B66</f>
        <v>3.125</v>
      </c>
      <c r="I66" s="14">
        <f t="shared" ref="I66:I129" si="6">H66/G66</f>
        <v>11.0795454545455</v>
      </c>
      <c r="J66" s="4">
        <v>1.17</v>
      </c>
      <c r="K66" s="4">
        <v>2.72602111060119</v>
      </c>
      <c r="L66" s="4">
        <v>25.1723</v>
      </c>
      <c r="M66" s="4">
        <v>21.148</v>
      </c>
      <c r="Q66" s="4">
        <v>2.8</v>
      </c>
      <c r="R66" s="18">
        <f t="shared" ref="R66:R129" si="7">B66/Q66-1</f>
        <v>0.114285714285714</v>
      </c>
    </row>
    <row r="67" s="4" customFormat="1" spans="1:18">
      <c r="A67" s="4">
        <v>8207</v>
      </c>
      <c r="B67" s="4">
        <v>3.27</v>
      </c>
      <c r="C67" s="4">
        <v>0.67</v>
      </c>
      <c r="D67" s="4">
        <v>3.55</v>
      </c>
      <c r="E67" s="13">
        <v>12013151000</v>
      </c>
      <c r="F67" s="4" t="s">
        <v>477</v>
      </c>
      <c r="G67" s="14">
        <f t="shared" si="4"/>
        <v>0.795107033639144</v>
      </c>
      <c r="H67" s="14">
        <f t="shared" si="5"/>
        <v>1.08562691131498</v>
      </c>
      <c r="I67" s="17">
        <f t="shared" si="6"/>
        <v>1.36538461538462</v>
      </c>
      <c r="J67" s="4">
        <v>5.04</v>
      </c>
      <c r="K67" s="14">
        <v>16.1862475270938</v>
      </c>
      <c r="L67" s="4">
        <v>165.0934</v>
      </c>
      <c r="M67" s="4">
        <v>126.724</v>
      </c>
      <c r="Q67" s="4">
        <v>2.94</v>
      </c>
      <c r="R67" s="18">
        <f t="shared" si="7"/>
        <v>0.112244897959184</v>
      </c>
    </row>
    <row r="68" s="4" customFormat="1" spans="1:18">
      <c r="A68" s="4">
        <v>8006</v>
      </c>
      <c r="B68" s="4">
        <v>0.02</v>
      </c>
      <c r="C68" s="4">
        <v>0.018</v>
      </c>
      <c r="D68" s="4">
        <v>4.2</v>
      </c>
      <c r="E68" s="13">
        <v>128608369.2</v>
      </c>
      <c r="F68" s="4" t="s">
        <v>362</v>
      </c>
      <c r="G68" s="14">
        <f t="shared" si="4"/>
        <v>0.1</v>
      </c>
      <c r="H68" s="14">
        <f t="shared" si="5"/>
        <v>210</v>
      </c>
      <c r="I68" s="14">
        <f t="shared" si="6"/>
        <v>2100</v>
      </c>
      <c r="J68" s="4">
        <v>0.51</v>
      </c>
      <c r="K68" s="14">
        <v>1.81818181818181</v>
      </c>
      <c r="L68" s="4">
        <v>38.7141</v>
      </c>
      <c r="M68" s="4">
        <v>36</v>
      </c>
      <c r="Q68" s="4">
        <v>0.018</v>
      </c>
      <c r="R68" s="18">
        <f t="shared" si="7"/>
        <v>0.111111111111111</v>
      </c>
    </row>
    <row r="69" s="4" customFormat="1" spans="1:18">
      <c r="A69" s="4">
        <v>8018</v>
      </c>
      <c r="B69" s="4">
        <v>0.06</v>
      </c>
      <c r="C69" s="4">
        <v>0.05</v>
      </c>
      <c r="D69" s="4">
        <v>3.41</v>
      </c>
      <c r="E69" s="13">
        <v>220000000</v>
      </c>
      <c r="F69" s="4" t="s">
        <v>449</v>
      </c>
      <c r="G69" s="14">
        <f t="shared" si="4"/>
        <v>0.166666666666667</v>
      </c>
      <c r="H69" s="14">
        <f t="shared" si="5"/>
        <v>56.8333333333333</v>
      </c>
      <c r="I69" s="14">
        <f t="shared" si="6"/>
        <v>341</v>
      </c>
      <c r="J69" s="4">
        <v>3.72</v>
      </c>
      <c r="K69" s="14">
        <v>7.43243243243243</v>
      </c>
      <c r="L69" s="4">
        <v>19.083</v>
      </c>
      <c r="M69" s="4">
        <v>19.286</v>
      </c>
      <c r="Q69" s="4">
        <v>0.054</v>
      </c>
      <c r="R69" s="18">
        <f t="shared" si="7"/>
        <v>0.111111111111111</v>
      </c>
    </row>
    <row r="70" s="6" customFormat="1" spans="1:18">
      <c r="A70" s="6">
        <v>2280</v>
      </c>
      <c r="B70" s="6">
        <v>3.73</v>
      </c>
      <c r="C70" s="6">
        <v>3.04</v>
      </c>
      <c r="D70" s="6">
        <v>18.48</v>
      </c>
      <c r="E70" s="15">
        <v>3113813516.38</v>
      </c>
      <c r="F70" s="6" t="s">
        <v>495</v>
      </c>
      <c r="G70" s="16">
        <f t="shared" si="4"/>
        <v>0.184986595174263</v>
      </c>
      <c r="H70" s="16">
        <f t="shared" si="5"/>
        <v>4.9544235924933</v>
      </c>
      <c r="I70" s="16">
        <f t="shared" si="6"/>
        <v>26.7826086956522</v>
      </c>
      <c r="J70" s="6">
        <v>1.61</v>
      </c>
      <c r="K70" s="6">
        <v>2.50344826483432</v>
      </c>
      <c r="L70" s="6">
        <v>13.2719</v>
      </c>
      <c r="M70" s="6">
        <v>9.483</v>
      </c>
      <c r="Q70" s="6">
        <v>3.36</v>
      </c>
      <c r="R70" s="18">
        <f t="shared" si="7"/>
        <v>0.110119047619048</v>
      </c>
    </row>
    <row r="71" s="4" customFormat="1" spans="1:18">
      <c r="A71" s="4">
        <v>2255</v>
      </c>
      <c r="B71" s="4">
        <v>1.62</v>
      </c>
      <c r="C71" s="4">
        <v>1.02</v>
      </c>
      <c r="D71" s="4">
        <v>2.13</v>
      </c>
      <c r="E71" s="13">
        <v>5920000000</v>
      </c>
      <c r="F71" s="4" t="s">
        <v>134</v>
      </c>
      <c r="G71" s="14">
        <f t="shared" si="4"/>
        <v>0.37037037037037</v>
      </c>
      <c r="H71" s="14">
        <f t="shared" si="5"/>
        <v>1.31481481481481</v>
      </c>
      <c r="I71" s="17">
        <f t="shared" si="6"/>
        <v>3.55</v>
      </c>
      <c r="J71" s="4">
        <v>1.28</v>
      </c>
      <c r="K71" s="4">
        <v>4.01155740530515</v>
      </c>
      <c r="L71" s="4">
        <v>24.3276</v>
      </c>
      <c r="M71" s="4">
        <v>23.138</v>
      </c>
      <c r="Q71" s="4">
        <v>1.46</v>
      </c>
      <c r="R71" s="18">
        <f t="shared" si="7"/>
        <v>0.10958904109589</v>
      </c>
    </row>
    <row r="72" s="4" customFormat="1" spans="1:18">
      <c r="A72" s="4">
        <v>1332</v>
      </c>
      <c r="B72" s="4">
        <v>0.275</v>
      </c>
      <c r="C72" s="4">
        <v>0.03</v>
      </c>
      <c r="D72" s="4">
        <v>0.7</v>
      </c>
      <c r="E72" s="13">
        <v>1154800338.65</v>
      </c>
      <c r="F72" s="4" t="s">
        <v>254</v>
      </c>
      <c r="G72" s="14">
        <f t="shared" si="4"/>
        <v>0.890909090909091</v>
      </c>
      <c r="H72" s="14">
        <f t="shared" si="5"/>
        <v>2.54545454545454</v>
      </c>
      <c r="I72" s="17">
        <f t="shared" si="6"/>
        <v>2.85714285714286</v>
      </c>
      <c r="J72" s="4">
        <v>1.86</v>
      </c>
      <c r="K72" s="4">
        <v>5.35714285714285</v>
      </c>
      <c r="L72" s="4">
        <v>108.5226</v>
      </c>
      <c r="M72" s="4">
        <v>85.517</v>
      </c>
      <c r="Q72" s="4">
        <v>0.248</v>
      </c>
      <c r="R72" s="18">
        <f t="shared" si="7"/>
        <v>0.108870967741935</v>
      </c>
    </row>
    <row r="73" s="4" customFormat="1" spans="1:18">
      <c r="A73" s="4">
        <v>3818</v>
      </c>
      <c r="B73" s="4">
        <v>1.63</v>
      </c>
      <c r="C73" s="4">
        <v>1.11</v>
      </c>
      <c r="D73" s="4">
        <v>2.41</v>
      </c>
      <c r="E73" s="13">
        <v>8636785560</v>
      </c>
      <c r="F73" s="4" t="s">
        <v>679</v>
      </c>
      <c r="G73" s="14">
        <f t="shared" si="4"/>
        <v>0.319018404907975</v>
      </c>
      <c r="H73" s="14">
        <f t="shared" si="5"/>
        <v>1.47852760736196</v>
      </c>
      <c r="I73" s="17">
        <f t="shared" si="6"/>
        <v>4.63461538461539</v>
      </c>
      <c r="J73" s="4">
        <v>0.76</v>
      </c>
      <c r="K73" s="14">
        <v>4.2398924632813</v>
      </c>
      <c r="L73" s="4">
        <v>7.546</v>
      </c>
      <c r="M73" s="4">
        <v>7.078</v>
      </c>
      <c r="Q73" s="4">
        <v>1.47</v>
      </c>
      <c r="R73" s="18">
        <f t="shared" si="7"/>
        <v>0.108843537414966</v>
      </c>
    </row>
    <row r="74" s="4" customFormat="1" spans="1:18">
      <c r="A74" s="4">
        <v>1139</v>
      </c>
      <c r="B74" s="4">
        <v>0.415</v>
      </c>
      <c r="C74" s="4">
        <v>0.19</v>
      </c>
      <c r="D74" s="4">
        <v>0.83</v>
      </c>
      <c r="E74" s="13">
        <v>313588449.87</v>
      </c>
      <c r="F74" s="4" t="s">
        <v>359</v>
      </c>
      <c r="G74" s="14">
        <f t="shared" si="4"/>
        <v>0.542168674698795</v>
      </c>
      <c r="H74" s="14">
        <f t="shared" si="5"/>
        <v>2</v>
      </c>
      <c r="I74" s="17">
        <f t="shared" si="6"/>
        <v>3.68888888888889</v>
      </c>
      <c r="J74" s="4">
        <v>5.03</v>
      </c>
      <c r="K74" s="4">
        <v>30.672268907563</v>
      </c>
      <c r="Q74" s="4">
        <v>0.375</v>
      </c>
      <c r="R74" s="18">
        <f t="shared" si="7"/>
        <v>0.106666666666667</v>
      </c>
    </row>
    <row r="75" s="4" customFormat="1" spans="1:18">
      <c r="A75" s="4">
        <v>806</v>
      </c>
      <c r="B75" s="4">
        <v>6.87</v>
      </c>
      <c r="C75" s="4">
        <v>5.34</v>
      </c>
      <c r="D75" s="4">
        <v>18.1</v>
      </c>
      <c r="E75" s="13">
        <v>11998159253.19</v>
      </c>
      <c r="F75" s="4" t="s">
        <v>278</v>
      </c>
      <c r="G75" s="14">
        <f t="shared" si="4"/>
        <v>0.222707423580786</v>
      </c>
      <c r="H75" s="14">
        <f t="shared" si="5"/>
        <v>2.63464337700146</v>
      </c>
      <c r="I75" s="17">
        <f t="shared" si="6"/>
        <v>11.8300653594771</v>
      </c>
      <c r="J75" s="4">
        <v>3.08</v>
      </c>
      <c r="K75" s="4">
        <v>6.35526831179005</v>
      </c>
      <c r="L75" s="4">
        <v>14.9198</v>
      </c>
      <c r="M75" s="4">
        <v>13.669</v>
      </c>
      <c r="Q75" s="4">
        <v>6.21</v>
      </c>
      <c r="R75" s="18">
        <f t="shared" si="7"/>
        <v>0.106280193236715</v>
      </c>
    </row>
    <row r="76" s="4" customFormat="1" spans="1:18">
      <c r="A76" s="4">
        <v>3899</v>
      </c>
      <c r="B76" s="4">
        <v>4.07</v>
      </c>
      <c r="C76" s="4">
        <v>3.63</v>
      </c>
      <c r="D76" s="4">
        <v>10.48</v>
      </c>
      <c r="E76" s="13">
        <v>7142463954.72</v>
      </c>
      <c r="F76" s="4" t="s">
        <v>209</v>
      </c>
      <c r="G76" s="14">
        <f t="shared" si="4"/>
        <v>0.108108108108108</v>
      </c>
      <c r="H76" s="14">
        <f t="shared" si="5"/>
        <v>2.57493857493857</v>
      </c>
      <c r="I76" s="17">
        <f t="shared" si="6"/>
        <v>23.8181818181818</v>
      </c>
      <c r="J76" s="4">
        <v>0.99</v>
      </c>
      <c r="K76" s="14">
        <v>0.672008323025229</v>
      </c>
      <c r="L76" s="4">
        <v>5.5819</v>
      </c>
      <c r="M76" s="4">
        <v>5.561</v>
      </c>
      <c r="Q76" s="4">
        <v>3.68</v>
      </c>
      <c r="R76" s="18">
        <f t="shared" si="7"/>
        <v>0.105978260869565</v>
      </c>
    </row>
    <row r="77" s="4" customFormat="1" spans="1:18">
      <c r="A77" s="4">
        <v>579</v>
      </c>
      <c r="B77" s="4">
        <v>2.3</v>
      </c>
      <c r="C77" s="4">
        <v>1.99</v>
      </c>
      <c r="D77" s="4">
        <v>4.19</v>
      </c>
      <c r="E77" s="13">
        <v>5187740800</v>
      </c>
      <c r="F77" s="4" t="s">
        <v>548</v>
      </c>
      <c r="G77" s="14">
        <f t="shared" si="4"/>
        <v>0.134782608695652</v>
      </c>
      <c r="H77" s="14">
        <f t="shared" si="5"/>
        <v>1.82173913043478</v>
      </c>
      <c r="I77" s="17">
        <f t="shared" si="6"/>
        <v>13.5161290322581</v>
      </c>
      <c r="J77" s="4">
        <v>0.81</v>
      </c>
      <c r="K77" s="4">
        <v>0.784188255369337</v>
      </c>
      <c r="L77" s="4">
        <v>10.004</v>
      </c>
      <c r="M77" s="4">
        <v>9.043</v>
      </c>
      <c r="Q77" s="4">
        <v>2.08</v>
      </c>
      <c r="R77" s="18">
        <f t="shared" si="7"/>
        <v>0.105769230769231</v>
      </c>
    </row>
    <row r="78" s="4" customFormat="1" spans="1:18">
      <c r="A78" s="4">
        <v>1778</v>
      </c>
      <c r="B78" s="4">
        <v>5.55</v>
      </c>
      <c r="C78" s="4">
        <v>4.45</v>
      </c>
      <c r="D78" s="4">
        <v>13.5</v>
      </c>
      <c r="E78" s="13">
        <v>5030598570</v>
      </c>
      <c r="F78" s="4" t="s">
        <v>508</v>
      </c>
      <c r="G78" s="14">
        <f t="shared" si="4"/>
        <v>0.198198198198198</v>
      </c>
      <c r="H78" s="14">
        <f t="shared" si="5"/>
        <v>2.43243243243243</v>
      </c>
      <c r="I78" s="17">
        <f t="shared" si="6"/>
        <v>12.2727272727273</v>
      </c>
      <c r="J78" s="4">
        <v>3.58</v>
      </c>
      <c r="K78" s="4">
        <v>7.13361039538638</v>
      </c>
      <c r="L78" s="4">
        <v>27.5627</v>
      </c>
      <c r="M78" s="4">
        <v>24.1</v>
      </c>
      <c r="Q78" s="4">
        <v>5.02</v>
      </c>
      <c r="R78" s="18">
        <f t="shared" si="7"/>
        <v>0.105577689243028</v>
      </c>
    </row>
    <row r="79" s="4" customFormat="1" spans="1:18">
      <c r="A79" s="6">
        <v>1788</v>
      </c>
      <c r="B79" s="6">
        <v>2.02</v>
      </c>
      <c r="C79" s="6">
        <v>1.56</v>
      </c>
      <c r="D79" s="6">
        <v>5.82</v>
      </c>
      <c r="E79" s="15">
        <v>13521900991.95</v>
      </c>
      <c r="F79" s="6" t="s">
        <v>505</v>
      </c>
      <c r="G79" s="16">
        <f t="shared" si="4"/>
        <v>0.227722772277228</v>
      </c>
      <c r="H79" s="16">
        <f t="shared" si="5"/>
        <v>2.88118811881188</v>
      </c>
      <c r="I79" s="16">
        <f t="shared" si="6"/>
        <v>12.6521739130435</v>
      </c>
      <c r="J79" s="6">
        <v>1.83</v>
      </c>
      <c r="K79" s="6">
        <v>5.54765291607396</v>
      </c>
      <c r="L79" s="6">
        <v>16.9068</v>
      </c>
      <c r="M79" s="6">
        <v>13.147</v>
      </c>
      <c r="N79" s="6"/>
      <c r="O79" s="6"/>
      <c r="Q79" s="6">
        <v>1.83</v>
      </c>
      <c r="R79" s="18">
        <f t="shared" si="7"/>
        <v>0.103825136612022</v>
      </c>
    </row>
    <row r="80" s="4" customFormat="1" spans="1:18">
      <c r="A80" s="4">
        <v>6837</v>
      </c>
      <c r="B80" s="4">
        <v>11.66</v>
      </c>
      <c r="C80" s="4">
        <v>10</v>
      </c>
      <c r="D80" s="4">
        <v>27.9</v>
      </c>
      <c r="E80" s="13">
        <v>37709831149.2</v>
      </c>
      <c r="F80" s="4" t="s">
        <v>163</v>
      </c>
      <c r="G80" s="14">
        <f t="shared" si="4"/>
        <v>0.142367066895369</v>
      </c>
      <c r="H80" s="14">
        <f t="shared" si="5"/>
        <v>2.39279588336192</v>
      </c>
      <c r="I80" s="17">
        <f t="shared" si="6"/>
        <v>16.8072289156626</v>
      </c>
      <c r="J80" s="4">
        <v>0.98</v>
      </c>
      <c r="K80" s="14">
        <v>1.69147521968462</v>
      </c>
      <c r="L80" s="4">
        <v>13.1941</v>
      </c>
      <c r="M80" s="4">
        <v>10.518</v>
      </c>
      <c r="Q80" s="4">
        <v>10.58</v>
      </c>
      <c r="R80" s="18">
        <f t="shared" si="7"/>
        <v>0.102079395085066</v>
      </c>
    </row>
    <row r="81" s="4" customFormat="1" spans="1:18">
      <c r="A81" s="4">
        <v>2789</v>
      </c>
      <c r="B81" s="4">
        <v>0.33</v>
      </c>
      <c r="C81" s="4">
        <v>0.295</v>
      </c>
      <c r="D81" s="4">
        <v>0.79</v>
      </c>
      <c r="E81" s="13">
        <v>1924707540</v>
      </c>
      <c r="F81" s="4" t="s">
        <v>489</v>
      </c>
      <c r="G81" s="14">
        <f t="shared" si="4"/>
        <v>0.106060606060606</v>
      </c>
      <c r="H81" s="14">
        <f t="shared" si="5"/>
        <v>2.39393939393939</v>
      </c>
      <c r="I81" s="17">
        <f t="shared" si="6"/>
        <v>22.5714285714285</v>
      </c>
      <c r="J81" s="4">
        <v>0.45</v>
      </c>
      <c r="K81" s="4">
        <v>0.201741376899995</v>
      </c>
      <c r="L81" s="4">
        <v>60.1349</v>
      </c>
      <c r="M81" s="4">
        <v>57.692</v>
      </c>
      <c r="P81" s="6"/>
      <c r="Q81" s="4">
        <v>0.3</v>
      </c>
      <c r="R81" s="18">
        <f t="shared" si="7"/>
        <v>0.1</v>
      </c>
    </row>
    <row r="82" s="4" customFormat="1" spans="1:18">
      <c r="A82" s="6">
        <v>245</v>
      </c>
      <c r="B82" s="6">
        <v>0.66</v>
      </c>
      <c r="C82" s="6">
        <v>0.16</v>
      </c>
      <c r="D82" s="6">
        <v>1.91</v>
      </c>
      <c r="E82" s="15">
        <v>17645647662.5</v>
      </c>
      <c r="F82" s="6" t="s">
        <v>438</v>
      </c>
      <c r="G82" s="16">
        <f t="shared" si="4"/>
        <v>0.757575757575758</v>
      </c>
      <c r="H82" s="16">
        <f t="shared" si="5"/>
        <v>2.89393939393939</v>
      </c>
      <c r="I82" s="16">
        <f t="shared" si="6"/>
        <v>3.82</v>
      </c>
      <c r="J82" s="6">
        <v>3.33</v>
      </c>
      <c r="K82" s="6">
        <v>5.28138528138528</v>
      </c>
      <c r="L82" s="6"/>
      <c r="M82" s="6"/>
      <c r="N82" s="6"/>
      <c r="O82" s="6"/>
      <c r="Q82" s="6">
        <v>0.6</v>
      </c>
      <c r="R82" s="18">
        <f t="shared" si="7"/>
        <v>0.1</v>
      </c>
    </row>
    <row r="83" s="4" customFormat="1" spans="1:18">
      <c r="A83" s="4">
        <v>665</v>
      </c>
      <c r="B83" s="4">
        <v>3.96</v>
      </c>
      <c r="C83" s="4">
        <v>2.71</v>
      </c>
      <c r="D83" s="4">
        <v>9.2</v>
      </c>
      <c r="E83" s="13">
        <v>19678502753.4</v>
      </c>
      <c r="F83" s="4" t="s">
        <v>547</v>
      </c>
      <c r="G83" s="14">
        <f t="shared" si="4"/>
        <v>0.315656565656566</v>
      </c>
      <c r="H83" s="14">
        <f t="shared" si="5"/>
        <v>2.32323232323232</v>
      </c>
      <c r="I83" s="17">
        <f t="shared" si="6"/>
        <v>7.36</v>
      </c>
      <c r="J83" s="4">
        <v>0.92</v>
      </c>
      <c r="K83" s="4">
        <v>2.29035833025489</v>
      </c>
      <c r="L83" s="4">
        <v>19.3254</v>
      </c>
      <c r="M83" s="4">
        <v>9.706</v>
      </c>
      <c r="Q83" s="4">
        <v>3.6</v>
      </c>
      <c r="R83" s="18">
        <f t="shared" si="7"/>
        <v>0.0999999999999999</v>
      </c>
    </row>
    <row r="84" s="4" customFormat="1" spans="1:18">
      <c r="A84" s="4">
        <v>2196</v>
      </c>
      <c r="B84" s="4">
        <v>18</v>
      </c>
      <c r="C84" s="4">
        <v>16.32</v>
      </c>
      <c r="D84" s="4">
        <v>35.15</v>
      </c>
      <c r="E84" s="13">
        <v>6775171200</v>
      </c>
      <c r="F84" s="4" t="s">
        <v>575</v>
      </c>
      <c r="G84" s="14">
        <f t="shared" si="4"/>
        <v>0.0933333333333333</v>
      </c>
      <c r="H84" s="14">
        <f t="shared" si="5"/>
        <v>1.95277777777778</v>
      </c>
      <c r="I84" s="17">
        <f t="shared" si="6"/>
        <v>20.9226190476191</v>
      </c>
      <c r="J84" s="4">
        <v>1.84</v>
      </c>
      <c r="K84" s="4">
        <v>2.60600212237156</v>
      </c>
      <c r="L84" s="4">
        <v>14.7152</v>
      </c>
      <c r="M84" s="4">
        <v>14.227</v>
      </c>
      <c r="Q84" s="4">
        <v>16.38</v>
      </c>
      <c r="R84" s="18">
        <f t="shared" si="7"/>
        <v>0.098901098901099</v>
      </c>
    </row>
    <row r="85" s="4" customFormat="1" spans="1:18">
      <c r="A85" s="6">
        <v>812</v>
      </c>
      <c r="B85" s="6">
        <v>0.56</v>
      </c>
      <c r="C85" s="6">
        <v>0.45</v>
      </c>
      <c r="D85" s="6">
        <v>1.77</v>
      </c>
      <c r="E85" s="15">
        <v>1342671224.95</v>
      </c>
      <c r="F85" s="6" t="s">
        <v>691</v>
      </c>
      <c r="G85" s="16">
        <f t="shared" si="4"/>
        <v>0.196428571428572</v>
      </c>
      <c r="H85" s="16">
        <f t="shared" si="5"/>
        <v>3.16071428571429</v>
      </c>
      <c r="I85" s="16">
        <f t="shared" si="6"/>
        <v>16.0909090909091</v>
      </c>
      <c r="J85" s="6">
        <v>2.54</v>
      </c>
      <c r="K85" s="6">
        <v>20.9125475285171</v>
      </c>
      <c r="L85" s="6">
        <v>118.9152</v>
      </c>
      <c r="M85" s="6">
        <v>80.952</v>
      </c>
      <c r="N85" s="6"/>
      <c r="O85" s="6"/>
      <c r="Q85" s="6">
        <v>0.51</v>
      </c>
      <c r="R85" s="18">
        <f t="shared" si="7"/>
        <v>0.0980392156862746</v>
      </c>
    </row>
    <row r="86" s="4" customFormat="1" spans="1:18">
      <c r="A86" s="4">
        <v>696</v>
      </c>
      <c r="B86" s="4">
        <v>11.2</v>
      </c>
      <c r="C86" s="4">
        <v>6.76</v>
      </c>
      <c r="D86" s="4">
        <v>15.6</v>
      </c>
      <c r="E86" s="13">
        <v>9997064640</v>
      </c>
      <c r="F86" s="4" t="s">
        <v>545</v>
      </c>
      <c r="G86" s="14">
        <f t="shared" si="4"/>
        <v>0.396428571428571</v>
      </c>
      <c r="H86" s="14">
        <f t="shared" si="5"/>
        <v>1.39285714285714</v>
      </c>
      <c r="I86" s="17">
        <f t="shared" si="6"/>
        <v>3.51351351351351</v>
      </c>
      <c r="J86" s="4">
        <v>2.23</v>
      </c>
      <c r="K86" s="4">
        <v>4.03587878165794</v>
      </c>
      <c r="L86" s="4">
        <v>15.1805</v>
      </c>
      <c r="M86" s="4">
        <v>14.444</v>
      </c>
      <c r="Q86" s="4">
        <v>10.2</v>
      </c>
      <c r="R86" s="18">
        <f t="shared" si="7"/>
        <v>0.0980392156862746</v>
      </c>
    </row>
    <row r="87" s="4" customFormat="1" spans="1:18">
      <c r="A87" s="4">
        <v>129</v>
      </c>
      <c r="B87" s="4">
        <v>1.25</v>
      </c>
      <c r="C87" s="4">
        <v>1.14</v>
      </c>
      <c r="D87" s="4">
        <v>2.27</v>
      </c>
      <c r="E87" s="13">
        <v>1545988777.27</v>
      </c>
      <c r="F87" s="4" t="s">
        <v>304</v>
      </c>
      <c r="G87" s="14">
        <f t="shared" si="4"/>
        <v>0.0880000000000001</v>
      </c>
      <c r="H87" s="14">
        <f t="shared" si="5"/>
        <v>1.816</v>
      </c>
      <c r="I87" s="17">
        <f t="shared" si="6"/>
        <v>20.6363636363636</v>
      </c>
      <c r="J87" s="4">
        <v>0.1</v>
      </c>
      <c r="K87" s="4">
        <v>1.12094951017332</v>
      </c>
      <c r="L87" s="4">
        <v>1.5987</v>
      </c>
      <c r="M87" s="4">
        <v>1.488</v>
      </c>
      <c r="Q87" s="4">
        <v>1.14</v>
      </c>
      <c r="R87" s="18">
        <f t="shared" si="7"/>
        <v>0.0964912280701755</v>
      </c>
    </row>
    <row r="88" s="4" customFormat="1" spans="1:18">
      <c r="A88" s="6">
        <v>1358</v>
      </c>
      <c r="B88" s="6">
        <v>1.71</v>
      </c>
      <c r="C88" s="6">
        <v>1.34</v>
      </c>
      <c r="D88" s="6">
        <v>5.04</v>
      </c>
      <c r="E88" s="15">
        <v>2660105247.12</v>
      </c>
      <c r="F88" s="6" t="s">
        <v>521</v>
      </c>
      <c r="G88" s="16">
        <f t="shared" si="4"/>
        <v>0.216374269005848</v>
      </c>
      <c r="H88" s="16">
        <f t="shared" si="5"/>
        <v>2.94736842105263</v>
      </c>
      <c r="I88" s="16">
        <f t="shared" si="6"/>
        <v>13.6216216216216</v>
      </c>
      <c r="J88" s="6">
        <v>1</v>
      </c>
      <c r="K88" s="6">
        <v>3.20190461369081</v>
      </c>
      <c r="L88" s="6">
        <v>11.8172</v>
      </c>
      <c r="M88" s="6">
        <v>11.8</v>
      </c>
      <c r="N88" s="6"/>
      <c r="O88" s="6"/>
      <c r="Q88" s="6">
        <v>1.56</v>
      </c>
      <c r="R88" s="18">
        <f t="shared" si="7"/>
        <v>0.096153846153846</v>
      </c>
    </row>
    <row r="89" s="4" customFormat="1" spans="1:18">
      <c r="A89" s="4">
        <v>3800</v>
      </c>
      <c r="B89" s="4">
        <v>1.04</v>
      </c>
      <c r="C89" s="4">
        <v>0.94</v>
      </c>
      <c r="D89" s="4">
        <v>3.08</v>
      </c>
      <c r="E89" s="13">
        <v>18029937779.37</v>
      </c>
      <c r="F89" s="4" t="s">
        <v>715</v>
      </c>
      <c r="G89" s="14">
        <f t="shared" si="4"/>
        <v>0.0961538461538463</v>
      </c>
      <c r="H89" s="14">
        <f t="shared" si="5"/>
        <v>2.96153846153846</v>
      </c>
      <c r="I89" s="14">
        <f t="shared" si="6"/>
        <v>30.8</v>
      </c>
      <c r="J89" s="4">
        <v>0.94</v>
      </c>
      <c r="K89" s="14">
        <v>0.405145768941608</v>
      </c>
      <c r="L89" s="4">
        <v>9.2222</v>
      </c>
      <c r="M89" s="4">
        <v>7.594</v>
      </c>
      <c r="Q89" s="4">
        <v>0.95</v>
      </c>
      <c r="R89" s="18">
        <f t="shared" si="7"/>
        <v>0.0947368421052632</v>
      </c>
    </row>
    <row r="90" s="6" customFormat="1" spans="1:18">
      <c r="A90" s="4">
        <v>2348</v>
      </c>
      <c r="B90" s="4">
        <v>5.37</v>
      </c>
      <c r="C90" s="4">
        <v>3.91</v>
      </c>
      <c r="D90" s="4">
        <v>8.13</v>
      </c>
      <c r="E90" s="13">
        <v>4104724800</v>
      </c>
      <c r="F90" s="4" t="s">
        <v>494</v>
      </c>
      <c r="G90" s="14">
        <f t="shared" si="4"/>
        <v>0.271880819366853</v>
      </c>
      <c r="H90" s="14">
        <f t="shared" si="5"/>
        <v>1.51396648044693</v>
      </c>
      <c r="I90" s="17">
        <f t="shared" si="6"/>
        <v>5.56849315068493</v>
      </c>
      <c r="J90" s="4">
        <v>2.51</v>
      </c>
      <c r="K90" s="4">
        <v>3.27211623039327</v>
      </c>
      <c r="L90" s="4">
        <v>16.002</v>
      </c>
      <c r="M90" s="4">
        <v>15.416</v>
      </c>
      <c r="N90" s="4"/>
      <c r="O90" s="4"/>
      <c r="P90" s="4"/>
      <c r="Q90" s="4">
        <v>4.91</v>
      </c>
      <c r="R90" s="18">
        <f t="shared" si="7"/>
        <v>0.0936863543788187</v>
      </c>
    </row>
    <row r="91" s="4" customFormat="1" spans="1:18">
      <c r="A91" s="6">
        <v>2357</v>
      </c>
      <c r="B91" s="6">
        <v>5.52</v>
      </c>
      <c r="C91" s="6">
        <v>3.9</v>
      </c>
      <c r="D91" s="6">
        <v>10.5</v>
      </c>
      <c r="E91" s="15">
        <v>12583357036.68</v>
      </c>
      <c r="F91" s="6" t="s">
        <v>493</v>
      </c>
      <c r="G91" s="16">
        <f t="shared" si="4"/>
        <v>0.293478260869565</v>
      </c>
      <c r="H91" s="16">
        <f t="shared" si="5"/>
        <v>1.90217391304348</v>
      </c>
      <c r="I91" s="16">
        <f t="shared" si="6"/>
        <v>6.48148148148148</v>
      </c>
      <c r="J91" s="6">
        <v>2.02</v>
      </c>
      <c r="K91" s="6">
        <v>1.01350526512568</v>
      </c>
      <c r="L91" s="6">
        <v>29.9236</v>
      </c>
      <c r="M91" s="6">
        <v>28.228</v>
      </c>
      <c r="N91" s="6"/>
      <c r="O91" s="6"/>
      <c r="P91" s="6"/>
      <c r="Q91" s="6">
        <v>5.05</v>
      </c>
      <c r="R91" s="19">
        <f t="shared" si="7"/>
        <v>0.0930693069306929</v>
      </c>
    </row>
    <row r="92" s="4" customFormat="1" spans="1:18">
      <c r="A92" s="4">
        <v>3996</v>
      </c>
      <c r="B92" s="4">
        <v>1.31</v>
      </c>
      <c r="C92" s="4">
        <v>1.2</v>
      </c>
      <c r="D92" s="4">
        <v>1.71</v>
      </c>
      <c r="E92" s="13">
        <v>11948542440</v>
      </c>
      <c r="F92" s="4" t="s">
        <v>26</v>
      </c>
      <c r="G92" s="14">
        <f t="shared" si="4"/>
        <v>0.083969465648855</v>
      </c>
      <c r="H92" s="14">
        <f t="shared" si="5"/>
        <v>1.30534351145038</v>
      </c>
      <c r="I92" s="17">
        <f t="shared" si="6"/>
        <v>15.5454545454545</v>
      </c>
      <c r="J92" s="4">
        <v>0.85</v>
      </c>
      <c r="K92" s="14">
        <v>14.3861</v>
      </c>
      <c r="Q92" s="4">
        <v>1.2</v>
      </c>
      <c r="R92" s="18">
        <f t="shared" si="7"/>
        <v>0.0916666666666668</v>
      </c>
    </row>
    <row r="93" s="4" customFormat="1" spans="1:18">
      <c r="A93" s="6">
        <v>1330</v>
      </c>
      <c r="B93" s="6">
        <v>3.71</v>
      </c>
      <c r="C93" s="6">
        <v>3.32</v>
      </c>
      <c r="D93" s="6">
        <v>7.99</v>
      </c>
      <c r="E93" s="15">
        <v>1395041282.4</v>
      </c>
      <c r="F93" s="6" t="s">
        <v>681</v>
      </c>
      <c r="G93" s="16">
        <f t="shared" si="4"/>
        <v>0.105121293800539</v>
      </c>
      <c r="H93" s="16">
        <f t="shared" si="5"/>
        <v>2.15363881401617</v>
      </c>
      <c r="I93" s="16">
        <f t="shared" si="6"/>
        <v>20.4871794871795</v>
      </c>
      <c r="J93" s="6">
        <v>1.24</v>
      </c>
      <c r="K93" s="6">
        <v>2.17373648731366</v>
      </c>
      <c r="L93" s="6">
        <v>20.0042</v>
      </c>
      <c r="M93" s="6">
        <v>16.915</v>
      </c>
      <c r="N93" s="6"/>
      <c r="O93" s="6"/>
      <c r="P93" s="6"/>
      <c r="Q93" s="6">
        <v>3.4</v>
      </c>
      <c r="R93" s="19">
        <f t="shared" si="7"/>
        <v>0.0911764705882354</v>
      </c>
    </row>
    <row r="94" s="4" customFormat="1" spans="1:18">
      <c r="A94" s="6">
        <v>3888</v>
      </c>
      <c r="B94" s="6">
        <v>15.7</v>
      </c>
      <c r="C94" s="6">
        <v>14</v>
      </c>
      <c r="D94" s="6">
        <v>34.95</v>
      </c>
      <c r="E94" s="15">
        <v>19745585990.92</v>
      </c>
      <c r="F94" s="6" t="s">
        <v>481</v>
      </c>
      <c r="G94" s="16">
        <f t="shared" si="4"/>
        <v>0.10828025477707</v>
      </c>
      <c r="H94" s="16">
        <f t="shared" si="5"/>
        <v>2.22611464968153</v>
      </c>
      <c r="I94" s="16">
        <f t="shared" si="6"/>
        <v>20.5588235294118</v>
      </c>
      <c r="J94" s="6">
        <v>2.23</v>
      </c>
      <c r="K94" s="16">
        <v>2.54157193555228</v>
      </c>
      <c r="L94" s="6">
        <v>19.511</v>
      </c>
      <c r="M94" s="6">
        <v>17.452</v>
      </c>
      <c r="N94" s="6"/>
      <c r="O94" s="6"/>
      <c r="P94" s="6"/>
      <c r="Q94" s="6">
        <v>14.4</v>
      </c>
      <c r="R94" s="19">
        <f t="shared" si="7"/>
        <v>0.0902777777777777</v>
      </c>
    </row>
    <row r="95" s="6" customFormat="1" spans="1:18">
      <c r="A95" s="6">
        <v>1375</v>
      </c>
      <c r="B95" s="6">
        <v>3.17</v>
      </c>
      <c r="C95" s="6">
        <v>2.3</v>
      </c>
      <c r="D95" s="6">
        <v>9.92</v>
      </c>
      <c r="E95" s="15">
        <v>3887590190</v>
      </c>
      <c r="F95" s="6" t="s">
        <v>462</v>
      </c>
      <c r="G95" s="16">
        <f t="shared" si="4"/>
        <v>0.274447949526814</v>
      </c>
      <c r="H95" s="16">
        <f t="shared" si="5"/>
        <v>3.12933753943218</v>
      </c>
      <c r="I95" s="16">
        <f t="shared" si="6"/>
        <v>11.4022988505747</v>
      </c>
      <c r="J95" s="6">
        <v>0.97</v>
      </c>
      <c r="K95" s="6">
        <v>1.04745546493857</v>
      </c>
      <c r="L95" s="6">
        <v>14.2597</v>
      </c>
      <c r="M95" s="6">
        <v>9.655</v>
      </c>
      <c r="P95" s="4"/>
      <c r="Q95" s="6">
        <v>2.91</v>
      </c>
      <c r="R95" s="18">
        <f t="shared" si="7"/>
        <v>0.0893470790378006</v>
      </c>
    </row>
    <row r="96" s="4" customFormat="1" spans="1:18">
      <c r="A96" s="6">
        <v>493</v>
      </c>
      <c r="B96" s="6">
        <v>1.1</v>
      </c>
      <c r="C96" s="6">
        <v>0.96</v>
      </c>
      <c r="D96" s="6">
        <v>2.51</v>
      </c>
      <c r="E96" s="15">
        <v>19336193701.08</v>
      </c>
      <c r="F96" s="6" t="s">
        <v>556</v>
      </c>
      <c r="G96" s="16">
        <f t="shared" si="4"/>
        <v>0.127272727272727</v>
      </c>
      <c r="H96" s="16">
        <f t="shared" si="5"/>
        <v>2.28181818181818</v>
      </c>
      <c r="I96" s="16">
        <f t="shared" si="6"/>
        <v>17.9285714285714</v>
      </c>
      <c r="J96" s="6">
        <v>0.89</v>
      </c>
      <c r="K96" s="6">
        <v>0.236311219670734</v>
      </c>
      <c r="L96" s="6">
        <v>12.0834</v>
      </c>
      <c r="M96" s="6">
        <v>10.677</v>
      </c>
      <c r="N96" s="6"/>
      <c r="O96" s="6"/>
      <c r="P96" s="6"/>
      <c r="Q96" s="6">
        <v>1.01</v>
      </c>
      <c r="R96" s="19">
        <f t="shared" si="7"/>
        <v>0.0891089108910892</v>
      </c>
    </row>
    <row r="97" s="4" customFormat="1" spans="1:18">
      <c r="A97" s="4">
        <v>170</v>
      </c>
      <c r="B97" s="4">
        <v>4.06</v>
      </c>
      <c r="C97" s="4">
        <v>2.45</v>
      </c>
      <c r="D97" s="4">
        <v>9.89</v>
      </c>
      <c r="E97" s="13">
        <v>286307936.8</v>
      </c>
      <c r="F97" s="4" t="s">
        <v>77</v>
      </c>
      <c r="G97" s="14">
        <f t="shared" si="4"/>
        <v>0.396551724137931</v>
      </c>
      <c r="H97" s="14">
        <f t="shared" si="5"/>
        <v>2.43596059113301</v>
      </c>
      <c r="I97" s="17">
        <f t="shared" si="6"/>
        <v>6.14285714285715</v>
      </c>
      <c r="J97" s="4">
        <v>0.14</v>
      </c>
      <c r="K97" s="4">
        <v>56.606322000434</v>
      </c>
      <c r="L97" s="4">
        <v>3.7955</v>
      </c>
      <c r="M97" s="4">
        <v>3.796</v>
      </c>
      <c r="Q97" s="4">
        <v>3.73</v>
      </c>
      <c r="R97" s="18">
        <f t="shared" si="7"/>
        <v>0.0884718498659516</v>
      </c>
    </row>
    <row r="98" s="6" customFormat="1" spans="1:18">
      <c r="A98" s="4">
        <v>861</v>
      </c>
      <c r="B98" s="4">
        <v>8.66</v>
      </c>
      <c r="C98" s="4">
        <v>5.82</v>
      </c>
      <c r="D98" s="4">
        <v>15.4</v>
      </c>
      <c r="E98" s="13">
        <v>8770924648</v>
      </c>
      <c r="F98" s="4" t="s">
        <v>282</v>
      </c>
      <c r="G98" s="14">
        <f t="shared" si="4"/>
        <v>0.327944572748268</v>
      </c>
      <c r="H98" s="14">
        <f t="shared" si="5"/>
        <v>1.77829099307159</v>
      </c>
      <c r="I98" s="17">
        <f t="shared" si="6"/>
        <v>5.42253521126761</v>
      </c>
      <c r="J98" s="4">
        <v>1</v>
      </c>
      <c r="K98" s="4">
        <v>0.120171364365585</v>
      </c>
      <c r="L98" s="4">
        <v>12.5129</v>
      </c>
      <c r="M98" s="4">
        <v>12.177</v>
      </c>
      <c r="N98" s="4"/>
      <c r="O98" s="4"/>
      <c r="P98" s="4"/>
      <c r="Q98" s="4">
        <v>7.96</v>
      </c>
      <c r="R98" s="18">
        <f t="shared" si="7"/>
        <v>0.0879396984924623</v>
      </c>
    </row>
    <row r="99" s="4" customFormat="1" spans="1:18">
      <c r="A99" s="6">
        <v>656</v>
      </c>
      <c r="B99" s="6">
        <v>10.52</v>
      </c>
      <c r="C99" s="6">
        <v>8.47</v>
      </c>
      <c r="D99" s="6">
        <v>22</v>
      </c>
      <c r="E99" s="15">
        <v>85754416194.24</v>
      </c>
      <c r="F99" s="6" t="s">
        <v>670</v>
      </c>
      <c r="G99" s="16">
        <f t="shared" si="4"/>
        <v>0.194866920152091</v>
      </c>
      <c r="H99" s="16">
        <f t="shared" si="5"/>
        <v>2.09125475285171</v>
      </c>
      <c r="I99" s="16">
        <f t="shared" si="6"/>
        <v>10.7317073170732</v>
      </c>
      <c r="J99" s="6">
        <v>0.97</v>
      </c>
      <c r="K99" s="6">
        <v>0.94367881878517</v>
      </c>
      <c r="L99" s="6">
        <v>10.0061</v>
      </c>
      <c r="M99" s="6">
        <v>7.591</v>
      </c>
      <c r="N99" s="6"/>
      <c r="O99" s="6"/>
      <c r="P99" s="6"/>
      <c r="Q99" s="6">
        <v>9.67</v>
      </c>
      <c r="R99" s="19">
        <f t="shared" si="7"/>
        <v>0.0879007238883143</v>
      </c>
    </row>
    <row r="100" s="6" customFormat="1" spans="1:18">
      <c r="A100" s="6">
        <v>8095</v>
      </c>
      <c r="B100" s="6">
        <v>1.62</v>
      </c>
      <c r="C100" s="6">
        <v>0.56</v>
      </c>
      <c r="D100" s="6">
        <v>3.26</v>
      </c>
      <c r="E100" s="15">
        <v>741744000</v>
      </c>
      <c r="F100" s="6" t="s">
        <v>686</v>
      </c>
      <c r="G100" s="16">
        <f t="shared" si="4"/>
        <v>0.654320987654321</v>
      </c>
      <c r="H100" s="16">
        <f t="shared" si="5"/>
        <v>2.01234567901235</v>
      </c>
      <c r="I100" s="16">
        <f t="shared" si="6"/>
        <v>3.07547169811321</v>
      </c>
      <c r="J100" s="6">
        <v>1.31</v>
      </c>
      <c r="K100" s="16">
        <v>1.26846997996663</v>
      </c>
      <c r="L100" s="6">
        <v>14.376</v>
      </c>
      <c r="M100" s="6">
        <v>14.004</v>
      </c>
      <c r="Q100" s="6">
        <v>1.49</v>
      </c>
      <c r="R100" s="19">
        <f t="shared" si="7"/>
        <v>0.087248322147651</v>
      </c>
    </row>
    <row r="101" s="4" customFormat="1" spans="1:18">
      <c r="A101" s="4">
        <v>317</v>
      </c>
      <c r="B101" s="4">
        <v>11.06</v>
      </c>
      <c r="C101" s="4">
        <v>10.06</v>
      </c>
      <c r="D101" s="4">
        <v>40</v>
      </c>
      <c r="E101" s="13">
        <v>6252271840.32</v>
      </c>
      <c r="F101" s="4" t="s">
        <v>564</v>
      </c>
      <c r="G101" s="14">
        <f t="shared" si="4"/>
        <v>0.0904159132007233</v>
      </c>
      <c r="H101" s="14">
        <f t="shared" si="5"/>
        <v>3.61663652802893</v>
      </c>
      <c r="I101" s="14">
        <f t="shared" si="6"/>
        <v>40</v>
      </c>
      <c r="J101" s="4">
        <v>1.32</v>
      </c>
      <c r="K101" s="4">
        <v>0.534877539377084</v>
      </c>
      <c r="L101" s="4">
        <v>76.2583</v>
      </c>
      <c r="M101" s="4">
        <v>55.604</v>
      </c>
      <c r="Q101" s="4">
        <v>10.22</v>
      </c>
      <c r="R101" s="18">
        <f t="shared" si="7"/>
        <v>0.0821917808219177</v>
      </c>
    </row>
    <row r="102" s="4" customFormat="1" spans="1:18">
      <c r="A102" s="4">
        <v>750</v>
      </c>
      <c r="B102" s="4">
        <v>3.69</v>
      </c>
      <c r="C102" s="4">
        <v>3.37</v>
      </c>
      <c r="D102" s="4">
        <v>15.28</v>
      </c>
      <c r="E102" s="13">
        <v>2397960436.2</v>
      </c>
      <c r="F102" s="4" t="s">
        <v>542</v>
      </c>
      <c r="G102" s="14">
        <f t="shared" si="4"/>
        <v>0.086720867208672</v>
      </c>
      <c r="H102" s="14">
        <f t="shared" si="5"/>
        <v>4.14092140921409</v>
      </c>
      <c r="I102" s="14">
        <f t="shared" si="6"/>
        <v>47.75</v>
      </c>
      <c r="J102" s="4">
        <v>0.6</v>
      </c>
      <c r="K102" s="4">
        <v>0.415058579346734</v>
      </c>
      <c r="L102" s="4">
        <v>3.2823</v>
      </c>
      <c r="M102" s="4">
        <v>3.24</v>
      </c>
      <c r="Q102" s="4">
        <v>3.41</v>
      </c>
      <c r="R102" s="18">
        <f t="shared" si="7"/>
        <v>0.0821114369501466</v>
      </c>
    </row>
    <row r="103" s="4" customFormat="1" spans="1:18">
      <c r="A103" s="6">
        <v>354</v>
      </c>
      <c r="B103" s="6">
        <v>2.69</v>
      </c>
      <c r="C103" s="6">
        <v>2.12</v>
      </c>
      <c r="D103" s="6">
        <v>5.79</v>
      </c>
      <c r="E103" s="15">
        <v>5353032730.36</v>
      </c>
      <c r="F103" s="6" t="s">
        <v>682</v>
      </c>
      <c r="G103" s="16">
        <f t="shared" si="4"/>
        <v>0.211895910780669</v>
      </c>
      <c r="H103" s="16">
        <f t="shared" si="5"/>
        <v>2.15241635687732</v>
      </c>
      <c r="I103" s="16">
        <f t="shared" si="6"/>
        <v>10.1578947368421</v>
      </c>
      <c r="J103" s="6">
        <v>1.47</v>
      </c>
      <c r="K103" s="6">
        <v>0.879316015719318</v>
      </c>
      <c r="L103" s="6">
        <v>21.4012</v>
      </c>
      <c r="M103" s="6">
        <v>18.582</v>
      </c>
      <c r="N103" s="6"/>
      <c r="O103" s="6"/>
      <c r="P103" s="6"/>
      <c r="Q103" s="6">
        <v>2.49</v>
      </c>
      <c r="R103" s="19">
        <f t="shared" si="7"/>
        <v>0.0803212851405621</v>
      </c>
    </row>
    <row r="104" s="4" customFormat="1" spans="1:18">
      <c r="A104" s="4">
        <v>1668</v>
      </c>
      <c r="B104" s="4">
        <v>1.48</v>
      </c>
      <c r="C104" s="4">
        <v>1.35</v>
      </c>
      <c r="D104" s="4">
        <v>4.27</v>
      </c>
      <c r="E104" s="13">
        <v>10959071138.63</v>
      </c>
      <c r="F104" s="4" t="s">
        <v>697</v>
      </c>
      <c r="G104" s="14">
        <f t="shared" si="4"/>
        <v>0.0878378378378377</v>
      </c>
      <c r="H104" s="14">
        <f t="shared" si="5"/>
        <v>2.88513513513513</v>
      </c>
      <c r="I104" s="14">
        <f t="shared" si="6"/>
        <v>32.8461538461539</v>
      </c>
      <c r="J104" s="4">
        <v>0.46</v>
      </c>
      <c r="K104" s="4">
        <v>1.99621156928456</v>
      </c>
      <c r="L104" s="4">
        <v>2.9398</v>
      </c>
      <c r="M104" s="4">
        <v>2.811</v>
      </c>
      <c r="Q104" s="4">
        <v>1.37</v>
      </c>
      <c r="R104" s="18">
        <f t="shared" si="7"/>
        <v>0.0802919708029197</v>
      </c>
    </row>
    <row r="105" s="4" customFormat="1" spans="1:18">
      <c r="A105" s="4">
        <v>1777</v>
      </c>
      <c r="B105" s="4">
        <v>0.82</v>
      </c>
      <c r="C105" s="4">
        <v>0.72</v>
      </c>
      <c r="D105" s="4">
        <v>1.69</v>
      </c>
      <c r="E105" s="13">
        <v>4608943539.2</v>
      </c>
      <c r="F105" s="4" t="s">
        <v>374</v>
      </c>
      <c r="G105" s="14">
        <f t="shared" si="4"/>
        <v>0.121951219512195</v>
      </c>
      <c r="H105" s="14">
        <f t="shared" si="5"/>
        <v>2.0609756097561</v>
      </c>
      <c r="I105" s="17">
        <f t="shared" si="6"/>
        <v>16.9</v>
      </c>
      <c r="J105" s="4">
        <v>0.36</v>
      </c>
      <c r="K105" s="4">
        <v>0.506889746816681</v>
      </c>
      <c r="L105" s="4">
        <v>2.7894</v>
      </c>
      <c r="M105" s="4">
        <v>2.781</v>
      </c>
      <c r="Q105" s="4">
        <v>0.76</v>
      </c>
      <c r="R105" s="18">
        <f t="shared" si="7"/>
        <v>0.0789473684210527</v>
      </c>
    </row>
    <row r="106" s="6" customFormat="1" spans="1:18">
      <c r="A106" s="4">
        <v>2018</v>
      </c>
      <c r="B106" s="4">
        <v>51</v>
      </c>
      <c r="C106" s="4">
        <v>34</v>
      </c>
      <c r="D106" s="4">
        <v>60</v>
      </c>
      <c r="E106" s="13">
        <v>61215800000</v>
      </c>
      <c r="F106" s="4" t="s">
        <v>498</v>
      </c>
      <c r="G106" s="14">
        <f t="shared" si="4"/>
        <v>0.333333333333333</v>
      </c>
      <c r="H106" s="14">
        <f t="shared" si="5"/>
        <v>1.17647058823529</v>
      </c>
      <c r="I106" s="17">
        <f t="shared" si="6"/>
        <v>3.52941176470588</v>
      </c>
      <c r="J106" s="4">
        <v>5.2</v>
      </c>
      <c r="K106" s="4">
        <v>4.67708526988275</v>
      </c>
      <c r="L106" s="4">
        <v>21.1231</v>
      </c>
      <c r="M106" s="4">
        <v>20.064</v>
      </c>
      <c r="N106" s="4"/>
      <c r="O106" s="4"/>
      <c r="P106" s="4"/>
      <c r="Q106" s="4">
        <v>47.35</v>
      </c>
      <c r="R106" s="18">
        <f t="shared" si="7"/>
        <v>0.0770855332629357</v>
      </c>
    </row>
    <row r="107" s="4" customFormat="1" spans="1:18">
      <c r="A107" s="4">
        <v>402</v>
      </c>
      <c r="B107" s="4">
        <v>0.28</v>
      </c>
      <c r="C107" s="4">
        <v>0.16</v>
      </c>
      <c r="D107" s="4">
        <v>0.73</v>
      </c>
      <c r="E107" s="13">
        <v>2243114800.03</v>
      </c>
      <c r="F107" s="4" t="s">
        <v>558</v>
      </c>
      <c r="G107" s="14">
        <f t="shared" si="4"/>
        <v>0.428571428571429</v>
      </c>
      <c r="H107" s="14">
        <f t="shared" si="5"/>
        <v>2.60714285714286</v>
      </c>
      <c r="I107" s="17">
        <f t="shared" si="6"/>
        <v>6.08333333333333</v>
      </c>
      <c r="J107" s="4">
        <v>1.99</v>
      </c>
      <c r="K107" s="4">
        <v>6.45539906103286</v>
      </c>
      <c r="Q107" s="4">
        <v>0.26</v>
      </c>
      <c r="R107" s="18">
        <f t="shared" si="7"/>
        <v>0.0769230769230771</v>
      </c>
    </row>
    <row r="108" s="4" customFormat="1" spans="1:18">
      <c r="A108" s="6">
        <v>818</v>
      </c>
      <c r="B108" s="6">
        <v>1.13</v>
      </c>
      <c r="C108" s="6">
        <v>1</v>
      </c>
      <c r="D108" s="6">
        <v>4.09</v>
      </c>
      <c r="E108" s="15">
        <v>2998980541.8</v>
      </c>
      <c r="F108" s="6" t="s">
        <v>540</v>
      </c>
      <c r="G108" s="16">
        <f t="shared" si="4"/>
        <v>0.115044247787611</v>
      </c>
      <c r="H108" s="16">
        <f t="shared" si="5"/>
        <v>3.61946902654867</v>
      </c>
      <c r="I108" s="16">
        <f t="shared" si="6"/>
        <v>31.4615384615385</v>
      </c>
      <c r="J108" s="6">
        <v>0.93</v>
      </c>
      <c r="K108" s="6">
        <v>3.10344827586206</v>
      </c>
      <c r="L108" s="6">
        <v>7.5528</v>
      </c>
      <c r="M108" s="6">
        <v>7.343</v>
      </c>
      <c r="N108" s="6"/>
      <c r="O108" s="6"/>
      <c r="Q108" s="6">
        <v>1.05</v>
      </c>
      <c r="R108" s="18">
        <f t="shared" si="7"/>
        <v>0.0761904761904761</v>
      </c>
    </row>
    <row r="109" s="4" customFormat="1" spans="1:18">
      <c r="A109" s="6">
        <v>169</v>
      </c>
      <c r="B109" s="6">
        <v>0.86</v>
      </c>
      <c r="C109" s="6">
        <v>0.69</v>
      </c>
      <c r="D109" s="6">
        <v>2.7</v>
      </c>
      <c r="E109" s="15">
        <v>3851824120.16</v>
      </c>
      <c r="F109" s="6" t="s">
        <v>181</v>
      </c>
      <c r="G109" s="16">
        <f t="shared" si="4"/>
        <v>0.197674418604651</v>
      </c>
      <c r="H109" s="16">
        <f t="shared" si="5"/>
        <v>3.13953488372093</v>
      </c>
      <c r="I109" s="16">
        <f t="shared" si="6"/>
        <v>15.8823529411765</v>
      </c>
      <c r="J109" s="6">
        <v>1.51</v>
      </c>
      <c r="K109" s="6">
        <v>10.2372034956304</v>
      </c>
      <c r="L109" s="6"/>
      <c r="M109" s="6"/>
      <c r="N109" s="6"/>
      <c r="O109" s="6"/>
      <c r="Q109" s="6">
        <v>0.8</v>
      </c>
      <c r="R109" s="18">
        <f t="shared" si="7"/>
        <v>0.075</v>
      </c>
    </row>
    <row r="110" s="4" customFormat="1" spans="1:18">
      <c r="A110" s="4">
        <v>1297</v>
      </c>
      <c r="B110" s="4">
        <v>3.44</v>
      </c>
      <c r="C110" s="4">
        <v>2.47</v>
      </c>
      <c r="D110" s="4">
        <v>7.76</v>
      </c>
      <c r="E110" s="13">
        <v>3468386880</v>
      </c>
      <c r="F110" s="4" t="s">
        <v>524</v>
      </c>
      <c r="G110" s="14">
        <f t="shared" si="4"/>
        <v>0.281976744186046</v>
      </c>
      <c r="H110" s="14">
        <f t="shared" si="5"/>
        <v>2.25581395348837</v>
      </c>
      <c r="I110" s="17">
        <f t="shared" si="6"/>
        <v>8</v>
      </c>
      <c r="J110" s="4">
        <v>3.52</v>
      </c>
      <c r="K110" s="4">
        <v>7.59629731148047</v>
      </c>
      <c r="L110" s="4">
        <v>20.6188</v>
      </c>
      <c r="M110" s="4">
        <v>19.632</v>
      </c>
      <c r="Q110" s="4">
        <v>3.2</v>
      </c>
      <c r="R110" s="18">
        <f t="shared" si="7"/>
        <v>0.075</v>
      </c>
    </row>
    <row r="111" s="4" customFormat="1" spans="1:18">
      <c r="A111" s="6">
        <v>1833</v>
      </c>
      <c r="B111" s="6">
        <v>5.94</v>
      </c>
      <c r="C111" s="6">
        <v>4.2</v>
      </c>
      <c r="D111" s="6">
        <v>17.24</v>
      </c>
      <c r="E111" s="15">
        <v>12448099089.8</v>
      </c>
      <c r="F111" s="6" t="s">
        <v>501</v>
      </c>
      <c r="G111" s="16">
        <f t="shared" si="4"/>
        <v>0.292929292929293</v>
      </c>
      <c r="H111" s="16">
        <f t="shared" si="5"/>
        <v>2.9023569023569</v>
      </c>
      <c r="I111" s="16">
        <f t="shared" si="6"/>
        <v>9.90804597701149</v>
      </c>
      <c r="J111" s="6">
        <v>0.93</v>
      </c>
      <c r="K111" s="6">
        <v>1.47416862595122</v>
      </c>
      <c r="L111" s="6">
        <v>8.8769</v>
      </c>
      <c r="M111" s="6">
        <v>8.288</v>
      </c>
      <c r="N111" s="6"/>
      <c r="O111" s="6"/>
      <c r="Q111" s="6">
        <v>5.53</v>
      </c>
      <c r="R111" s="18">
        <f t="shared" si="7"/>
        <v>0.074141048824593</v>
      </c>
    </row>
    <row r="112" s="4" customFormat="1" spans="1:18">
      <c r="A112" s="4">
        <v>855</v>
      </c>
      <c r="B112" s="4">
        <v>3.43</v>
      </c>
      <c r="C112" s="4">
        <v>2.46</v>
      </c>
      <c r="D112" s="4">
        <v>5.1</v>
      </c>
      <c r="E112" s="13">
        <v>5030739443.29</v>
      </c>
      <c r="F112" s="4" t="s">
        <v>98</v>
      </c>
      <c r="G112" s="14">
        <f t="shared" si="4"/>
        <v>0.282798833819242</v>
      </c>
      <c r="H112" s="14">
        <f t="shared" si="5"/>
        <v>1.4868804664723</v>
      </c>
      <c r="I112" s="17">
        <f t="shared" si="6"/>
        <v>5.25773195876289</v>
      </c>
      <c r="J112" s="4">
        <v>1.13</v>
      </c>
      <c r="K112" s="4">
        <v>1.45181806219571</v>
      </c>
      <c r="L112" s="4">
        <v>13.5651</v>
      </c>
      <c r="M112" s="4">
        <v>12.228</v>
      </c>
      <c r="Q112" s="4">
        <v>3.2</v>
      </c>
      <c r="R112" s="18">
        <f t="shared" si="7"/>
        <v>0.0718749999999999</v>
      </c>
    </row>
    <row r="113" s="4" customFormat="1" spans="1:18">
      <c r="A113" s="4">
        <v>6196</v>
      </c>
      <c r="B113" s="4">
        <v>4.37</v>
      </c>
      <c r="C113" s="4">
        <v>3.88</v>
      </c>
      <c r="D113" s="4">
        <v>4.3</v>
      </c>
      <c r="E113" s="13">
        <v>6314880000</v>
      </c>
      <c r="F113" s="4" t="s">
        <v>27</v>
      </c>
      <c r="G113" s="14">
        <f t="shared" si="4"/>
        <v>0.112128146453089</v>
      </c>
      <c r="H113" s="14">
        <f t="shared" si="5"/>
        <v>0.983981693363844</v>
      </c>
      <c r="I113" s="17">
        <f t="shared" si="6"/>
        <v>8.77551020408163</v>
      </c>
      <c r="J113" s="4">
        <v>1.15</v>
      </c>
      <c r="K113" s="14">
        <v>7.1884</v>
      </c>
      <c r="Q113" s="4">
        <v>4.08</v>
      </c>
      <c r="R113" s="18">
        <f t="shared" si="7"/>
        <v>0.071078431372549</v>
      </c>
    </row>
    <row r="114" s="4" customFormat="1" spans="1:18">
      <c r="A114" s="6">
        <v>547</v>
      </c>
      <c r="B114" s="6">
        <v>0.38</v>
      </c>
      <c r="C114" s="6">
        <v>0.09</v>
      </c>
      <c r="D114" s="6">
        <v>3.03</v>
      </c>
      <c r="E114" s="15">
        <v>4347105264.88</v>
      </c>
      <c r="F114" s="6" t="s">
        <v>336</v>
      </c>
      <c r="G114" s="16">
        <f t="shared" si="4"/>
        <v>0.763157894736842</v>
      </c>
      <c r="H114" s="16">
        <f t="shared" si="5"/>
        <v>7.97368421052632</v>
      </c>
      <c r="I114" s="16">
        <f t="shared" si="6"/>
        <v>10.448275862069</v>
      </c>
      <c r="J114" s="6">
        <v>9.65</v>
      </c>
      <c r="K114" s="6">
        <v>8.14144736842105</v>
      </c>
      <c r="L114" s="6">
        <v>121.1443</v>
      </c>
      <c r="M114" s="6">
        <v>80.682</v>
      </c>
      <c r="N114" s="6"/>
      <c r="O114" s="6"/>
      <c r="Q114" s="6">
        <v>0.355</v>
      </c>
      <c r="R114" s="18">
        <f t="shared" si="7"/>
        <v>0.0704225352112677</v>
      </c>
    </row>
    <row r="115" s="4" customFormat="1" spans="1:18">
      <c r="A115" s="4">
        <v>6881</v>
      </c>
      <c r="B115" s="4">
        <v>5.6</v>
      </c>
      <c r="C115" s="4">
        <v>4.72</v>
      </c>
      <c r="D115" s="4">
        <v>14.12</v>
      </c>
      <c r="E115" s="13">
        <v>19746767786.55</v>
      </c>
      <c r="F115" s="4" t="s">
        <v>141</v>
      </c>
      <c r="G115" s="14">
        <f t="shared" si="4"/>
        <v>0.157142857142857</v>
      </c>
      <c r="H115" s="14">
        <f t="shared" si="5"/>
        <v>2.52142857142857</v>
      </c>
      <c r="I115" s="17">
        <f t="shared" si="6"/>
        <v>16.0454545454545</v>
      </c>
      <c r="J115" s="4">
        <v>0.76</v>
      </c>
      <c r="K115" s="14">
        <v>1.16713904528855</v>
      </c>
      <c r="L115" s="4">
        <v>10.8219</v>
      </c>
      <c r="M115" s="4">
        <v>8.377</v>
      </c>
      <c r="Q115" s="4">
        <v>5.24</v>
      </c>
      <c r="R115" s="18">
        <f t="shared" si="7"/>
        <v>0.0687022900763357</v>
      </c>
    </row>
    <row r="116" s="4" customFormat="1" spans="1:18">
      <c r="A116" s="6">
        <v>476</v>
      </c>
      <c r="B116" s="6">
        <v>0.25</v>
      </c>
      <c r="C116" s="6">
        <v>0.2</v>
      </c>
      <c r="D116" s="6">
        <v>1.18</v>
      </c>
      <c r="E116" s="15">
        <v>889451232</v>
      </c>
      <c r="F116" s="6" t="s">
        <v>586</v>
      </c>
      <c r="G116" s="16">
        <f t="shared" si="4"/>
        <v>0.2</v>
      </c>
      <c r="H116" s="16">
        <f t="shared" si="5"/>
        <v>4.72</v>
      </c>
      <c r="I116" s="16">
        <f t="shared" si="6"/>
        <v>23.6</v>
      </c>
      <c r="J116" s="6">
        <v>0.27</v>
      </c>
      <c r="K116" s="6">
        <v>3.6144578313253</v>
      </c>
      <c r="L116" s="6"/>
      <c r="M116" s="6"/>
      <c r="N116" s="6"/>
      <c r="O116" s="6"/>
      <c r="Q116" s="6">
        <v>0.234</v>
      </c>
      <c r="R116" s="18">
        <f t="shared" si="7"/>
        <v>0.0683760683760684</v>
      </c>
    </row>
    <row r="117" s="4" customFormat="1" spans="1:18">
      <c r="A117" s="6">
        <v>400</v>
      </c>
      <c r="B117" s="6">
        <v>8.56</v>
      </c>
      <c r="C117" s="6">
        <v>3.23</v>
      </c>
      <c r="D117" s="6">
        <v>16.8</v>
      </c>
      <c r="E117" s="15">
        <v>11265910875</v>
      </c>
      <c r="F117" s="6" t="s">
        <v>559</v>
      </c>
      <c r="G117" s="16">
        <f t="shared" si="4"/>
        <v>0.622663551401869</v>
      </c>
      <c r="H117" s="16">
        <f t="shared" si="5"/>
        <v>1.96261682242991</v>
      </c>
      <c r="I117" s="16">
        <f t="shared" si="6"/>
        <v>3.15196998123827</v>
      </c>
      <c r="J117" s="6">
        <v>5.46</v>
      </c>
      <c r="K117" s="6">
        <v>1.0376378995047</v>
      </c>
      <c r="L117" s="6">
        <v>46.4143</v>
      </c>
      <c r="M117" s="6">
        <v>38.263</v>
      </c>
      <c r="N117" s="6"/>
      <c r="O117" s="6"/>
      <c r="P117" s="6"/>
      <c r="Q117" s="6">
        <v>8.02</v>
      </c>
      <c r="R117" s="19">
        <f t="shared" si="7"/>
        <v>0.0673316708229428</v>
      </c>
    </row>
    <row r="118" s="4" customFormat="1" spans="1:18">
      <c r="A118" s="4">
        <v>737</v>
      </c>
      <c r="B118" s="4">
        <v>3.68</v>
      </c>
      <c r="C118" s="4">
        <v>3.45</v>
      </c>
      <c r="D118" s="4">
        <v>4.09</v>
      </c>
      <c r="E118" s="13">
        <v>10816732893.33</v>
      </c>
      <c r="F118" s="4" t="s">
        <v>383</v>
      </c>
      <c r="G118" s="14">
        <f t="shared" si="4"/>
        <v>0.0625</v>
      </c>
      <c r="H118" s="14">
        <f t="shared" si="5"/>
        <v>1.11141304347826</v>
      </c>
      <c r="I118" s="17">
        <f t="shared" si="6"/>
        <v>17.7826086956522</v>
      </c>
      <c r="J118" s="4">
        <v>1.19</v>
      </c>
      <c r="K118" s="4">
        <v>3.98818316100443</v>
      </c>
      <c r="L118" s="4">
        <v>16.5981</v>
      </c>
      <c r="M118" s="4">
        <v>16.312</v>
      </c>
      <c r="Q118" s="4">
        <v>3.45</v>
      </c>
      <c r="R118" s="18">
        <f t="shared" si="7"/>
        <v>0.0666666666666667</v>
      </c>
    </row>
    <row r="119" s="4" customFormat="1" spans="1:18">
      <c r="A119" s="4">
        <v>1211</v>
      </c>
      <c r="B119" s="4">
        <v>36.35</v>
      </c>
      <c r="C119" s="4">
        <v>18.7</v>
      </c>
      <c r="D119" s="4">
        <v>62.3</v>
      </c>
      <c r="E119" s="13">
        <v>32574000000</v>
      </c>
      <c r="F119" s="4" t="s">
        <v>526</v>
      </c>
      <c r="G119" s="14">
        <f t="shared" si="4"/>
        <v>0.485557083906465</v>
      </c>
      <c r="H119" s="14">
        <f t="shared" si="5"/>
        <v>1.71389270976616</v>
      </c>
      <c r="I119" s="17">
        <f t="shared" si="6"/>
        <v>3.52974504249292</v>
      </c>
      <c r="J119" s="4">
        <v>2.69</v>
      </c>
      <c r="K119" s="4">
        <v>1.13650834672927</v>
      </c>
      <c r="L119" s="4">
        <v>162.6064</v>
      </c>
      <c r="M119" s="4">
        <v>152.573</v>
      </c>
      <c r="Q119" s="4">
        <v>34.1</v>
      </c>
      <c r="R119" s="18">
        <f t="shared" si="7"/>
        <v>0.0659824046920821</v>
      </c>
    </row>
    <row r="120" s="4" customFormat="1" spans="1:18">
      <c r="A120" s="4">
        <v>198</v>
      </c>
      <c r="B120" s="4">
        <v>0.81</v>
      </c>
      <c r="C120" s="4">
        <v>0.26</v>
      </c>
      <c r="D120" s="4">
        <v>1.39</v>
      </c>
      <c r="E120" s="13">
        <v>10670867715.52</v>
      </c>
      <c r="F120" s="4" t="s">
        <v>79</v>
      </c>
      <c r="G120" s="14">
        <f t="shared" si="4"/>
        <v>0.679012345679012</v>
      </c>
      <c r="H120" s="14">
        <f t="shared" si="5"/>
        <v>1.71604938271605</v>
      </c>
      <c r="I120" s="17">
        <f t="shared" si="6"/>
        <v>2.52727272727273</v>
      </c>
      <c r="J120" s="4">
        <v>2.06</v>
      </c>
      <c r="K120" s="4">
        <v>3.3432077867118</v>
      </c>
      <c r="L120" s="4">
        <v>81.462</v>
      </c>
      <c r="M120" s="4">
        <v>54.676</v>
      </c>
      <c r="Q120" s="4">
        <v>0.76</v>
      </c>
      <c r="R120" s="18">
        <f t="shared" si="7"/>
        <v>0.0657894736842106</v>
      </c>
    </row>
    <row r="121" s="4" customFormat="1" spans="1:18">
      <c r="A121" s="4">
        <v>2878</v>
      </c>
      <c r="B121" s="4">
        <v>0.325</v>
      </c>
      <c r="C121" s="4">
        <v>0.27</v>
      </c>
      <c r="D121" s="4">
        <v>0.67</v>
      </c>
      <c r="E121" s="13">
        <v>767901728.81</v>
      </c>
      <c r="F121" s="4" t="s">
        <v>302</v>
      </c>
      <c r="G121" s="14">
        <f t="shared" si="4"/>
        <v>0.169230769230769</v>
      </c>
      <c r="H121" s="14">
        <f t="shared" si="5"/>
        <v>2.06153846153846</v>
      </c>
      <c r="I121" s="17">
        <f t="shared" si="6"/>
        <v>12.1818181818182</v>
      </c>
      <c r="J121" s="4" t="s">
        <v>303</v>
      </c>
      <c r="K121" s="4">
        <v>0.85</v>
      </c>
      <c r="L121" s="4">
        <v>1.41302644465316</v>
      </c>
      <c r="Q121" s="4">
        <v>0.305</v>
      </c>
      <c r="R121" s="18">
        <f t="shared" si="7"/>
        <v>0.0655737704918034</v>
      </c>
    </row>
    <row r="122" s="4" customFormat="1" spans="1:18">
      <c r="A122" s="6">
        <v>1345</v>
      </c>
      <c r="B122" s="6">
        <v>1.85</v>
      </c>
      <c r="C122" s="6">
        <v>1.71</v>
      </c>
      <c r="D122" s="6">
        <v>7.79</v>
      </c>
      <c r="E122" s="15">
        <v>2440001220</v>
      </c>
      <c r="F122" s="6" t="s">
        <v>523</v>
      </c>
      <c r="G122" s="16">
        <f t="shared" si="4"/>
        <v>0.0756756756756758</v>
      </c>
      <c r="H122" s="16">
        <f t="shared" si="5"/>
        <v>4.21081081081081</v>
      </c>
      <c r="I122" s="16">
        <f t="shared" si="6"/>
        <v>55.6428571428571</v>
      </c>
      <c r="J122" s="6">
        <v>1.9</v>
      </c>
      <c r="K122" s="6">
        <v>1.13805457741595</v>
      </c>
      <c r="L122" s="6">
        <v>7.0893</v>
      </c>
      <c r="M122" s="6">
        <v>7.09</v>
      </c>
      <c r="N122" s="6"/>
      <c r="O122" s="6"/>
      <c r="P122" s="6"/>
      <c r="Q122" s="6">
        <v>1.74</v>
      </c>
      <c r="R122" s="19">
        <f t="shared" si="7"/>
        <v>0.0632183908045978</v>
      </c>
    </row>
    <row r="123" s="4" customFormat="1" spans="1:18">
      <c r="A123" s="4">
        <v>794</v>
      </c>
      <c r="B123" s="4">
        <v>0.68</v>
      </c>
      <c r="C123" s="4">
        <v>0.6</v>
      </c>
      <c r="D123" s="4">
        <v>1.36</v>
      </c>
      <c r="E123" s="13">
        <v>239118000</v>
      </c>
      <c r="F123" s="4" t="s">
        <v>801</v>
      </c>
      <c r="G123" s="14">
        <f t="shared" si="4"/>
        <v>0.11764705882353</v>
      </c>
      <c r="H123" s="14">
        <f t="shared" si="5"/>
        <v>2</v>
      </c>
      <c r="I123" s="17">
        <f t="shared" si="6"/>
        <v>17</v>
      </c>
      <c r="J123" s="4">
        <v>0.42</v>
      </c>
      <c r="K123" s="4">
        <v>0.273099681383705</v>
      </c>
      <c r="L123" s="4">
        <v>4.2991</v>
      </c>
      <c r="M123" s="4">
        <v>4.298</v>
      </c>
      <c r="Q123" s="4">
        <v>0.64</v>
      </c>
      <c r="R123" s="18">
        <f t="shared" si="7"/>
        <v>0.0625</v>
      </c>
    </row>
    <row r="124" s="4" customFormat="1" spans="1:18">
      <c r="A124" s="4">
        <v>1333</v>
      </c>
      <c r="B124" s="4">
        <v>3.45</v>
      </c>
      <c r="C124" s="4">
        <v>2.43</v>
      </c>
      <c r="D124" s="4">
        <v>5.15</v>
      </c>
      <c r="E124" s="13">
        <v>18637198138.8</v>
      </c>
      <c r="F124" s="4" t="s">
        <v>427</v>
      </c>
      <c r="G124" s="14">
        <f t="shared" si="4"/>
        <v>0.295652173913043</v>
      </c>
      <c r="H124" s="14">
        <f t="shared" si="5"/>
        <v>1.49275362318841</v>
      </c>
      <c r="I124" s="17">
        <f t="shared" si="6"/>
        <v>5.04901960784314</v>
      </c>
      <c r="J124" s="4">
        <v>0.6</v>
      </c>
      <c r="K124" s="4">
        <v>0.901843638951107</v>
      </c>
      <c r="L124" s="4">
        <v>6.0173</v>
      </c>
      <c r="M124" s="4">
        <v>7.272</v>
      </c>
      <c r="Q124" s="4">
        <v>3.25</v>
      </c>
      <c r="R124" s="18">
        <f t="shared" si="7"/>
        <v>0.0615384615384615</v>
      </c>
    </row>
    <row r="125" s="4" customFormat="1" spans="1:18">
      <c r="A125" s="4">
        <v>1883</v>
      </c>
      <c r="B125" s="4">
        <v>2.62</v>
      </c>
      <c r="C125" s="4">
        <v>2.28</v>
      </c>
      <c r="D125" s="4">
        <v>4.42</v>
      </c>
      <c r="E125" s="13">
        <v>8388208403.04</v>
      </c>
      <c r="F125" s="4" t="s">
        <v>502</v>
      </c>
      <c r="G125" s="14">
        <f t="shared" si="4"/>
        <v>0.129770992366412</v>
      </c>
      <c r="H125" s="14">
        <f t="shared" si="5"/>
        <v>1.68702290076336</v>
      </c>
      <c r="I125" s="17">
        <f t="shared" si="6"/>
        <v>13</v>
      </c>
      <c r="J125" s="4">
        <v>1.25</v>
      </c>
      <c r="K125" s="4">
        <v>0.960049550944564</v>
      </c>
      <c r="L125" s="4">
        <v>11.5902</v>
      </c>
      <c r="M125" s="4">
        <v>11.393</v>
      </c>
      <c r="Q125" s="4">
        <v>2.47</v>
      </c>
      <c r="R125" s="18">
        <f t="shared" si="7"/>
        <v>0.0607287449392713</v>
      </c>
    </row>
    <row r="126" s="4" customFormat="1" spans="1:18">
      <c r="A126" s="4">
        <v>182</v>
      </c>
      <c r="B126" s="4">
        <v>0.35</v>
      </c>
      <c r="C126" s="4">
        <v>0.325</v>
      </c>
      <c r="D126" s="4">
        <v>0.77</v>
      </c>
      <c r="E126" s="13">
        <v>2972356163.28</v>
      </c>
      <c r="F126" s="4" t="s">
        <v>766</v>
      </c>
      <c r="G126" s="14">
        <f t="shared" si="4"/>
        <v>0.0714285714285713</v>
      </c>
      <c r="H126" s="14">
        <f t="shared" si="5"/>
        <v>2.2</v>
      </c>
      <c r="I126" s="17">
        <f t="shared" si="6"/>
        <v>30.8000000000001</v>
      </c>
      <c r="J126" s="4">
        <v>0.51</v>
      </c>
      <c r="K126" s="4">
        <v>0.682837342030167</v>
      </c>
      <c r="L126" s="4">
        <v>9.371</v>
      </c>
      <c r="M126" s="4">
        <v>9.116</v>
      </c>
      <c r="Q126" s="4">
        <v>0.33</v>
      </c>
      <c r="R126" s="18">
        <f t="shared" si="7"/>
        <v>0.0606060606060606</v>
      </c>
    </row>
    <row r="127" s="4" customFormat="1" spans="1:18">
      <c r="A127" s="4">
        <v>1495</v>
      </c>
      <c r="B127" s="4">
        <v>0.9</v>
      </c>
      <c r="C127" s="4">
        <v>0.74</v>
      </c>
      <c r="D127" s="4">
        <v>1.76</v>
      </c>
      <c r="E127" s="13">
        <v>298800000</v>
      </c>
      <c r="F127" s="4" t="s">
        <v>245</v>
      </c>
      <c r="G127" s="14">
        <f t="shared" si="4"/>
        <v>0.177777777777778</v>
      </c>
      <c r="H127" s="14">
        <f t="shared" si="5"/>
        <v>1.95555555555556</v>
      </c>
      <c r="I127" s="17">
        <f t="shared" si="6"/>
        <v>11</v>
      </c>
      <c r="J127" s="4">
        <v>1</v>
      </c>
      <c r="K127" s="4">
        <v>5.6891</v>
      </c>
      <c r="Q127" s="4">
        <v>0.85</v>
      </c>
      <c r="R127" s="18">
        <f t="shared" si="7"/>
        <v>0.0588235294117647</v>
      </c>
    </row>
    <row r="128" s="4" customFormat="1" spans="1:18">
      <c r="A128" s="4">
        <v>95</v>
      </c>
      <c r="B128" s="4">
        <v>2.18</v>
      </c>
      <c r="C128" s="4">
        <v>1.7</v>
      </c>
      <c r="D128" s="4">
        <v>4.2</v>
      </c>
      <c r="E128" s="13">
        <v>9527973067.76</v>
      </c>
      <c r="F128" s="4" t="s">
        <v>222</v>
      </c>
      <c r="G128" s="14">
        <f t="shared" si="4"/>
        <v>0.220183486238532</v>
      </c>
      <c r="H128" s="14">
        <f t="shared" si="5"/>
        <v>1.92660550458716</v>
      </c>
      <c r="I128" s="17">
        <f t="shared" si="6"/>
        <v>8.74999999999999</v>
      </c>
      <c r="J128" s="4">
        <v>3.49</v>
      </c>
      <c r="K128" s="4">
        <v>14.0874392782789</v>
      </c>
      <c r="L128" s="4">
        <v>583.6073</v>
      </c>
      <c r="M128" s="4">
        <v>170.248</v>
      </c>
      <c r="Q128" s="4">
        <v>2.06</v>
      </c>
      <c r="R128" s="18">
        <f t="shared" si="7"/>
        <v>0.058252427184466</v>
      </c>
    </row>
    <row r="129" s="4" customFormat="1" spans="1:18">
      <c r="A129" s="4">
        <v>3399</v>
      </c>
      <c r="B129" s="4">
        <v>4.94</v>
      </c>
      <c r="C129" s="4">
        <v>2.06</v>
      </c>
      <c r="D129" s="4">
        <v>8.1</v>
      </c>
      <c r="E129" s="13">
        <v>993600000</v>
      </c>
      <c r="F129" s="4" t="s">
        <v>136</v>
      </c>
      <c r="G129" s="14">
        <f t="shared" si="4"/>
        <v>0.582995951417004</v>
      </c>
      <c r="H129" s="14">
        <f t="shared" si="5"/>
        <v>1.63967611336032</v>
      </c>
      <c r="I129" s="17">
        <f t="shared" si="6"/>
        <v>2.8125</v>
      </c>
      <c r="J129" s="4">
        <v>1.36</v>
      </c>
      <c r="K129" s="14">
        <v>0.307522342853228</v>
      </c>
      <c r="L129" s="4">
        <v>11.8585</v>
      </c>
      <c r="M129" s="4">
        <v>11.537</v>
      </c>
      <c r="Q129" s="4">
        <v>4.67</v>
      </c>
      <c r="R129" s="18">
        <f t="shared" si="7"/>
        <v>0.0578158458244111</v>
      </c>
    </row>
    <row r="130" s="4" customFormat="1" spans="1:18">
      <c r="A130" s="4">
        <v>8265</v>
      </c>
      <c r="B130" s="4">
        <v>4.15</v>
      </c>
      <c r="C130" s="4">
        <v>0.5</v>
      </c>
      <c r="D130" s="4">
        <v>4.5</v>
      </c>
      <c r="E130" s="13">
        <v>1177728000</v>
      </c>
      <c r="F130" s="4" t="s">
        <v>143</v>
      </c>
      <c r="G130" s="14">
        <f t="shared" ref="G130:G193" si="8">1-C130/B130</f>
        <v>0.879518072289157</v>
      </c>
      <c r="H130" s="14">
        <f t="shared" ref="H130:H193" si="9">D130/B130</f>
        <v>1.08433734939759</v>
      </c>
      <c r="I130" s="17">
        <f t="shared" ref="I130:I193" si="10">H130/G130</f>
        <v>1.23287671232877</v>
      </c>
      <c r="J130" s="4">
        <v>8.44</v>
      </c>
      <c r="K130" s="14">
        <v>5.2096052096052</v>
      </c>
      <c r="L130" s="4">
        <v>173.2208</v>
      </c>
      <c r="M130" s="4">
        <v>99.746</v>
      </c>
      <c r="P130" s="6"/>
      <c r="Q130" s="4">
        <v>3.93</v>
      </c>
      <c r="R130" s="18">
        <f t="shared" ref="R130:R193" si="11">B130/Q130-1</f>
        <v>0.0559796437659033</v>
      </c>
    </row>
    <row r="131" s="4" customFormat="1" spans="1:18">
      <c r="A131" s="4">
        <v>2020</v>
      </c>
      <c r="B131" s="4">
        <v>18.5</v>
      </c>
      <c r="C131" s="4">
        <v>11.38</v>
      </c>
      <c r="D131" s="4">
        <v>24.45</v>
      </c>
      <c r="E131" s="13">
        <v>45020179800</v>
      </c>
      <c r="F131" s="4" t="s">
        <v>471</v>
      </c>
      <c r="G131" s="14">
        <f t="shared" si="8"/>
        <v>0.384864864864865</v>
      </c>
      <c r="H131" s="14">
        <f t="shared" si="9"/>
        <v>1.32162162162162</v>
      </c>
      <c r="I131" s="17">
        <f t="shared" si="10"/>
        <v>3.43398876404494</v>
      </c>
      <c r="J131" s="4">
        <v>4.7</v>
      </c>
      <c r="K131" s="4">
        <v>3.37601621886205</v>
      </c>
      <c r="L131" s="4">
        <v>21.1753</v>
      </c>
      <c r="M131" s="4">
        <v>20.592</v>
      </c>
      <c r="Q131" s="4">
        <v>17.54</v>
      </c>
      <c r="R131" s="18">
        <f t="shared" si="11"/>
        <v>0.0547320410490308</v>
      </c>
    </row>
    <row r="132" s="4" customFormat="1" spans="1:18">
      <c r="A132" s="4">
        <v>2308</v>
      </c>
      <c r="B132" s="4">
        <v>1.35</v>
      </c>
      <c r="C132" s="4">
        <v>0.78</v>
      </c>
      <c r="D132" s="4">
        <v>3.72</v>
      </c>
      <c r="E132" s="13">
        <v>394690560</v>
      </c>
      <c r="F132" s="4" t="s">
        <v>133</v>
      </c>
      <c r="G132" s="14">
        <f t="shared" si="8"/>
        <v>0.422222222222222</v>
      </c>
      <c r="H132" s="14">
        <f t="shared" si="9"/>
        <v>2.75555555555556</v>
      </c>
      <c r="I132" s="17">
        <f t="shared" si="10"/>
        <v>6.52631578947368</v>
      </c>
      <c r="J132" s="4">
        <v>0.84</v>
      </c>
      <c r="K132" s="4">
        <v>0.721722956584101</v>
      </c>
      <c r="L132" s="4">
        <v>10.555</v>
      </c>
      <c r="M132" s="4">
        <v>10.552</v>
      </c>
      <c r="Q132" s="4">
        <v>1.28</v>
      </c>
      <c r="R132" s="18">
        <f t="shared" si="11"/>
        <v>0.0546875</v>
      </c>
    </row>
    <row r="133" s="4" customFormat="1" spans="1:18">
      <c r="A133" s="4">
        <v>1918</v>
      </c>
      <c r="B133" s="4">
        <v>4.85</v>
      </c>
      <c r="C133" s="4">
        <v>3.83</v>
      </c>
      <c r="D133" s="4">
        <v>10.78</v>
      </c>
      <c r="E133" s="13">
        <v>16079391953.68</v>
      </c>
      <c r="F133" s="4" t="s">
        <v>186</v>
      </c>
      <c r="G133" s="14">
        <f t="shared" si="8"/>
        <v>0.210309278350515</v>
      </c>
      <c r="H133" s="14">
        <f t="shared" si="9"/>
        <v>2.22268041237113</v>
      </c>
      <c r="I133" s="17">
        <f t="shared" si="10"/>
        <v>10.5686274509804</v>
      </c>
      <c r="J133" s="4">
        <v>0.79</v>
      </c>
      <c r="K133" s="4">
        <v>1.04438653366502</v>
      </c>
      <c r="L133" s="4">
        <v>3.991</v>
      </c>
      <c r="M133" s="4">
        <v>3.825</v>
      </c>
      <c r="Q133" s="4">
        <v>4.6</v>
      </c>
      <c r="R133" s="18">
        <f t="shared" si="11"/>
        <v>0.0543478260869565</v>
      </c>
    </row>
    <row r="134" s="4" customFormat="1" spans="1:18">
      <c r="A134" s="4">
        <v>1480</v>
      </c>
      <c r="B134" s="4">
        <v>2</v>
      </c>
      <c r="C134" s="4">
        <v>1.32</v>
      </c>
      <c r="D134" s="4">
        <v>102</v>
      </c>
      <c r="E134" s="13">
        <v>475200000</v>
      </c>
      <c r="F134" s="4" t="s">
        <v>121</v>
      </c>
      <c r="G134" s="14">
        <f t="shared" si="8"/>
        <v>0.34</v>
      </c>
      <c r="H134" s="14">
        <f t="shared" si="9"/>
        <v>51</v>
      </c>
      <c r="I134" s="14">
        <f t="shared" si="10"/>
        <v>150</v>
      </c>
      <c r="J134" s="4">
        <v>1.07</v>
      </c>
      <c r="K134" s="4">
        <v>0.709423145825868</v>
      </c>
      <c r="L134" s="4">
        <v>10.7489</v>
      </c>
      <c r="M134" s="4">
        <v>7.907</v>
      </c>
      <c r="Q134" s="4">
        <v>1.9</v>
      </c>
      <c r="R134" s="18">
        <f t="shared" si="11"/>
        <v>0.0526315789473684</v>
      </c>
    </row>
    <row r="135" s="4" customFormat="1" spans="1:18">
      <c r="A135" s="4">
        <v>2313</v>
      </c>
      <c r="B135" s="4">
        <v>40.05</v>
      </c>
      <c r="C135" s="4">
        <v>22.2</v>
      </c>
      <c r="D135" s="4">
        <v>44.55</v>
      </c>
      <c r="E135" s="13">
        <v>54980700000</v>
      </c>
      <c r="F135" s="4" t="s">
        <v>434</v>
      </c>
      <c r="G135" s="14">
        <f t="shared" si="8"/>
        <v>0.445692883895131</v>
      </c>
      <c r="H135" s="14">
        <f t="shared" si="9"/>
        <v>1.1123595505618</v>
      </c>
      <c r="I135" s="17">
        <f t="shared" si="10"/>
        <v>2.49579831932773</v>
      </c>
      <c r="J135" s="4">
        <v>3.68</v>
      </c>
      <c r="K135" s="4">
        <v>3.71773900758512</v>
      </c>
      <c r="L135" s="4">
        <v>21.2843</v>
      </c>
      <c r="M135" s="4">
        <v>20.608</v>
      </c>
      <c r="Q135" s="4">
        <v>38.05</v>
      </c>
      <c r="R135" s="18">
        <f t="shared" si="11"/>
        <v>0.0525624178712221</v>
      </c>
    </row>
    <row r="136" s="4" customFormat="1" spans="1:18">
      <c r="A136" s="4">
        <v>3333</v>
      </c>
      <c r="B136" s="4">
        <v>5.12</v>
      </c>
      <c r="C136" s="4">
        <v>2.89</v>
      </c>
      <c r="D136" s="4">
        <v>8.4</v>
      </c>
      <c r="E136" s="13">
        <v>72028105485</v>
      </c>
      <c r="F136" s="4" t="s">
        <v>688</v>
      </c>
      <c r="G136" s="14">
        <f t="shared" si="8"/>
        <v>0.435546875</v>
      </c>
      <c r="H136" s="14">
        <f t="shared" si="9"/>
        <v>1.640625</v>
      </c>
      <c r="I136" s="17">
        <f t="shared" si="10"/>
        <v>3.76681614349776</v>
      </c>
      <c r="J136" s="4">
        <v>0.55</v>
      </c>
      <c r="K136" s="14">
        <v>0.4096808458931</v>
      </c>
      <c r="L136" s="4">
        <v>4.5703</v>
      </c>
      <c r="M136" s="4">
        <v>4.562</v>
      </c>
      <c r="P136" s="6"/>
      <c r="Q136" s="4">
        <v>4.87</v>
      </c>
      <c r="R136" s="18">
        <f t="shared" si="11"/>
        <v>0.0513347022587269</v>
      </c>
    </row>
    <row r="137" s="4" customFormat="1" spans="1:18">
      <c r="A137" s="4">
        <v>1143</v>
      </c>
      <c r="B137" s="4">
        <v>8.4</v>
      </c>
      <c r="C137" s="4">
        <v>0.6</v>
      </c>
      <c r="D137" s="4">
        <v>11.84</v>
      </c>
      <c r="E137" s="13">
        <v>4653037404.6</v>
      </c>
      <c r="F137" s="4" t="s">
        <v>69</v>
      </c>
      <c r="G137" s="14">
        <f t="shared" si="8"/>
        <v>0.928571428571429</v>
      </c>
      <c r="H137" s="14">
        <f t="shared" si="9"/>
        <v>1.40952380952381</v>
      </c>
      <c r="I137" s="17">
        <f t="shared" si="10"/>
        <v>1.51794871794872</v>
      </c>
      <c r="J137" s="4">
        <v>8.39</v>
      </c>
      <c r="K137" s="4">
        <v>2.48189459216577</v>
      </c>
      <c r="L137" s="4">
        <v>8064.1896</v>
      </c>
      <c r="M137" s="4">
        <v>5707.143</v>
      </c>
      <c r="Q137" s="4">
        <v>7.99</v>
      </c>
      <c r="R137" s="18">
        <f t="shared" si="11"/>
        <v>0.0513141426783479</v>
      </c>
    </row>
    <row r="138" s="4" customFormat="1" spans="1:18">
      <c r="A138" s="4">
        <v>1468</v>
      </c>
      <c r="B138" s="4">
        <v>0.209</v>
      </c>
      <c r="C138" s="4">
        <v>0.179</v>
      </c>
      <c r="D138" s="4">
        <v>0.415</v>
      </c>
      <c r="E138" s="13">
        <v>589695475.2</v>
      </c>
      <c r="F138" s="4" t="s">
        <v>421</v>
      </c>
      <c r="G138" s="14">
        <f t="shared" si="8"/>
        <v>0.143540669856459</v>
      </c>
      <c r="H138" s="14">
        <f t="shared" si="9"/>
        <v>1.98564593301435</v>
      </c>
      <c r="I138" s="17">
        <f t="shared" si="10"/>
        <v>13.8333333333333</v>
      </c>
      <c r="J138" s="4">
        <v>1.45</v>
      </c>
      <c r="K138" s="4">
        <v>1.82456140350877</v>
      </c>
      <c r="L138" s="4">
        <v>15.3983</v>
      </c>
      <c r="M138" s="4">
        <v>13.007</v>
      </c>
      <c r="Q138" s="4">
        <v>0.199</v>
      </c>
      <c r="R138" s="18">
        <f t="shared" si="11"/>
        <v>0.050251256281407</v>
      </c>
    </row>
    <row r="139" s="4" customFormat="1" spans="1:18">
      <c r="A139" s="4">
        <v>1385</v>
      </c>
      <c r="B139" s="4">
        <v>4.62</v>
      </c>
      <c r="C139" s="4">
        <v>4.18</v>
      </c>
      <c r="D139" s="4">
        <v>11.26</v>
      </c>
      <c r="E139" s="13">
        <v>1075945200</v>
      </c>
      <c r="F139" s="4" t="s">
        <v>517</v>
      </c>
      <c r="G139" s="14">
        <f t="shared" si="8"/>
        <v>0.0952380952380953</v>
      </c>
      <c r="H139" s="14">
        <f t="shared" si="9"/>
        <v>2.43722943722944</v>
      </c>
      <c r="I139" s="17">
        <f t="shared" si="10"/>
        <v>25.5909090909091</v>
      </c>
      <c r="J139" s="4">
        <v>2.38</v>
      </c>
      <c r="K139" s="4">
        <v>2.46233916031106</v>
      </c>
      <c r="L139" s="4">
        <v>13.0508</v>
      </c>
      <c r="M139" s="4">
        <v>12.934</v>
      </c>
      <c r="Q139" s="4">
        <v>4.4</v>
      </c>
      <c r="R139" s="18">
        <f t="shared" si="11"/>
        <v>0.05</v>
      </c>
    </row>
    <row r="140" s="4" customFormat="1" spans="1:18">
      <c r="A140" s="4">
        <v>2699</v>
      </c>
      <c r="B140" s="4">
        <v>1.48</v>
      </c>
      <c r="C140" s="4">
        <v>1.01</v>
      </c>
      <c r="D140" s="4">
        <v>1.75</v>
      </c>
      <c r="E140" s="13">
        <v>2744800000</v>
      </c>
      <c r="F140" s="4" t="s">
        <v>284</v>
      </c>
      <c r="G140" s="14">
        <f t="shared" si="8"/>
        <v>0.317567567567568</v>
      </c>
      <c r="H140" s="14">
        <f t="shared" si="9"/>
        <v>1.18243243243243</v>
      </c>
      <c r="I140" s="17">
        <f t="shared" si="10"/>
        <v>3.72340425531915</v>
      </c>
      <c r="J140" s="4">
        <v>1.47</v>
      </c>
      <c r="K140" s="4">
        <v>1.1269064459095</v>
      </c>
      <c r="L140" s="4">
        <v>6.6483</v>
      </c>
      <c r="Q140" s="4">
        <v>1.41</v>
      </c>
      <c r="R140" s="18">
        <f t="shared" si="11"/>
        <v>0.0496453900709219</v>
      </c>
    </row>
    <row r="141" s="4" customFormat="1" spans="1:18">
      <c r="A141" s="4">
        <v>3382</v>
      </c>
      <c r="B141" s="4">
        <v>1.08</v>
      </c>
      <c r="C141" s="4">
        <v>1.03</v>
      </c>
      <c r="D141" s="4">
        <v>2.77</v>
      </c>
      <c r="E141" s="13">
        <v>6589060000</v>
      </c>
      <c r="F141" s="4" t="s">
        <v>484</v>
      </c>
      <c r="G141" s="14">
        <f t="shared" si="8"/>
        <v>0.0462962962962963</v>
      </c>
      <c r="H141" s="14">
        <f t="shared" si="9"/>
        <v>2.56481481481481</v>
      </c>
      <c r="I141" s="17">
        <f t="shared" si="10"/>
        <v>55.4</v>
      </c>
      <c r="J141" s="4">
        <v>0.54</v>
      </c>
      <c r="K141" s="14">
        <v>0.284226743877171</v>
      </c>
      <c r="L141" s="4">
        <v>8.044</v>
      </c>
      <c r="M141" s="4">
        <v>7.744</v>
      </c>
      <c r="Q141" s="4">
        <v>1.03</v>
      </c>
      <c r="R141" s="18">
        <f t="shared" si="11"/>
        <v>0.0485436893203883</v>
      </c>
    </row>
    <row r="142" s="6" customFormat="1" spans="1:18">
      <c r="A142" s="4">
        <v>6198</v>
      </c>
      <c r="B142" s="4">
        <v>2.81</v>
      </c>
      <c r="C142" s="4">
        <v>2.65</v>
      </c>
      <c r="D142" s="4">
        <v>6.07</v>
      </c>
      <c r="E142" s="13">
        <v>2345508500</v>
      </c>
      <c r="F142" s="4" t="s">
        <v>565</v>
      </c>
      <c r="G142" s="14">
        <f t="shared" si="8"/>
        <v>0.0569395017793595</v>
      </c>
      <c r="H142" s="14">
        <f t="shared" si="9"/>
        <v>2.16014234875445</v>
      </c>
      <c r="I142" s="17">
        <f t="shared" si="10"/>
        <v>37.9375</v>
      </c>
      <c r="J142" s="4">
        <v>0.88</v>
      </c>
      <c r="K142" s="14">
        <v>1.40418332656728</v>
      </c>
      <c r="L142" s="4">
        <v>6.6003</v>
      </c>
      <c r="M142" s="4">
        <v>6</v>
      </c>
      <c r="N142" s="4"/>
      <c r="O142" s="4"/>
      <c r="P142" s="4"/>
      <c r="Q142" s="4">
        <v>2.68</v>
      </c>
      <c r="R142" s="18">
        <f t="shared" si="11"/>
        <v>0.0485074626865671</v>
      </c>
    </row>
    <row r="143" s="4" customFormat="1" spans="1:18">
      <c r="A143" s="4">
        <v>8051</v>
      </c>
      <c r="B143" s="4">
        <v>0.325</v>
      </c>
      <c r="C143" s="4">
        <v>0.2</v>
      </c>
      <c r="D143" s="4">
        <v>45.4</v>
      </c>
      <c r="E143" s="13">
        <v>271999276.25</v>
      </c>
      <c r="F143" s="4" t="s">
        <v>366</v>
      </c>
      <c r="G143" s="14">
        <f t="shared" si="8"/>
        <v>0.384615384615385</v>
      </c>
      <c r="H143" s="14">
        <f t="shared" si="9"/>
        <v>139.692307692308</v>
      </c>
      <c r="I143" s="14">
        <f t="shared" si="10"/>
        <v>363.2</v>
      </c>
      <c r="J143" s="4">
        <v>3.45</v>
      </c>
      <c r="K143" s="14">
        <v>10.3174603174603</v>
      </c>
      <c r="Q143" s="4">
        <v>0.31</v>
      </c>
      <c r="R143" s="18">
        <f t="shared" si="11"/>
        <v>0.0483870967741935</v>
      </c>
    </row>
    <row r="144" s="4" customFormat="1" spans="1:18">
      <c r="A144" s="4">
        <v>1622</v>
      </c>
      <c r="B144" s="4">
        <v>5.68</v>
      </c>
      <c r="C144" s="4">
        <v>3.18</v>
      </c>
      <c r="D144" s="4">
        <v>6.15</v>
      </c>
      <c r="E144" s="13">
        <v>9553829076.18</v>
      </c>
      <c r="F144" s="4" t="s">
        <v>218</v>
      </c>
      <c r="G144" s="14">
        <f t="shared" si="8"/>
        <v>0.440140845070423</v>
      </c>
      <c r="H144" s="14">
        <f t="shared" si="9"/>
        <v>1.08274647887324</v>
      </c>
      <c r="I144" s="17">
        <f t="shared" si="10"/>
        <v>2.46</v>
      </c>
      <c r="J144" s="4">
        <v>3.12</v>
      </c>
      <c r="K144" s="4">
        <v>2.07638671660544</v>
      </c>
      <c r="L144" s="4">
        <v>22.0062</v>
      </c>
      <c r="M144" s="4">
        <v>19.581</v>
      </c>
      <c r="Q144" s="4">
        <v>5.42</v>
      </c>
      <c r="R144" s="18">
        <f t="shared" si="11"/>
        <v>0.0479704797047971</v>
      </c>
    </row>
    <row r="145" s="6" customFormat="1" spans="1:18">
      <c r="A145" s="4">
        <v>700</v>
      </c>
      <c r="B145" s="4">
        <v>139.3</v>
      </c>
      <c r="C145" s="4">
        <v>104.5</v>
      </c>
      <c r="D145" s="4">
        <v>171</v>
      </c>
      <c r="E145" s="13">
        <v>1307145434888</v>
      </c>
      <c r="F145" s="4" t="s">
        <v>543</v>
      </c>
      <c r="G145" s="14">
        <f t="shared" si="8"/>
        <v>0.249820531227566</v>
      </c>
      <c r="H145" s="14">
        <f t="shared" si="9"/>
        <v>1.2275664034458</v>
      </c>
      <c r="I145" s="17">
        <f t="shared" si="10"/>
        <v>4.91379310344827</v>
      </c>
      <c r="J145" s="4">
        <v>10.11</v>
      </c>
      <c r="K145" s="4">
        <v>10.7986417011662</v>
      </c>
      <c r="L145" s="4">
        <v>42.0416</v>
      </c>
      <c r="M145" s="4">
        <v>41.269</v>
      </c>
      <c r="N145" s="4"/>
      <c r="O145" s="4"/>
      <c r="P145" s="4"/>
      <c r="Q145" s="4">
        <v>133.1</v>
      </c>
      <c r="R145" s="18">
        <f t="shared" si="11"/>
        <v>0.0465815176558979</v>
      </c>
    </row>
    <row r="146" s="4" customFormat="1" spans="1:18">
      <c r="A146" s="4">
        <v>963</v>
      </c>
      <c r="B146" s="4">
        <v>16.7</v>
      </c>
      <c r="C146" s="4">
        <v>9.6</v>
      </c>
      <c r="D146" s="4">
        <v>20.95</v>
      </c>
      <c r="E146" s="13">
        <v>5768671674.28</v>
      </c>
      <c r="F146" s="4" t="s">
        <v>535</v>
      </c>
      <c r="G146" s="14">
        <f t="shared" si="8"/>
        <v>0.425149700598802</v>
      </c>
      <c r="H146" s="14">
        <f t="shared" si="9"/>
        <v>1.25449101796407</v>
      </c>
      <c r="I146" s="17">
        <f t="shared" si="10"/>
        <v>2.95070422535211</v>
      </c>
      <c r="J146" s="4">
        <v>5.05</v>
      </c>
      <c r="K146" s="4">
        <v>6.8872042874818</v>
      </c>
      <c r="L146" s="4">
        <v>28.4664</v>
      </c>
      <c r="M146" s="4">
        <v>26.16</v>
      </c>
      <c r="Q146" s="4">
        <v>15.96</v>
      </c>
      <c r="R146" s="18">
        <f t="shared" si="11"/>
        <v>0.0463659147869673</v>
      </c>
    </row>
    <row r="147" s="4" customFormat="1" spans="1:18">
      <c r="A147" s="4">
        <v>1105</v>
      </c>
      <c r="B147" s="4">
        <v>1.19</v>
      </c>
      <c r="C147" s="4">
        <v>0.99</v>
      </c>
      <c r="D147" s="4">
        <v>1.55</v>
      </c>
      <c r="E147" s="13">
        <v>1012466914.29</v>
      </c>
      <c r="F147" s="4" t="s">
        <v>250</v>
      </c>
      <c r="G147" s="14">
        <f t="shared" si="8"/>
        <v>0.168067226890756</v>
      </c>
      <c r="H147" s="14">
        <f t="shared" si="9"/>
        <v>1.30252100840336</v>
      </c>
      <c r="I147" s="17">
        <f t="shared" si="10"/>
        <v>7.75</v>
      </c>
      <c r="J147" s="4">
        <v>0.49</v>
      </c>
      <c r="K147" s="4">
        <v>0.543175487465181</v>
      </c>
      <c r="L147" s="4">
        <v>8.6409</v>
      </c>
      <c r="M147" s="4">
        <v>8.37</v>
      </c>
      <c r="Q147" s="4">
        <v>1.14</v>
      </c>
      <c r="R147" s="18">
        <f t="shared" si="11"/>
        <v>0.0438596491228072</v>
      </c>
    </row>
    <row r="148" s="4" customFormat="1" spans="1:18">
      <c r="A148" s="6">
        <v>3378</v>
      </c>
      <c r="B148" s="6">
        <v>1.45</v>
      </c>
      <c r="C148" s="6">
        <v>1.2</v>
      </c>
      <c r="D148" s="6">
        <v>5.78</v>
      </c>
      <c r="E148" s="15">
        <v>1341912000</v>
      </c>
      <c r="F148" s="6" t="s">
        <v>485</v>
      </c>
      <c r="G148" s="16">
        <f t="shared" si="8"/>
        <v>0.172413793103448</v>
      </c>
      <c r="H148" s="16">
        <f t="shared" si="9"/>
        <v>3.98620689655172</v>
      </c>
      <c r="I148" s="16">
        <f t="shared" si="10"/>
        <v>23.12</v>
      </c>
      <c r="J148" s="6">
        <v>0.61</v>
      </c>
      <c r="K148" s="16">
        <v>0.469720604451118</v>
      </c>
      <c r="L148" s="6">
        <v>6.8971</v>
      </c>
      <c r="M148" s="6">
        <v>7.049</v>
      </c>
      <c r="N148" s="6"/>
      <c r="O148" s="6"/>
      <c r="Q148" s="6">
        <v>1.39</v>
      </c>
      <c r="R148" s="18">
        <f t="shared" si="11"/>
        <v>0.0431654676258992</v>
      </c>
    </row>
    <row r="149" s="4" customFormat="1" spans="1:18">
      <c r="A149" s="4">
        <v>183</v>
      </c>
      <c r="B149" s="4">
        <v>0.173</v>
      </c>
      <c r="C149" s="4">
        <v>0.164</v>
      </c>
      <c r="D149" s="4">
        <v>0.81</v>
      </c>
      <c r="E149" s="13">
        <v>467582000</v>
      </c>
      <c r="F149" s="4" t="s">
        <v>80</v>
      </c>
      <c r="G149" s="14">
        <f t="shared" si="8"/>
        <v>0.0520231213872832</v>
      </c>
      <c r="H149" s="14">
        <f t="shared" si="9"/>
        <v>4.68208092485549</v>
      </c>
      <c r="I149" s="14">
        <f t="shared" si="10"/>
        <v>90.0000000000002</v>
      </c>
      <c r="J149" s="4">
        <v>0.29</v>
      </c>
      <c r="K149" s="4">
        <v>14.7590361445783</v>
      </c>
      <c r="L149" s="4">
        <v>108.75</v>
      </c>
      <c r="Q149" s="4">
        <v>0.166</v>
      </c>
      <c r="R149" s="18">
        <f t="shared" si="11"/>
        <v>0.042168674698795</v>
      </c>
    </row>
    <row r="150" s="4" customFormat="1" spans="1:18">
      <c r="A150" s="6">
        <v>85</v>
      </c>
      <c r="B150" s="6">
        <v>2.23</v>
      </c>
      <c r="C150" s="6">
        <v>1.47</v>
      </c>
      <c r="D150" s="6">
        <v>4.83</v>
      </c>
      <c r="E150" s="15">
        <v>4567212000</v>
      </c>
      <c r="F150" s="6" t="s">
        <v>689</v>
      </c>
      <c r="G150" s="16">
        <f t="shared" si="8"/>
        <v>0.340807174887892</v>
      </c>
      <c r="H150" s="16">
        <f t="shared" si="9"/>
        <v>2.16591928251121</v>
      </c>
      <c r="I150" s="16">
        <f t="shared" si="10"/>
        <v>6.35526315789474</v>
      </c>
      <c r="J150" s="6">
        <v>3.89</v>
      </c>
      <c r="K150" s="6">
        <v>2.94888597640891</v>
      </c>
      <c r="L150" s="6">
        <v>26.8489</v>
      </c>
      <c r="M150" s="6">
        <v>22.408</v>
      </c>
      <c r="N150" s="6"/>
      <c r="O150" s="6"/>
      <c r="P150" s="6"/>
      <c r="Q150" s="6">
        <v>2.14</v>
      </c>
      <c r="R150" s="19">
        <f t="shared" si="11"/>
        <v>0.042056074766355</v>
      </c>
    </row>
    <row r="151" s="4" customFormat="1" spans="1:18">
      <c r="A151" s="4">
        <v>1527</v>
      </c>
      <c r="B151" s="4">
        <v>5.23</v>
      </c>
      <c r="C151" s="4">
        <v>4.8</v>
      </c>
      <c r="D151" s="4">
        <v>12.5</v>
      </c>
      <c r="E151" s="13">
        <v>187250000</v>
      </c>
      <c r="F151" s="4" t="s">
        <v>122</v>
      </c>
      <c r="G151" s="14">
        <f t="shared" si="8"/>
        <v>0.0822179732313577</v>
      </c>
      <c r="H151" s="14">
        <f t="shared" si="9"/>
        <v>2.39005736137667</v>
      </c>
      <c r="I151" s="17">
        <f t="shared" si="10"/>
        <v>29.0697674418604</v>
      </c>
      <c r="J151" s="4">
        <v>1.15</v>
      </c>
      <c r="K151" s="4">
        <v>7.7857</v>
      </c>
      <c r="Q151" s="4">
        <v>5.02</v>
      </c>
      <c r="R151" s="18">
        <f t="shared" si="11"/>
        <v>0.0418326693227093</v>
      </c>
    </row>
    <row r="152" s="4" customFormat="1" spans="1:18">
      <c r="A152" s="4">
        <v>525</v>
      </c>
      <c r="B152" s="4">
        <v>3.51</v>
      </c>
      <c r="C152" s="4">
        <v>2.88</v>
      </c>
      <c r="D152" s="4">
        <v>5.43</v>
      </c>
      <c r="E152" s="13">
        <v>4766229000</v>
      </c>
      <c r="F152" s="4" t="s">
        <v>553</v>
      </c>
      <c r="G152" s="14">
        <f t="shared" si="8"/>
        <v>0.17948717948718</v>
      </c>
      <c r="H152" s="14">
        <f t="shared" si="9"/>
        <v>1.54700854700855</v>
      </c>
      <c r="I152" s="17">
        <f t="shared" si="10"/>
        <v>8.61904761904762</v>
      </c>
      <c r="J152" s="4">
        <v>0.69</v>
      </c>
      <c r="K152" s="4">
        <v>1.27908846916418</v>
      </c>
      <c r="L152" s="4">
        <v>28.4953</v>
      </c>
      <c r="M152" s="4">
        <v>28.828</v>
      </c>
      <c r="Q152" s="4">
        <v>3.37</v>
      </c>
      <c r="R152" s="18">
        <f t="shared" si="11"/>
        <v>0.0415430267062313</v>
      </c>
    </row>
    <row r="153" s="4" customFormat="1" spans="1:18">
      <c r="A153" s="6">
        <v>8325</v>
      </c>
      <c r="B153" s="6">
        <v>1.51</v>
      </c>
      <c r="C153" s="6">
        <v>0.9</v>
      </c>
      <c r="D153" s="6">
        <v>4.77</v>
      </c>
      <c r="E153" s="15">
        <v>2237064304.86</v>
      </c>
      <c r="F153" s="6" t="s">
        <v>777</v>
      </c>
      <c r="G153" s="16">
        <f t="shared" si="8"/>
        <v>0.403973509933775</v>
      </c>
      <c r="H153" s="16">
        <f t="shared" si="9"/>
        <v>3.15894039735099</v>
      </c>
      <c r="I153" s="16">
        <f t="shared" si="10"/>
        <v>7.81967213114754</v>
      </c>
      <c r="J153" s="6">
        <v>1.74</v>
      </c>
      <c r="K153" s="16">
        <v>4.32949114422266</v>
      </c>
      <c r="L153" s="6"/>
      <c r="M153" s="6"/>
      <c r="N153" s="6"/>
      <c r="O153" s="6"/>
      <c r="P153" s="6"/>
      <c r="Q153" s="6">
        <v>1.45</v>
      </c>
      <c r="R153" s="18">
        <f t="shared" si="11"/>
        <v>0.0413793103448277</v>
      </c>
    </row>
    <row r="154" s="4" customFormat="1" spans="1:18">
      <c r="A154" s="4">
        <v>2666</v>
      </c>
      <c r="B154" s="4">
        <v>5.56</v>
      </c>
      <c r="C154" s="4">
        <v>4.68</v>
      </c>
      <c r="D154" s="4">
        <v>8.29</v>
      </c>
      <c r="E154" s="13">
        <v>9199392548.8</v>
      </c>
      <c r="F154" s="4" t="s">
        <v>361</v>
      </c>
      <c r="G154" s="14">
        <f t="shared" si="8"/>
        <v>0.158273381294964</v>
      </c>
      <c r="H154" s="14">
        <f t="shared" si="9"/>
        <v>1.4910071942446</v>
      </c>
      <c r="I154" s="17">
        <f t="shared" si="10"/>
        <v>9.42045454545454</v>
      </c>
      <c r="J154" s="4">
        <v>1.37</v>
      </c>
      <c r="K154" s="4">
        <v>3.68294307169078</v>
      </c>
      <c r="L154" s="4">
        <v>16.1116</v>
      </c>
      <c r="Q154" s="4">
        <v>5.34</v>
      </c>
      <c r="R154" s="18">
        <f t="shared" si="11"/>
        <v>0.0411985018726591</v>
      </c>
    </row>
    <row r="155" s="4" customFormat="1" spans="1:18">
      <c r="A155" s="4">
        <v>500</v>
      </c>
      <c r="B155" s="4">
        <v>1.29</v>
      </c>
      <c r="C155" s="4">
        <v>0.62</v>
      </c>
      <c r="D155" s="4">
        <v>4.25</v>
      </c>
      <c r="E155" s="13">
        <v>1503323043.66</v>
      </c>
      <c r="F155" s="4" t="s">
        <v>91</v>
      </c>
      <c r="G155" s="14">
        <f t="shared" si="8"/>
        <v>0.51937984496124</v>
      </c>
      <c r="H155" s="14">
        <f t="shared" si="9"/>
        <v>3.29457364341085</v>
      </c>
      <c r="I155" s="14">
        <f t="shared" si="10"/>
        <v>6.34328358208955</v>
      </c>
      <c r="J155" s="4">
        <v>1.7</v>
      </c>
      <c r="K155" s="4">
        <v>6.61246612466124</v>
      </c>
      <c r="Q155" s="4">
        <v>1.24</v>
      </c>
      <c r="R155" s="18">
        <f t="shared" si="11"/>
        <v>0.0403225806451613</v>
      </c>
    </row>
    <row r="156" s="4" customFormat="1" spans="1:18">
      <c r="A156" s="4">
        <v>338</v>
      </c>
      <c r="B156" s="4">
        <v>3.11</v>
      </c>
      <c r="C156" s="4">
        <v>2.17</v>
      </c>
      <c r="D156" s="4">
        <v>5.35</v>
      </c>
      <c r="E156" s="13">
        <v>10589850000</v>
      </c>
      <c r="F156" s="4" t="s">
        <v>563</v>
      </c>
      <c r="G156" s="14">
        <f t="shared" si="8"/>
        <v>0.302250803858521</v>
      </c>
      <c r="H156" s="14">
        <f t="shared" si="9"/>
        <v>1.72025723472669</v>
      </c>
      <c r="I156" s="17">
        <f t="shared" si="10"/>
        <v>5.69148936170213</v>
      </c>
      <c r="J156" s="4">
        <v>1.41</v>
      </c>
      <c r="K156" s="4">
        <v>0.31015090565303</v>
      </c>
      <c r="Q156" s="4">
        <v>2.99</v>
      </c>
      <c r="R156" s="18">
        <f t="shared" si="11"/>
        <v>0.040133779264214</v>
      </c>
    </row>
    <row r="157" s="4" customFormat="1" spans="1:18">
      <c r="A157" s="4">
        <v>8260</v>
      </c>
      <c r="B157" s="4">
        <v>1.05</v>
      </c>
      <c r="C157" s="4">
        <v>0.29</v>
      </c>
      <c r="D157" s="4">
        <v>2.6</v>
      </c>
      <c r="E157" s="13">
        <v>1154600000</v>
      </c>
      <c r="F157" s="4" t="s">
        <v>22</v>
      </c>
      <c r="G157" s="14">
        <f t="shared" si="8"/>
        <v>0.723809523809524</v>
      </c>
      <c r="H157" s="14">
        <f t="shared" si="9"/>
        <v>2.47619047619048</v>
      </c>
      <c r="I157" s="17">
        <f t="shared" si="10"/>
        <v>3.42105263157895</v>
      </c>
      <c r="J157" s="4">
        <v>5.93</v>
      </c>
      <c r="K157" s="14">
        <v>3.33429979704262</v>
      </c>
      <c r="P157" s="6"/>
      <c r="Q157" s="4">
        <v>1.01</v>
      </c>
      <c r="R157" s="18">
        <f t="shared" si="11"/>
        <v>0.0396039603960396</v>
      </c>
    </row>
    <row r="158" s="4" customFormat="1" spans="1:18">
      <c r="A158" s="6">
        <v>388</v>
      </c>
      <c r="B158" s="6">
        <v>168.8</v>
      </c>
      <c r="C158" s="6">
        <v>151.3</v>
      </c>
      <c r="D158" s="6">
        <v>311.4</v>
      </c>
      <c r="E158" s="15">
        <v>200737883582.5</v>
      </c>
      <c r="F158" s="6" t="s">
        <v>42</v>
      </c>
      <c r="G158" s="16">
        <f t="shared" si="8"/>
        <v>0.10367298578199</v>
      </c>
      <c r="H158" s="16">
        <f t="shared" si="9"/>
        <v>1.84478672985782</v>
      </c>
      <c r="I158" s="16">
        <f t="shared" si="10"/>
        <v>17.7942857142857</v>
      </c>
      <c r="J158" s="6">
        <v>7.06</v>
      </c>
      <c r="K158" s="6">
        <v>14.2031364903459</v>
      </c>
      <c r="L158" s="6">
        <v>38.865</v>
      </c>
      <c r="M158" s="6">
        <v>36.612</v>
      </c>
      <c r="N158" s="6"/>
      <c r="O158" s="6"/>
      <c r="P158" s="6"/>
      <c r="Q158" s="6">
        <v>162.5</v>
      </c>
      <c r="R158" s="19">
        <f t="shared" si="11"/>
        <v>0.0387692307692309</v>
      </c>
    </row>
    <row r="159" s="4" customFormat="1" spans="1:18">
      <c r="A159" s="4">
        <v>82</v>
      </c>
      <c r="B159" s="4">
        <v>0.405</v>
      </c>
      <c r="C159" s="4">
        <v>0.39</v>
      </c>
      <c r="D159" s="4">
        <v>1.11</v>
      </c>
      <c r="E159" s="13">
        <v>1302680478.49</v>
      </c>
      <c r="F159" s="4" t="s">
        <v>781</v>
      </c>
      <c r="G159" s="14">
        <f t="shared" si="8"/>
        <v>0.0370370370370371</v>
      </c>
      <c r="H159" s="14">
        <f t="shared" si="9"/>
        <v>2.74074074074074</v>
      </c>
      <c r="I159" s="17">
        <f t="shared" si="10"/>
        <v>73.9999999999999</v>
      </c>
      <c r="J159" s="4">
        <v>0.41</v>
      </c>
      <c r="K159" s="4">
        <v>0.638126009693053</v>
      </c>
      <c r="Q159" s="4">
        <v>0.39</v>
      </c>
      <c r="R159" s="18">
        <f t="shared" si="11"/>
        <v>0.0384615384615385</v>
      </c>
    </row>
    <row r="160" s="4" customFormat="1" spans="1:18">
      <c r="A160" s="6">
        <v>1049</v>
      </c>
      <c r="B160" s="6">
        <v>0.415</v>
      </c>
      <c r="C160" s="6">
        <v>0.4</v>
      </c>
      <c r="D160" s="6">
        <v>1.99</v>
      </c>
      <c r="E160" s="15">
        <v>344956995.96</v>
      </c>
      <c r="F160" s="6" t="s">
        <v>440</v>
      </c>
      <c r="G160" s="16">
        <f t="shared" si="8"/>
        <v>0.0361445783132529</v>
      </c>
      <c r="H160" s="16">
        <f t="shared" si="9"/>
        <v>4.79518072289157</v>
      </c>
      <c r="I160" s="16">
        <f t="shared" si="10"/>
        <v>132.666666666667</v>
      </c>
      <c r="J160" s="6">
        <v>0.71</v>
      </c>
      <c r="K160" s="6">
        <v>0.128690151327214</v>
      </c>
      <c r="L160" s="6">
        <v>142.4265</v>
      </c>
      <c r="M160" s="6">
        <v>117.647</v>
      </c>
      <c r="N160" s="6"/>
      <c r="O160" s="6"/>
      <c r="P160" s="6"/>
      <c r="Q160" s="6">
        <v>0.4</v>
      </c>
      <c r="R160" s="19">
        <f t="shared" si="11"/>
        <v>0.0374999999999999</v>
      </c>
    </row>
    <row r="161" s="4" customFormat="1" spans="1:18">
      <c r="A161" s="4">
        <v>978</v>
      </c>
      <c r="B161" s="4">
        <v>1.11</v>
      </c>
      <c r="C161" s="4">
        <v>0.91</v>
      </c>
      <c r="D161" s="4">
        <v>2.76</v>
      </c>
      <c r="E161" s="13">
        <v>5493888803.2</v>
      </c>
      <c r="F161" s="4" t="s">
        <v>532</v>
      </c>
      <c r="G161" s="14">
        <f t="shared" si="8"/>
        <v>0.18018018018018</v>
      </c>
      <c r="H161" s="14">
        <f t="shared" si="9"/>
        <v>2.48648648648649</v>
      </c>
      <c r="I161" s="17">
        <f t="shared" si="10"/>
        <v>13.8</v>
      </c>
      <c r="J161" s="4">
        <v>0.85</v>
      </c>
      <c r="K161" s="4">
        <v>1.50716127680674</v>
      </c>
      <c r="L161" s="4">
        <v>11.5549</v>
      </c>
      <c r="M161" s="4">
        <v>11.042</v>
      </c>
      <c r="Q161" s="4">
        <v>1.07</v>
      </c>
      <c r="R161" s="18">
        <f t="shared" si="11"/>
        <v>0.0373831775700935</v>
      </c>
    </row>
    <row r="162" s="4" customFormat="1" spans="1:18">
      <c r="A162" s="4">
        <v>715</v>
      </c>
      <c r="B162" s="4">
        <v>0.86</v>
      </c>
      <c r="C162" s="4">
        <v>0.59</v>
      </c>
      <c r="D162" s="4">
        <v>1.76</v>
      </c>
      <c r="E162" s="13">
        <v>9147503400.95</v>
      </c>
      <c r="F162" s="4" t="s">
        <v>96</v>
      </c>
      <c r="G162" s="14">
        <f t="shared" si="8"/>
        <v>0.313953488372093</v>
      </c>
      <c r="H162" s="14">
        <f t="shared" si="9"/>
        <v>2.04651162790698</v>
      </c>
      <c r="I162" s="17">
        <f t="shared" si="10"/>
        <v>6.51851851851852</v>
      </c>
      <c r="J162" s="4">
        <v>1.43</v>
      </c>
      <c r="K162" s="4">
        <v>28.9115646258503</v>
      </c>
      <c r="L162" s="4">
        <v>101.1662</v>
      </c>
      <c r="M162" s="4">
        <v>84.694</v>
      </c>
      <c r="Q162" s="4">
        <v>0.83</v>
      </c>
      <c r="R162" s="18">
        <f t="shared" si="11"/>
        <v>0.036144578313253</v>
      </c>
    </row>
    <row r="163" s="4" customFormat="1" spans="1:18">
      <c r="A163" s="4">
        <v>8101</v>
      </c>
      <c r="B163" s="4">
        <v>0.058</v>
      </c>
      <c r="C163" s="4">
        <v>0.055</v>
      </c>
      <c r="D163" s="4">
        <v>0.56</v>
      </c>
      <c r="E163" s="13">
        <v>138816000</v>
      </c>
      <c r="F163" s="4" t="s">
        <v>277</v>
      </c>
      <c r="G163" s="14">
        <f t="shared" si="8"/>
        <v>0.0517241379310345</v>
      </c>
      <c r="H163" s="14">
        <f t="shared" si="9"/>
        <v>9.6551724137931</v>
      </c>
      <c r="I163" s="14">
        <f t="shared" si="10"/>
        <v>186.666666666667</v>
      </c>
      <c r="J163" s="4">
        <v>0.53</v>
      </c>
      <c r="K163" s="14">
        <v>1.69491525423728</v>
      </c>
      <c r="Q163" s="4">
        <v>0.056</v>
      </c>
      <c r="R163" s="18">
        <f t="shared" si="11"/>
        <v>0.0357142857142858</v>
      </c>
    </row>
    <row r="164" s="4" customFormat="1" spans="1:18">
      <c r="A164" s="4">
        <v>1260</v>
      </c>
      <c r="B164" s="4">
        <v>1.76</v>
      </c>
      <c r="C164" s="4">
        <v>1.17</v>
      </c>
      <c r="D164" s="4">
        <v>3.33</v>
      </c>
      <c r="E164" s="13">
        <v>2132808270</v>
      </c>
      <c r="F164" s="4" t="s">
        <v>10</v>
      </c>
      <c r="G164" s="14">
        <f t="shared" si="8"/>
        <v>0.335227272727273</v>
      </c>
      <c r="H164" s="14">
        <f t="shared" si="9"/>
        <v>1.89204545454545</v>
      </c>
      <c r="I164" s="17">
        <f t="shared" si="10"/>
        <v>5.64406779661017</v>
      </c>
      <c r="J164" s="4">
        <v>1.86</v>
      </c>
      <c r="K164" s="4">
        <v>3.38566294685076</v>
      </c>
      <c r="L164" s="4">
        <v>10.7199</v>
      </c>
      <c r="M164" s="4">
        <v>8.543</v>
      </c>
      <c r="Q164" s="4">
        <v>1.7</v>
      </c>
      <c r="R164" s="18">
        <f t="shared" si="11"/>
        <v>0.0352941176470589</v>
      </c>
    </row>
    <row r="165" s="4" customFormat="1" spans="1:18">
      <c r="A165" s="4">
        <v>8057</v>
      </c>
      <c r="B165" s="4">
        <v>10.36</v>
      </c>
      <c r="C165" s="4">
        <v>5.8</v>
      </c>
      <c r="D165" s="4">
        <v>10.6</v>
      </c>
      <c r="E165" s="13">
        <v>4072000000</v>
      </c>
      <c r="F165" s="4" t="s">
        <v>294</v>
      </c>
      <c r="G165" s="14">
        <f t="shared" si="8"/>
        <v>0.44015444015444</v>
      </c>
      <c r="H165" s="14">
        <f t="shared" si="9"/>
        <v>1.02316602316602</v>
      </c>
      <c r="I165" s="17">
        <f t="shared" si="10"/>
        <v>2.32456140350877</v>
      </c>
      <c r="J165" s="4">
        <v>38.13</v>
      </c>
      <c r="K165" s="14">
        <v>33.0626826891848</v>
      </c>
      <c r="L165" s="4">
        <v>287.5909</v>
      </c>
      <c r="Q165" s="4">
        <v>10.02</v>
      </c>
      <c r="R165" s="18">
        <f t="shared" si="11"/>
        <v>0.0339321357285429</v>
      </c>
    </row>
    <row r="166" s="4" customFormat="1" spans="1:18">
      <c r="A166" s="4">
        <v>1398</v>
      </c>
      <c r="B166" s="4">
        <v>3.99</v>
      </c>
      <c r="C166" s="4">
        <v>3.82</v>
      </c>
      <c r="D166" s="4">
        <v>7.1</v>
      </c>
      <c r="E166" s="13">
        <v>340232654636</v>
      </c>
      <c r="F166" s="4" t="s">
        <v>208</v>
      </c>
      <c r="G166" s="14">
        <f t="shared" si="8"/>
        <v>0.0426065162907269</v>
      </c>
      <c r="H166" s="14">
        <f t="shared" si="9"/>
        <v>1.77944862155388</v>
      </c>
      <c r="I166" s="17">
        <f t="shared" si="10"/>
        <v>41.7647058823529</v>
      </c>
      <c r="J166" s="4">
        <v>0.68</v>
      </c>
      <c r="K166" s="4">
        <v>1.70591905912784</v>
      </c>
      <c r="L166" s="4">
        <v>4.0511</v>
      </c>
      <c r="M166" s="4">
        <v>3.934</v>
      </c>
      <c r="Q166" s="4">
        <v>3.86</v>
      </c>
      <c r="R166" s="18">
        <f t="shared" si="11"/>
        <v>0.0336787564766841</v>
      </c>
    </row>
    <row r="167" s="4" customFormat="1" spans="1:18">
      <c r="A167" s="4">
        <v>1508</v>
      </c>
      <c r="B167" s="4">
        <v>1.86</v>
      </c>
      <c r="C167" s="4">
        <v>1.79</v>
      </c>
      <c r="D167" s="4">
        <v>2.81</v>
      </c>
      <c r="E167" s="13">
        <v>12624097563</v>
      </c>
      <c r="F167" s="4" t="s">
        <v>286</v>
      </c>
      <c r="G167" s="14">
        <f t="shared" si="8"/>
        <v>0.0376344086021506</v>
      </c>
      <c r="H167" s="14">
        <f t="shared" si="9"/>
        <v>1.51075268817204</v>
      </c>
      <c r="I167" s="17">
        <f t="shared" si="10"/>
        <v>40.1428571428571</v>
      </c>
      <c r="J167" s="4">
        <v>0.93</v>
      </c>
      <c r="K167" s="4">
        <v>11.881</v>
      </c>
      <c r="Q167" s="4">
        <v>1.8</v>
      </c>
      <c r="R167" s="18">
        <f t="shared" si="11"/>
        <v>0.0333333333333334</v>
      </c>
    </row>
    <row r="168" s="4" customFormat="1" spans="1:18">
      <c r="A168" s="4">
        <v>570</v>
      </c>
      <c r="B168" s="4">
        <v>4.13</v>
      </c>
      <c r="C168" s="4">
        <v>3.15</v>
      </c>
      <c r="D168" s="4">
        <v>7.03</v>
      </c>
      <c r="E168" s="13">
        <v>18248852854.1</v>
      </c>
      <c r="F168" s="4" t="s">
        <v>549</v>
      </c>
      <c r="G168" s="14">
        <f t="shared" si="8"/>
        <v>0.23728813559322</v>
      </c>
      <c r="H168" s="14">
        <f t="shared" si="9"/>
        <v>1.70217917675545</v>
      </c>
      <c r="I168" s="17">
        <f t="shared" si="10"/>
        <v>7.1734693877551</v>
      </c>
      <c r="J168" s="4">
        <v>1.4</v>
      </c>
      <c r="K168" s="4">
        <v>4.74975069060441</v>
      </c>
      <c r="L168" s="4">
        <v>35.3299</v>
      </c>
      <c r="M168" s="4">
        <v>19.627</v>
      </c>
      <c r="Q168" s="4">
        <v>4</v>
      </c>
      <c r="R168" s="18">
        <f t="shared" si="11"/>
        <v>0.0325</v>
      </c>
    </row>
    <row r="169" s="4" customFormat="1" spans="1:18">
      <c r="A169" s="4">
        <v>988</v>
      </c>
      <c r="B169" s="4">
        <v>0.64</v>
      </c>
      <c r="C169" s="4">
        <v>0.41</v>
      </c>
      <c r="D169" s="4">
        <v>2.2</v>
      </c>
      <c r="E169" s="13">
        <v>2554702316.8</v>
      </c>
      <c r="F169" s="4" t="s">
        <v>353</v>
      </c>
      <c r="G169" s="14">
        <f t="shared" si="8"/>
        <v>0.359375</v>
      </c>
      <c r="H169" s="14">
        <f t="shared" si="9"/>
        <v>3.4375</v>
      </c>
      <c r="I169" s="14">
        <f t="shared" si="10"/>
        <v>9.56521739130435</v>
      </c>
      <c r="J169" s="4">
        <v>2.17</v>
      </c>
      <c r="K169" s="4">
        <v>1.44046815214944</v>
      </c>
      <c r="Q169" s="4">
        <v>0.62</v>
      </c>
      <c r="R169" s="18">
        <f t="shared" si="11"/>
        <v>0.032258064516129</v>
      </c>
    </row>
    <row r="170" s="4" customFormat="1" spans="1:18">
      <c r="A170" s="4">
        <v>585</v>
      </c>
      <c r="B170" s="4">
        <v>0.099</v>
      </c>
      <c r="C170" s="4">
        <v>0.087</v>
      </c>
      <c r="D170" s="4">
        <v>0.47</v>
      </c>
      <c r="E170" s="13">
        <v>947037208.4</v>
      </c>
      <c r="F170" s="4" t="s">
        <v>280</v>
      </c>
      <c r="G170" s="14">
        <f t="shared" si="8"/>
        <v>0.121212121212121</v>
      </c>
      <c r="H170" s="14">
        <f t="shared" si="9"/>
        <v>4.74747474747475</v>
      </c>
      <c r="I170" s="14">
        <f t="shared" si="10"/>
        <v>39.1666666666666</v>
      </c>
      <c r="J170" s="4">
        <v>1.03</v>
      </c>
      <c r="K170" s="4">
        <v>86.3636363636363</v>
      </c>
      <c r="L170" s="4">
        <v>274.1063</v>
      </c>
      <c r="M170" s="4">
        <v>320</v>
      </c>
      <c r="Q170" s="4">
        <v>0.096</v>
      </c>
      <c r="R170" s="18">
        <f t="shared" si="11"/>
        <v>0.03125</v>
      </c>
    </row>
    <row r="171" s="4" customFormat="1" spans="1:18">
      <c r="A171" s="6">
        <v>268</v>
      </c>
      <c r="B171" s="6">
        <v>2.67</v>
      </c>
      <c r="C171" s="6">
        <v>2.18</v>
      </c>
      <c r="D171" s="6">
        <v>6.41</v>
      </c>
      <c r="E171" s="15">
        <v>7770654257.38</v>
      </c>
      <c r="F171" s="6" t="s">
        <v>695</v>
      </c>
      <c r="G171" s="16">
        <f t="shared" si="8"/>
        <v>0.183520599250936</v>
      </c>
      <c r="H171" s="16">
        <f t="shared" si="9"/>
        <v>2.40074906367041</v>
      </c>
      <c r="I171" s="16">
        <f t="shared" si="10"/>
        <v>13.0816326530612</v>
      </c>
      <c r="J171" s="6">
        <v>2.06</v>
      </c>
      <c r="K171" s="6">
        <v>3.52378200475005</v>
      </c>
      <c r="L171" s="6">
        <v>31.5382</v>
      </c>
      <c r="M171" s="6">
        <v>26.923</v>
      </c>
      <c r="N171" s="6"/>
      <c r="O171" s="6"/>
      <c r="P171" s="6"/>
      <c r="Q171" s="6">
        <v>2.59</v>
      </c>
      <c r="R171" s="19">
        <f t="shared" si="11"/>
        <v>0.0308880308880308</v>
      </c>
    </row>
    <row r="172" s="4" customFormat="1" spans="1:18">
      <c r="A172" s="4">
        <v>992</v>
      </c>
      <c r="B172" s="4">
        <v>6.55</v>
      </c>
      <c r="C172" s="4">
        <v>6.02</v>
      </c>
      <c r="D172" s="4">
        <v>14.3</v>
      </c>
      <c r="E172" s="13">
        <v>73206034631.16</v>
      </c>
      <c r="F172" s="4" t="s">
        <v>108</v>
      </c>
      <c r="G172" s="14">
        <f t="shared" si="8"/>
        <v>0.0809160305343511</v>
      </c>
      <c r="H172" s="14">
        <f t="shared" si="9"/>
        <v>2.18320610687023</v>
      </c>
      <c r="I172" s="17">
        <f t="shared" si="10"/>
        <v>26.9811320754717</v>
      </c>
      <c r="J172" s="4">
        <v>3.42</v>
      </c>
      <c r="K172" s="4">
        <v>0.206388975884747</v>
      </c>
      <c r="L172" s="4">
        <v>10.994</v>
      </c>
      <c r="M172" s="4">
        <v>10.56</v>
      </c>
      <c r="Q172" s="4">
        <v>6.36</v>
      </c>
      <c r="R172" s="18">
        <f t="shared" si="11"/>
        <v>0.0298742138364778</v>
      </c>
    </row>
    <row r="173" s="4" customFormat="1" spans="1:18">
      <c r="A173" s="4">
        <v>2800</v>
      </c>
      <c r="B173" s="4">
        <v>19.32</v>
      </c>
      <c r="C173" s="4">
        <v>18.74</v>
      </c>
      <c r="D173" s="4">
        <v>29.05</v>
      </c>
      <c r="E173" s="13">
        <v>47237255100</v>
      </c>
      <c r="F173" s="4" t="s">
        <v>285</v>
      </c>
      <c r="G173" s="14">
        <f t="shared" si="8"/>
        <v>0.0300207039337476</v>
      </c>
      <c r="H173" s="14">
        <f t="shared" si="9"/>
        <v>1.5036231884058</v>
      </c>
      <c r="I173" s="17">
        <f t="shared" si="10"/>
        <v>50.0862068965515</v>
      </c>
      <c r="J173" s="4">
        <v>0</v>
      </c>
      <c r="Q173" s="4">
        <v>18.76</v>
      </c>
      <c r="R173" s="18">
        <f t="shared" si="11"/>
        <v>0.0298507462686566</v>
      </c>
    </row>
    <row r="174" s="6" customFormat="1" spans="1:18">
      <c r="A174" s="4">
        <v>906</v>
      </c>
      <c r="B174" s="4">
        <v>3.85</v>
      </c>
      <c r="C174" s="4">
        <v>3.5</v>
      </c>
      <c r="D174" s="4">
        <v>6.93</v>
      </c>
      <c r="E174" s="13">
        <v>3880508400</v>
      </c>
      <c r="F174" s="4" t="s">
        <v>537</v>
      </c>
      <c r="G174" s="14">
        <f t="shared" si="8"/>
        <v>0.0909090909090909</v>
      </c>
      <c r="H174" s="14">
        <f t="shared" si="9"/>
        <v>1.8</v>
      </c>
      <c r="I174" s="17">
        <f t="shared" si="10"/>
        <v>19.8</v>
      </c>
      <c r="J174" s="4">
        <v>0.74</v>
      </c>
      <c r="K174" s="4">
        <v>0.580514964766965</v>
      </c>
      <c r="L174" s="4">
        <v>8.9732</v>
      </c>
      <c r="M174" s="4">
        <v>8.627</v>
      </c>
      <c r="N174" s="4"/>
      <c r="O174" s="4"/>
      <c r="P174" s="4"/>
      <c r="Q174" s="4">
        <v>3.74</v>
      </c>
      <c r="R174" s="18">
        <f t="shared" si="11"/>
        <v>0.0294117647058822</v>
      </c>
    </row>
    <row r="175" s="4" customFormat="1" spans="1:18">
      <c r="A175" s="4">
        <v>1055</v>
      </c>
      <c r="B175" s="4">
        <v>4.61</v>
      </c>
      <c r="C175" s="4">
        <v>2.38</v>
      </c>
      <c r="D175" s="4">
        <v>10.36</v>
      </c>
      <c r="E175" s="13">
        <v>12577126500</v>
      </c>
      <c r="F175" s="4" t="s">
        <v>529</v>
      </c>
      <c r="G175" s="14">
        <f t="shared" si="8"/>
        <v>0.483731019522777</v>
      </c>
      <c r="H175" s="14">
        <f t="shared" si="9"/>
        <v>2.2472885032538</v>
      </c>
      <c r="I175" s="17">
        <f t="shared" si="10"/>
        <v>4.6457399103139</v>
      </c>
      <c r="J175" s="4">
        <v>0.9</v>
      </c>
      <c r="K175" s="4">
        <v>0.323290917857069</v>
      </c>
      <c r="L175" s="4">
        <v>19.8829</v>
      </c>
      <c r="M175" s="4">
        <v>19.885</v>
      </c>
      <c r="Q175" s="4">
        <v>4.5</v>
      </c>
      <c r="R175" s="18">
        <f t="shared" si="11"/>
        <v>0.0244444444444445</v>
      </c>
    </row>
    <row r="176" s="6" customFormat="1" spans="1:18">
      <c r="A176" s="4">
        <v>336</v>
      </c>
      <c r="B176" s="4">
        <v>3.02</v>
      </c>
      <c r="C176" s="4">
        <v>2.26</v>
      </c>
      <c r="D176" s="4">
        <v>9.31</v>
      </c>
      <c r="E176" s="13">
        <v>8978241507.29</v>
      </c>
      <c r="F176" s="4" t="s">
        <v>311</v>
      </c>
      <c r="G176" s="14">
        <f t="shared" si="8"/>
        <v>0.251655629139073</v>
      </c>
      <c r="H176" s="14">
        <f t="shared" si="9"/>
        <v>3.08278145695364</v>
      </c>
      <c r="I176" s="14">
        <f t="shared" si="10"/>
        <v>12.25</v>
      </c>
      <c r="J176" s="4">
        <v>0.95</v>
      </c>
      <c r="K176" s="4">
        <v>2.50889834186995</v>
      </c>
      <c r="L176" s="4">
        <v>4.5194</v>
      </c>
      <c r="M176" s="4">
        <v>4.608</v>
      </c>
      <c r="N176" s="4"/>
      <c r="O176" s="4"/>
      <c r="P176" s="4"/>
      <c r="Q176" s="4">
        <v>2.95</v>
      </c>
      <c r="R176" s="18">
        <f t="shared" si="11"/>
        <v>0.0237288135593219</v>
      </c>
    </row>
    <row r="177" s="4" customFormat="1" spans="1:18">
      <c r="A177" s="6">
        <v>1669</v>
      </c>
      <c r="B177" s="6">
        <v>1.35</v>
      </c>
      <c r="C177" s="6">
        <v>1.2</v>
      </c>
      <c r="D177" s="6">
        <v>6.19</v>
      </c>
      <c r="E177" s="15">
        <v>512000000</v>
      </c>
      <c r="F177" s="6" t="s">
        <v>123</v>
      </c>
      <c r="G177" s="16">
        <f t="shared" si="8"/>
        <v>0.111111111111111</v>
      </c>
      <c r="H177" s="16">
        <f t="shared" si="9"/>
        <v>4.58518518518519</v>
      </c>
      <c r="I177" s="16">
        <f t="shared" si="10"/>
        <v>41.2666666666667</v>
      </c>
      <c r="J177" s="6">
        <v>0.87</v>
      </c>
      <c r="K177" s="6">
        <v>4.38656614119259</v>
      </c>
      <c r="L177" s="6">
        <v>14.4014</v>
      </c>
      <c r="M177" s="6">
        <v>11.34</v>
      </c>
      <c r="N177" s="6"/>
      <c r="O177" s="6"/>
      <c r="P177" s="6"/>
      <c r="Q177" s="6">
        <v>1.32</v>
      </c>
      <c r="R177" s="19">
        <f t="shared" si="11"/>
        <v>0.0227272727272727</v>
      </c>
    </row>
    <row r="178" s="4" customFormat="1" spans="1:18">
      <c r="A178" s="6">
        <v>1322</v>
      </c>
      <c r="B178" s="6">
        <v>2.27</v>
      </c>
      <c r="C178" s="6">
        <v>1.7</v>
      </c>
      <c r="D178" s="6">
        <v>7.25</v>
      </c>
      <c r="E178" s="15">
        <v>1668063521.04</v>
      </c>
      <c r="F178" s="6" t="s">
        <v>653</v>
      </c>
      <c r="G178" s="16">
        <f t="shared" si="8"/>
        <v>0.251101321585903</v>
      </c>
      <c r="H178" s="16">
        <f t="shared" si="9"/>
        <v>3.19383259911894</v>
      </c>
      <c r="I178" s="16">
        <f t="shared" si="10"/>
        <v>12.719298245614</v>
      </c>
      <c r="J178" s="6">
        <v>1.19</v>
      </c>
      <c r="K178" s="6">
        <v>0.627298291152931</v>
      </c>
      <c r="L178" s="6">
        <v>5.2433</v>
      </c>
      <c r="M178" s="6">
        <v>4.495</v>
      </c>
      <c r="N178" s="6"/>
      <c r="O178" s="6"/>
      <c r="Q178" s="6">
        <v>2.22</v>
      </c>
      <c r="R178" s="18">
        <f t="shared" si="11"/>
        <v>0.0225225225225225</v>
      </c>
    </row>
    <row r="179" s="4" customFormat="1" spans="1:18">
      <c r="A179" s="4">
        <v>2828</v>
      </c>
      <c r="B179" s="4">
        <v>80.85</v>
      </c>
      <c r="C179" s="4">
        <v>78.85</v>
      </c>
      <c r="D179" s="4">
        <v>151.2</v>
      </c>
      <c r="E179" s="13">
        <v>13675672274.25</v>
      </c>
      <c r="F179" s="4" t="s">
        <v>59</v>
      </c>
      <c r="G179" s="14">
        <f t="shared" si="8"/>
        <v>0.0247371675943104</v>
      </c>
      <c r="H179" s="14">
        <f t="shared" si="9"/>
        <v>1.87012987012987</v>
      </c>
      <c r="I179" s="17">
        <f t="shared" si="10"/>
        <v>75.6</v>
      </c>
      <c r="J179" s="4">
        <v>0</v>
      </c>
      <c r="Q179" s="4">
        <v>79.1</v>
      </c>
      <c r="R179" s="18">
        <f t="shared" si="11"/>
        <v>0.0221238938053097</v>
      </c>
    </row>
    <row r="180" s="4" customFormat="1" spans="1:18">
      <c r="A180" s="6">
        <v>6136</v>
      </c>
      <c r="B180" s="6">
        <v>1.43</v>
      </c>
      <c r="C180" s="6">
        <v>1.38</v>
      </c>
      <c r="D180" s="6">
        <v>5.11</v>
      </c>
      <c r="E180" s="15">
        <v>2997896750</v>
      </c>
      <c r="F180" s="6" t="s">
        <v>492</v>
      </c>
      <c r="G180" s="16">
        <f t="shared" si="8"/>
        <v>0.034965034965035</v>
      </c>
      <c r="H180" s="16">
        <f t="shared" si="9"/>
        <v>3.57342657342657</v>
      </c>
      <c r="I180" s="16">
        <f t="shared" si="10"/>
        <v>102.2</v>
      </c>
      <c r="J180" s="6">
        <v>0.79</v>
      </c>
      <c r="K180" s="16">
        <v>1.49904928226864</v>
      </c>
      <c r="L180" s="6">
        <v>8.1331</v>
      </c>
      <c r="M180" s="6">
        <v>6.744</v>
      </c>
      <c r="N180" s="6"/>
      <c r="O180" s="6"/>
      <c r="P180" s="6"/>
      <c r="Q180" s="6">
        <v>1.4</v>
      </c>
      <c r="R180" s="19">
        <f t="shared" si="11"/>
        <v>0.0214285714285714</v>
      </c>
    </row>
    <row r="181" s="4" customFormat="1" spans="1:18">
      <c r="A181" s="6">
        <v>2389</v>
      </c>
      <c r="B181" s="6">
        <v>0.5</v>
      </c>
      <c r="C181" s="6">
        <v>0.48</v>
      </c>
      <c r="D181" s="6">
        <v>1.43</v>
      </c>
      <c r="E181" s="15">
        <v>3115221111</v>
      </c>
      <c r="F181" s="6" t="s">
        <v>651</v>
      </c>
      <c r="G181" s="16">
        <f t="shared" si="8"/>
        <v>0.04</v>
      </c>
      <c r="H181" s="16">
        <f t="shared" si="9"/>
        <v>2.86</v>
      </c>
      <c r="I181" s="16">
        <f t="shared" si="10"/>
        <v>71.4999999999999</v>
      </c>
      <c r="J181" s="6">
        <v>1.14</v>
      </c>
      <c r="K181" s="6">
        <v>12.607944732297</v>
      </c>
      <c r="L181" s="6"/>
      <c r="M181" s="6"/>
      <c r="N181" s="6"/>
      <c r="O181" s="6"/>
      <c r="P181" s="6"/>
      <c r="Q181" s="6">
        <v>0.49</v>
      </c>
      <c r="R181" s="19">
        <f t="shared" si="11"/>
        <v>0.0204081632653061</v>
      </c>
    </row>
    <row r="182" s="4" customFormat="1" spans="1:18">
      <c r="A182" s="4">
        <v>974</v>
      </c>
      <c r="B182" s="4">
        <v>3</v>
      </c>
      <c r="C182" s="4">
        <v>2.78</v>
      </c>
      <c r="D182" s="4">
        <v>7.5</v>
      </c>
      <c r="E182" s="13">
        <v>871371000</v>
      </c>
      <c r="F182" s="4" t="s">
        <v>352</v>
      </c>
      <c r="G182" s="14">
        <f t="shared" si="8"/>
        <v>0.0733333333333334</v>
      </c>
      <c r="H182" s="14">
        <f t="shared" si="9"/>
        <v>2.5</v>
      </c>
      <c r="I182" s="17">
        <f t="shared" si="10"/>
        <v>34.0909090909091</v>
      </c>
      <c r="J182" s="4">
        <v>3.04</v>
      </c>
      <c r="K182" s="4">
        <v>22.5154</v>
      </c>
      <c r="Q182" s="4">
        <v>2.94</v>
      </c>
      <c r="R182" s="18">
        <f t="shared" si="11"/>
        <v>0.0204081632653061</v>
      </c>
    </row>
    <row r="183" s="6" customFormat="1" spans="1:18">
      <c r="A183" s="6">
        <v>2345</v>
      </c>
      <c r="B183" s="6">
        <v>1.03</v>
      </c>
      <c r="C183" s="6">
        <v>0.94</v>
      </c>
      <c r="D183" s="6">
        <v>2.56</v>
      </c>
      <c r="E183" s="15">
        <v>767307100</v>
      </c>
      <c r="F183" s="6" t="s">
        <v>425</v>
      </c>
      <c r="G183" s="16">
        <f t="shared" si="8"/>
        <v>0.0873786407766991</v>
      </c>
      <c r="H183" s="16">
        <f t="shared" si="9"/>
        <v>2.48543689320388</v>
      </c>
      <c r="I183" s="16">
        <f t="shared" si="10"/>
        <v>28.4444444444444</v>
      </c>
      <c r="J183" s="6">
        <v>0.37</v>
      </c>
      <c r="K183" s="6">
        <v>0.157901362445808</v>
      </c>
      <c r="L183" s="6">
        <v>14.4118</v>
      </c>
      <c r="M183" s="6">
        <v>14.408</v>
      </c>
      <c r="Q183" s="6">
        <v>1.01</v>
      </c>
      <c r="R183" s="19">
        <f t="shared" si="11"/>
        <v>0.0198019801980198</v>
      </c>
    </row>
    <row r="184" s="4" customFormat="1" spans="1:18">
      <c r="A184" s="6">
        <v>510</v>
      </c>
      <c r="B184" s="6">
        <v>0.265</v>
      </c>
      <c r="C184" s="6">
        <v>0.17</v>
      </c>
      <c r="D184" s="6">
        <v>1.13</v>
      </c>
      <c r="E184" s="15">
        <v>1116277088.76</v>
      </c>
      <c r="F184" s="6" t="s">
        <v>554</v>
      </c>
      <c r="G184" s="16">
        <f t="shared" si="8"/>
        <v>0.358490566037736</v>
      </c>
      <c r="H184" s="16">
        <f t="shared" si="9"/>
        <v>4.26415094339623</v>
      </c>
      <c r="I184" s="16">
        <f t="shared" si="10"/>
        <v>11.8947368421053</v>
      </c>
      <c r="J184" s="6">
        <v>1.78</v>
      </c>
      <c r="K184" s="6">
        <v>3.71389270976616</v>
      </c>
      <c r="L184" s="6">
        <v>34.163</v>
      </c>
      <c r="M184" s="6">
        <v>31.325</v>
      </c>
      <c r="N184" s="6"/>
      <c r="O184" s="6"/>
      <c r="Q184" s="6">
        <v>0.26</v>
      </c>
      <c r="R184" s="18">
        <f t="shared" si="11"/>
        <v>0.0192307692307692</v>
      </c>
    </row>
    <row r="185" s="4" customFormat="1" spans="1:18">
      <c r="A185" s="4">
        <v>1766</v>
      </c>
      <c r="B185" s="4">
        <v>7.03</v>
      </c>
      <c r="C185" s="4">
        <v>6.56</v>
      </c>
      <c r="D185" s="4">
        <v>20.65</v>
      </c>
      <c r="E185" s="13">
        <v>31646518129.6</v>
      </c>
      <c r="F185" s="4" t="s">
        <v>509</v>
      </c>
      <c r="G185" s="14">
        <f t="shared" si="8"/>
        <v>0.0668563300142249</v>
      </c>
      <c r="H185" s="14">
        <f t="shared" si="9"/>
        <v>2.93741109530583</v>
      </c>
      <c r="I185" s="17">
        <f t="shared" si="10"/>
        <v>43.9361702127659</v>
      </c>
      <c r="J185" s="4">
        <v>1.72</v>
      </c>
      <c r="K185" s="4">
        <v>0.851966726237105</v>
      </c>
      <c r="L185" s="4">
        <v>28.3324</v>
      </c>
      <c r="M185" s="4">
        <v>14.33</v>
      </c>
      <c r="Q185" s="4">
        <v>6.9</v>
      </c>
      <c r="R185" s="18">
        <f t="shared" si="11"/>
        <v>0.018840579710145</v>
      </c>
    </row>
    <row r="186" s="4" customFormat="1" spans="1:18">
      <c r="A186" s="6">
        <v>3993</v>
      </c>
      <c r="B186" s="6">
        <v>1.11</v>
      </c>
      <c r="C186" s="6">
        <v>1.08</v>
      </c>
      <c r="D186" s="6">
        <v>9.3</v>
      </c>
      <c r="E186" s="15">
        <v>4562822880</v>
      </c>
      <c r="F186" s="6" t="s">
        <v>480</v>
      </c>
      <c r="G186" s="16">
        <f t="shared" si="8"/>
        <v>0.0270270270270271</v>
      </c>
      <c r="H186" s="16">
        <f t="shared" si="9"/>
        <v>8.37837837837838</v>
      </c>
      <c r="I186" s="16">
        <f t="shared" si="10"/>
        <v>309.999999999999</v>
      </c>
      <c r="J186" s="6">
        <v>0.89</v>
      </c>
      <c r="K186" s="16">
        <v>1.18984821096115</v>
      </c>
      <c r="L186" s="6">
        <v>8.2497</v>
      </c>
      <c r="M186" s="6">
        <v>7.276</v>
      </c>
      <c r="N186" s="6"/>
      <c r="O186" s="6"/>
      <c r="P186" s="6"/>
      <c r="Q186" s="6">
        <v>1.09</v>
      </c>
      <c r="R186" s="19">
        <f t="shared" si="11"/>
        <v>0.0183486238532111</v>
      </c>
    </row>
    <row r="187" s="4" customFormat="1" spans="1:18">
      <c r="A187" s="4">
        <v>3380</v>
      </c>
      <c r="B187" s="4">
        <v>2.22</v>
      </c>
      <c r="C187" s="4">
        <v>2.11</v>
      </c>
      <c r="D187" s="4">
        <v>3.7</v>
      </c>
      <c r="E187" s="13">
        <v>12560072040</v>
      </c>
      <c r="F187" s="4" t="s">
        <v>241</v>
      </c>
      <c r="G187" s="14">
        <f t="shared" si="8"/>
        <v>0.0495495495495497</v>
      </c>
      <c r="H187" s="14">
        <f t="shared" si="9"/>
        <v>1.66666666666667</v>
      </c>
      <c r="I187" s="17">
        <f t="shared" si="10"/>
        <v>33.6363636363635</v>
      </c>
      <c r="J187" s="4">
        <v>0.79</v>
      </c>
      <c r="K187" s="14">
        <v>0.868048387168017</v>
      </c>
      <c r="L187" s="4">
        <v>4.2787</v>
      </c>
      <c r="M187" s="4">
        <v>3.713</v>
      </c>
      <c r="Q187" s="4">
        <v>2.18</v>
      </c>
      <c r="R187" s="18">
        <f t="shared" si="11"/>
        <v>0.0183486238532111</v>
      </c>
    </row>
    <row r="188" s="4" customFormat="1" spans="1:18">
      <c r="A188" s="4">
        <v>686</v>
      </c>
      <c r="B188" s="4">
        <v>0.57</v>
      </c>
      <c r="C188" s="4">
        <v>0.55</v>
      </c>
      <c r="D188" s="4">
        <v>1.61</v>
      </c>
      <c r="E188" s="13">
        <v>2803247131.75</v>
      </c>
      <c r="F188" s="4" t="s">
        <v>308</v>
      </c>
      <c r="G188" s="14">
        <f t="shared" si="8"/>
        <v>0.0350877192982455</v>
      </c>
      <c r="H188" s="14">
        <f t="shared" si="9"/>
        <v>2.82456140350877</v>
      </c>
      <c r="I188" s="17">
        <f t="shared" si="10"/>
        <v>80.5000000000003</v>
      </c>
      <c r="J188" s="4">
        <v>1.11</v>
      </c>
      <c r="K188" s="4">
        <v>2.78257365613954</v>
      </c>
      <c r="L188" s="4">
        <v>7.6463</v>
      </c>
      <c r="M188" s="4">
        <v>6.243</v>
      </c>
      <c r="Q188" s="4">
        <v>0.56</v>
      </c>
      <c r="R188" s="18">
        <f t="shared" si="11"/>
        <v>0.0178571428571426</v>
      </c>
    </row>
    <row r="189" s="4" customFormat="1" spans="1:18">
      <c r="A189" s="4">
        <v>2388</v>
      </c>
      <c r="B189" s="4">
        <v>19.76</v>
      </c>
      <c r="C189" s="4">
        <v>19.4</v>
      </c>
      <c r="D189" s="4">
        <v>33.7</v>
      </c>
      <c r="E189" s="13">
        <v>213041522359.9</v>
      </c>
      <c r="F189" s="4" t="s">
        <v>491</v>
      </c>
      <c r="G189" s="14">
        <f t="shared" si="8"/>
        <v>0.0182186234817815</v>
      </c>
      <c r="H189" s="14">
        <f t="shared" si="9"/>
        <v>1.70546558704453</v>
      </c>
      <c r="I189" s="17">
        <f t="shared" si="10"/>
        <v>93.6111111111105</v>
      </c>
      <c r="J189" s="4">
        <v>1.15</v>
      </c>
      <c r="K189" s="4">
        <v>3.25983207415915</v>
      </c>
      <c r="L189" s="4">
        <v>8.6683</v>
      </c>
      <c r="M189" s="4">
        <v>8.354</v>
      </c>
      <c r="Q189" s="4">
        <v>19.42</v>
      </c>
      <c r="R189" s="18">
        <f t="shared" si="11"/>
        <v>0.0175077239958805</v>
      </c>
    </row>
    <row r="190" s="4" customFormat="1" spans="1:18">
      <c r="A190" s="4">
        <v>3988</v>
      </c>
      <c r="B190" s="4">
        <v>2.98</v>
      </c>
      <c r="C190" s="4">
        <v>2.92</v>
      </c>
      <c r="D190" s="4">
        <v>5.68</v>
      </c>
      <c r="E190" s="13">
        <v>252539274712.9</v>
      </c>
      <c r="F190" s="4" t="s">
        <v>139</v>
      </c>
      <c r="G190" s="14">
        <f t="shared" si="8"/>
        <v>0.0201342281879194</v>
      </c>
      <c r="H190" s="14">
        <f t="shared" si="9"/>
        <v>1.90604026845638</v>
      </c>
      <c r="I190" s="17">
        <f t="shared" si="10"/>
        <v>94.6666666666668</v>
      </c>
      <c r="J190" s="4">
        <v>0.58</v>
      </c>
      <c r="K190" s="14">
        <v>1.53665238273649</v>
      </c>
      <c r="L190" s="4">
        <v>4.0675</v>
      </c>
      <c r="M190" s="4">
        <v>3.869</v>
      </c>
      <c r="Q190" s="4">
        <v>2.93</v>
      </c>
      <c r="R190" s="18">
        <f t="shared" si="11"/>
        <v>0.0170648464163823</v>
      </c>
    </row>
    <row r="191" s="6" customFormat="1" spans="1:18">
      <c r="A191" s="4">
        <v>1058</v>
      </c>
      <c r="B191" s="4">
        <v>0.6</v>
      </c>
      <c r="C191" s="4">
        <v>0.42</v>
      </c>
      <c r="D191" s="4">
        <v>1.82</v>
      </c>
      <c r="E191" s="13">
        <v>322811400</v>
      </c>
      <c r="F191" s="4" t="s">
        <v>104</v>
      </c>
      <c r="G191" s="14">
        <f t="shared" si="8"/>
        <v>0.3</v>
      </c>
      <c r="H191" s="14">
        <f t="shared" si="9"/>
        <v>3.03333333333333</v>
      </c>
      <c r="I191" s="14">
        <f t="shared" si="10"/>
        <v>10.1111111111111</v>
      </c>
      <c r="J191" s="4">
        <v>0.95</v>
      </c>
      <c r="K191" s="4">
        <v>0.468018720748829</v>
      </c>
      <c r="L191" s="4">
        <v>161.5673</v>
      </c>
      <c r="M191" s="4">
        <v>159.459</v>
      </c>
      <c r="N191" s="4"/>
      <c r="O191" s="4"/>
      <c r="P191" s="4"/>
      <c r="Q191" s="4">
        <v>0.59</v>
      </c>
      <c r="R191" s="18">
        <f t="shared" si="11"/>
        <v>0.0169491525423728</v>
      </c>
    </row>
    <row r="192" s="4" customFormat="1" spans="1:18">
      <c r="A192" s="4">
        <v>902</v>
      </c>
      <c r="B192" s="4">
        <v>6.01</v>
      </c>
      <c r="C192" s="4">
        <v>5.9</v>
      </c>
      <c r="D192" s="4">
        <v>11.9</v>
      </c>
      <c r="E192" s="13">
        <v>28719342818.4</v>
      </c>
      <c r="F192" s="4" t="s">
        <v>433</v>
      </c>
      <c r="G192" s="14">
        <f t="shared" si="8"/>
        <v>0.0183028286189683</v>
      </c>
      <c r="H192" s="14">
        <f t="shared" si="9"/>
        <v>1.98003327787022</v>
      </c>
      <c r="I192" s="17">
        <f t="shared" si="10"/>
        <v>108.181818181819</v>
      </c>
      <c r="J192" s="4">
        <v>0.96</v>
      </c>
      <c r="K192" s="4">
        <v>0.536308453599128</v>
      </c>
      <c r="L192" s="4">
        <v>6.9047</v>
      </c>
      <c r="M192" s="4">
        <v>6.189</v>
      </c>
      <c r="Q192" s="4">
        <v>5.91</v>
      </c>
      <c r="R192" s="18">
        <f t="shared" si="11"/>
        <v>0.0169204737732656</v>
      </c>
    </row>
    <row r="193" s="4" customFormat="1" spans="1:18">
      <c r="A193" s="4">
        <v>538</v>
      </c>
      <c r="B193" s="4">
        <v>3.01</v>
      </c>
      <c r="C193" s="4">
        <v>2.82</v>
      </c>
      <c r="D193" s="4">
        <v>6.66</v>
      </c>
      <c r="E193" s="13">
        <v>3285531848.2</v>
      </c>
      <c r="F193" s="4" t="s">
        <v>382</v>
      </c>
      <c r="G193" s="14">
        <f t="shared" si="8"/>
        <v>0.0631229235880398</v>
      </c>
      <c r="H193" s="14">
        <f t="shared" si="9"/>
        <v>2.21262458471761</v>
      </c>
      <c r="I193" s="17">
        <f t="shared" si="10"/>
        <v>35.0526315789474</v>
      </c>
      <c r="J193" s="4">
        <v>0.98</v>
      </c>
      <c r="K193" s="4">
        <v>1.00658796776243</v>
      </c>
      <c r="L193" s="4">
        <v>11.9229</v>
      </c>
      <c r="M193" s="4">
        <v>11.718</v>
      </c>
      <c r="Q193" s="4">
        <v>2.96</v>
      </c>
      <c r="R193" s="18">
        <f t="shared" si="11"/>
        <v>0.0168918918918919</v>
      </c>
    </row>
    <row r="194" s="4" customFormat="1" spans="1:18">
      <c r="A194" s="6">
        <v>3315</v>
      </c>
      <c r="B194" s="6">
        <v>2.47</v>
      </c>
      <c r="C194" s="6">
        <v>2.42</v>
      </c>
      <c r="D194" s="6">
        <v>8.78</v>
      </c>
      <c r="E194" s="15">
        <v>2150860860</v>
      </c>
      <c r="F194" s="6" t="s">
        <v>490</v>
      </c>
      <c r="G194" s="16">
        <f t="shared" ref="G194:G257" si="12">1-C194/B194</f>
        <v>0.0202429149797572</v>
      </c>
      <c r="H194" s="16">
        <f t="shared" ref="H194:H257" si="13">D194/B194</f>
        <v>3.55465587044534</v>
      </c>
      <c r="I194" s="16">
        <f t="shared" ref="I194:I257" si="14">H194/G194</f>
        <v>175.599999999999</v>
      </c>
      <c r="J194" s="6">
        <v>1.07</v>
      </c>
      <c r="K194" s="16">
        <v>0.950386760997488</v>
      </c>
      <c r="L194" s="6">
        <v>8.0566</v>
      </c>
      <c r="M194" s="6">
        <v>7.556</v>
      </c>
      <c r="N194" s="6"/>
      <c r="O194" s="6"/>
      <c r="P194" s="6"/>
      <c r="Q194" s="6">
        <v>2.43</v>
      </c>
      <c r="R194" s="19">
        <f t="shared" ref="R194:R257" si="15">B194/Q194-1</f>
        <v>0.0164609053497942</v>
      </c>
    </row>
    <row r="195" s="4" customFormat="1" spans="1:18">
      <c r="A195" s="4">
        <v>596</v>
      </c>
      <c r="B195" s="4">
        <v>1.32</v>
      </c>
      <c r="C195" s="4">
        <v>1.24</v>
      </c>
      <c r="D195" s="4">
        <v>2.93</v>
      </c>
      <c r="E195" s="13">
        <v>1162981866.99</v>
      </c>
      <c r="F195" s="4" t="s">
        <v>805</v>
      </c>
      <c r="G195" s="14">
        <f t="shared" si="12"/>
        <v>0.0606060606060607</v>
      </c>
      <c r="H195" s="14">
        <f t="shared" si="13"/>
        <v>2.21969696969697</v>
      </c>
      <c r="I195" s="17">
        <f t="shared" si="14"/>
        <v>36.625</v>
      </c>
      <c r="J195" s="4">
        <v>0.64</v>
      </c>
      <c r="K195" s="4">
        <v>1.07679465776293</v>
      </c>
      <c r="Q195" s="4">
        <v>1.3</v>
      </c>
      <c r="R195" s="18">
        <f t="shared" si="15"/>
        <v>0.0153846153846153</v>
      </c>
    </row>
    <row r="196" s="4" customFormat="1" spans="1:18">
      <c r="A196" s="4">
        <v>8271</v>
      </c>
      <c r="B196" s="4">
        <v>0.35</v>
      </c>
      <c r="C196" s="4">
        <v>0.28</v>
      </c>
      <c r="D196" s="4">
        <v>1.16</v>
      </c>
      <c r="E196" s="13">
        <v>485841772.8</v>
      </c>
      <c r="F196" s="4" t="s">
        <v>475</v>
      </c>
      <c r="G196" s="14">
        <f t="shared" si="12"/>
        <v>0.2</v>
      </c>
      <c r="H196" s="14">
        <f t="shared" si="13"/>
        <v>3.31428571428571</v>
      </c>
      <c r="I196" s="14">
        <f t="shared" si="14"/>
        <v>16.5714285714286</v>
      </c>
      <c r="J196" s="4">
        <v>0.49</v>
      </c>
      <c r="K196" s="14">
        <v>2.64681555004135</v>
      </c>
      <c r="L196" s="4">
        <v>15.2483</v>
      </c>
      <c r="M196" s="4">
        <v>16.429</v>
      </c>
      <c r="Q196" s="4">
        <v>0.345</v>
      </c>
      <c r="R196" s="18">
        <f t="shared" si="15"/>
        <v>0.0144927536231885</v>
      </c>
    </row>
    <row r="197" s="4" customFormat="1" spans="1:18">
      <c r="A197" s="4">
        <v>803</v>
      </c>
      <c r="B197" s="4">
        <v>0.214</v>
      </c>
      <c r="C197" s="4">
        <v>0.15</v>
      </c>
      <c r="D197" s="4">
        <v>0.42</v>
      </c>
      <c r="E197" s="13">
        <v>2155035072.74</v>
      </c>
      <c r="F197" s="4" t="s">
        <v>97</v>
      </c>
      <c r="G197" s="14">
        <f t="shared" si="12"/>
        <v>0.299065420560748</v>
      </c>
      <c r="H197" s="14">
        <f t="shared" si="13"/>
        <v>1.96261682242991</v>
      </c>
      <c r="I197" s="17">
        <f t="shared" si="14"/>
        <v>6.5625</v>
      </c>
      <c r="J197" s="4">
        <v>0.7</v>
      </c>
      <c r="K197" s="4">
        <v>1.06177606177606</v>
      </c>
      <c r="Q197" s="4">
        <v>0.211</v>
      </c>
      <c r="R197" s="18">
        <f t="shared" si="15"/>
        <v>0.014218009478673</v>
      </c>
    </row>
    <row r="198" s="4" customFormat="1" spans="1:18">
      <c r="A198" s="6">
        <v>1359</v>
      </c>
      <c r="B198" s="6">
        <v>2.32</v>
      </c>
      <c r="C198" s="6">
        <v>2.25</v>
      </c>
      <c r="D198" s="6">
        <v>5.23</v>
      </c>
      <c r="E198" s="15">
        <v>27400430639.65</v>
      </c>
      <c r="F198" s="6" t="s">
        <v>210</v>
      </c>
      <c r="G198" s="16">
        <f t="shared" si="12"/>
        <v>0.0301724137931034</v>
      </c>
      <c r="H198" s="16">
        <f t="shared" si="13"/>
        <v>2.25431034482759</v>
      </c>
      <c r="I198" s="16">
        <f t="shared" si="14"/>
        <v>74.7142857142858</v>
      </c>
      <c r="J198" s="6">
        <v>0.67</v>
      </c>
      <c r="K198" s="6">
        <v>0.900152881965473</v>
      </c>
      <c r="L198" s="6">
        <v>5.7279</v>
      </c>
      <c r="M198" s="6">
        <v>5.58</v>
      </c>
      <c r="N198" s="6"/>
      <c r="O198" s="6"/>
      <c r="P198" s="6"/>
      <c r="Q198" s="6">
        <v>2.29</v>
      </c>
      <c r="R198" s="19">
        <f t="shared" si="15"/>
        <v>0.0131004366812226</v>
      </c>
    </row>
    <row r="199" s="4" customFormat="1" spans="1:18">
      <c r="A199" s="4">
        <v>536</v>
      </c>
      <c r="B199" s="4">
        <v>1.6</v>
      </c>
      <c r="C199" s="4">
        <v>1.4</v>
      </c>
      <c r="D199" s="4">
        <v>2.13</v>
      </c>
      <c r="E199" s="13">
        <v>1286632204.2</v>
      </c>
      <c r="F199" s="4" t="s">
        <v>804</v>
      </c>
      <c r="G199" s="14">
        <f t="shared" si="12"/>
        <v>0.125</v>
      </c>
      <c r="H199" s="14">
        <f t="shared" si="13"/>
        <v>1.33125</v>
      </c>
      <c r="I199" s="17">
        <f t="shared" si="14"/>
        <v>10.65</v>
      </c>
      <c r="J199" s="4">
        <v>3.66</v>
      </c>
      <c r="K199" s="4">
        <v>5.46374367622259</v>
      </c>
      <c r="L199" s="4">
        <v>17.344</v>
      </c>
      <c r="M199" s="4">
        <v>16.809</v>
      </c>
      <c r="Q199" s="4">
        <v>1.58</v>
      </c>
      <c r="R199" s="18">
        <f t="shared" si="15"/>
        <v>0.0126582278481013</v>
      </c>
    </row>
    <row r="200" s="4" customFormat="1" spans="1:18">
      <c r="A200" s="4">
        <v>8172</v>
      </c>
      <c r="B200" s="4">
        <v>0.81</v>
      </c>
      <c r="C200" s="4">
        <v>0.29</v>
      </c>
      <c r="D200" s="4">
        <v>2.29</v>
      </c>
      <c r="E200" s="13">
        <v>2336285595.26</v>
      </c>
      <c r="F200" s="4" t="s">
        <v>192</v>
      </c>
      <c r="G200" s="14">
        <f t="shared" si="12"/>
        <v>0.641975308641975</v>
      </c>
      <c r="H200" s="14">
        <f t="shared" si="13"/>
        <v>2.82716049382716</v>
      </c>
      <c r="I200" s="17">
        <f t="shared" si="14"/>
        <v>4.40384615384615</v>
      </c>
      <c r="J200" s="4">
        <v>2.48</v>
      </c>
      <c r="K200" s="14">
        <v>172.916666666666</v>
      </c>
      <c r="Q200" s="4">
        <v>0.8</v>
      </c>
      <c r="R200" s="18">
        <f t="shared" si="15"/>
        <v>0.0125</v>
      </c>
    </row>
    <row r="201" s="4" customFormat="1" spans="1:18">
      <c r="A201" s="4">
        <v>111</v>
      </c>
      <c r="B201" s="4">
        <v>0.83</v>
      </c>
      <c r="C201" s="4">
        <v>0.7</v>
      </c>
      <c r="D201" s="4">
        <v>2.44</v>
      </c>
      <c r="E201" s="13">
        <v>538612704</v>
      </c>
      <c r="F201" s="4" t="s">
        <v>767</v>
      </c>
      <c r="G201" s="14">
        <f t="shared" si="12"/>
        <v>0.156626506024096</v>
      </c>
      <c r="H201" s="14">
        <f t="shared" si="13"/>
        <v>2.93975903614458</v>
      </c>
      <c r="I201" s="17">
        <f t="shared" si="14"/>
        <v>18.7692307692308</v>
      </c>
      <c r="J201" s="4">
        <v>0.71</v>
      </c>
      <c r="K201" s="4">
        <v>2.71142672692059</v>
      </c>
      <c r="L201" s="4">
        <v>19.0794</v>
      </c>
      <c r="M201" s="4">
        <v>18.636</v>
      </c>
      <c r="Q201" s="4">
        <v>0.82</v>
      </c>
      <c r="R201" s="18">
        <f t="shared" si="15"/>
        <v>0.0121951219512195</v>
      </c>
    </row>
    <row r="202" s="4" customFormat="1" spans="1:18">
      <c r="A202" s="4">
        <v>2009</v>
      </c>
      <c r="B202" s="4">
        <v>4.22</v>
      </c>
      <c r="C202" s="4">
        <v>4.01</v>
      </c>
      <c r="D202" s="4">
        <v>10.78</v>
      </c>
      <c r="E202" s="13">
        <v>5156976538.35</v>
      </c>
      <c r="F202" s="4" t="s">
        <v>499</v>
      </c>
      <c r="G202" s="14">
        <f t="shared" si="12"/>
        <v>0.0497630331753555</v>
      </c>
      <c r="H202" s="14">
        <f t="shared" si="13"/>
        <v>2.55450236966825</v>
      </c>
      <c r="I202" s="17">
        <f t="shared" si="14"/>
        <v>51.3333333333333</v>
      </c>
      <c r="J202" s="4">
        <v>0.62</v>
      </c>
      <c r="K202" s="4">
        <v>0.501125244350544</v>
      </c>
      <c r="L202" s="4">
        <v>7.7721</v>
      </c>
      <c r="M202" s="4">
        <v>6.431</v>
      </c>
      <c r="Q202" s="4">
        <v>4.17</v>
      </c>
      <c r="R202" s="18">
        <f t="shared" si="15"/>
        <v>0.0119904076738608</v>
      </c>
    </row>
    <row r="203" s="4" customFormat="1" spans="1:18">
      <c r="A203" s="4">
        <v>882</v>
      </c>
      <c r="B203" s="4">
        <v>3.56</v>
      </c>
      <c r="C203" s="4">
        <v>3.5</v>
      </c>
      <c r="D203" s="4">
        <v>8.69</v>
      </c>
      <c r="E203" s="13">
        <v>3872700151.25</v>
      </c>
      <c r="F203" s="4" t="s">
        <v>536</v>
      </c>
      <c r="G203" s="14">
        <f t="shared" si="12"/>
        <v>0.0168539325842697</v>
      </c>
      <c r="H203" s="14">
        <f t="shared" si="13"/>
        <v>2.44101123595506</v>
      </c>
      <c r="I203" s="17">
        <f t="shared" si="14"/>
        <v>144.833333333333</v>
      </c>
      <c r="J203" s="4">
        <v>0.33</v>
      </c>
      <c r="K203" s="4">
        <v>0.715659258965565</v>
      </c>
      <c r="L203" s="4">
        <v>5.3287</v>
      </c>
      <c r="M203" s="4">
        <v>5.302</v>
      </c>
      <c r="Q203" s="4">
        <v>3.52</v>
      </c>
      <c r="R203" s="18">
        <f t="shared" si="15"/>
        <v>0.0113636363636365</v>
      </c>
    </row>
    <row r="204" s="6" customFormat="1" spans="1:18">
      <c r="A204" s="4">
        <v>560</v>
      </c>
      <c r="B204" s="4">
        <v>1.91</v>
      </c>
      <c r="C204" s="4">
        <v>1.6</v>
      </c>
      <c r="D204" s="4">
        <v>4.85</v>
      </c>
      <c r="E204" s="13">
        <v>2095200000</v>
      </c>
      <c r="F204" s="4" t="s">
        <v>551</v>
      </c>
      <c r="G204" s="14">
        <f t="shared" si="12"/>
        <v>0.162303664921466</v>
      </c>
      <c r="H204" s="14">
        <f t="shared" si="13"/>
        <v>2.53926701570681</v>
      </c>
      <c r="I204" s="17">
        <f t="shared" si="14"/>
        <v>15.6451612903226</v>
      </c>
      <c r="J204" s="4">
        <v>0.76</v>
      </c>
      <c r="K204" s="4">
        <v>1.07289016701692</v>
      </c>
      <c r="L204" s="4">
        <v>9.4691</v>
      </c>
      <c r="M204" s="4">
        <v>7.686</v>
      </c>
      <c r="N204" s="4"/>
      <c r="O204" s="4"/>
      <c r="P204" s="4"/>
      <c r="Q204" s="4">
        <v>1.89</v>
      </c>
      <c r="R204" s="18">
        <f t="shared" si="15"/>
        <v>0.0105820105820107</v>
      </c>
    </row>
    <row r="205" s="4" customFormat="1" spans="1:18">
      <c r="A205" s="4">
        <v>8361</v>
      </c>
      <c r="B205" s="4">
        <v>2.12</v>
      </c>
      <c r="C205" s="4">
        <v>1</v>
      </c>
      <c r="D205" s="4">
        <v>2.8</v>
      </c>
      <c r="E205" s="13">
        <v>2206975000</v>
      </c>
      <c r="F205" s="4" t="s">
        <v>144</v>
      </c>
      <c r="G205" s="14">
        <f t="shared" si="12"/>
        <v>0.528301886792453</v>
      </c>
      <c r="H205" s="14">
        <f t="shared" si="13"/>
        <v>1.32075471698113</v>
      </c>
      <c r="I205" s="17">
        <f t="shared" si="14"/>
        <v>2.5</v>
      </c>
      <c r="J205" s="4">
        <v>6.75</v>
      </c>
      <c r="K205" s="14">
        <v>21.171621794481</v>
      </c>
      <c r="L205" s="4">
        <v>129.3525</v>
      </c>
      <c r="Q205" s="4">
        <v>2.1</v>
      </c>
      <c r="R205" s="18">
        <f t="shared" si="15"/>
        <v>0.00952380952380949</v>
      </c>
    </row>
    <row r="206" s="4" customFormat="1" spans="1:18">
      <c r="A206" s="4">
        <v>801</v>
      </c>
      <c r="B206" s="4">
        <v>1.07</v>
      </c>
      <c r="C206" s="4">
        <v>0.8</v>
      </c>
      <c r="D206" s="4">
        <v>2</v>
      </c>
      <c r="E206" s="13">
        <v>3144108086.24</v>
      </c>
      <c r="F206" s="4" t="s">
        <v>436</v>
      </c>
      <c r="G206" s="14">
        <f t="shared" si="12"/>
        <v>0.252336448598131</v>
      </c>
      <c r="H206" s="14">
        <f t="shared" si="13"/>
        <v>1.86915887850467</v>
      </c>
      <c r="I206" s="17">
        <f t="shared" si="14"/>
        <v>7.40740740740741</v>
      </c>
      <c r="J206" s="4">
        <v>0.71</v>
      </c>
      <c r="K206" s="4">
        <v>2.70201376497578</v>
      </c>
      <c r="Q206" s="4">
        <v>1.06</v>
      </c>
      <c r="R206" s="18">
        <f t="shared" si="15"/>
        <v>0.00943396226415105</v>
      </c>
    </row>
    <row r="207" s="4" customFormat="1" spans="1:18">
      <c r="A207" s="4">
        <v>998</v>
      </c>
      <c r="B207" s="4">
        <v>4.3</v>
      </c>
      <c r="C207" s="4">
        <v>4.22</v>
      </c>
      <c r="D207" s="4">
        <v>7.4</v>
      </c>
      <c r="E207" s="13">
        <v>65927981988.11</v>
      </c>
      <c r="F207" s="4" t="s">
        <v>199</v>
      </c>
      <c r="G207" s="14">
        <f t="shared" si="12"/>
        <v>0.0186046511627908</v>
      </c>
      <c r="H207" s="14">
        <f t="shared" si="13"/>
        <v>1.72093023255814</v>
      </c>
      <c r="I207" s="17">
        <f t="shared" si="14"/>
        <v>92.4999999999997</v>
      </c>
      <c r="J207" s="4">
        <v>0.58</v>
      </c>
      <c r="K207" s="4">
        <v>1.13934825588916</v>
      </c>
      <c r="L207" s="4">
        <v>3.9172</v>
      </c>
      <c r="M207" s="4">
        <v>3.917</v>
      </c>
      <c r="Q207" s="4">
        <v>4.26</v>
      </c>
      <c r="R207" s="18">
        <f t="shared" si="15"/>
        <v>0.00938967136150226</v>
      </c>
    </row>
    <row r="208" s="4" customFormat="1" spans="1:18">
      <c r="A208" s="4">
        <v>264</v>
      </c>
      <c r="B208" s="4">
        <v>1.17</v>
      </c>
      <c r="C208" s="4">
        <v>0.58</v>
      </c>
      <c r="D208" s="4">
        <v>2.69</v>
      </c>
      <c r="E208" s="13">
        <v>420963840</v>
      </c>
      <c r="F208" s="4" t="s">
        <v>453</v>
      </c>
      <c r="G208" s="14">
        <f t="shared" si="12"/>
        <v>0.504273504273504</v>
      </c>
      <c r="H208" s="14">
        <f t="shared" si="13"/>
        <v>2.2991452991453</v>
      </c>
      <c r="I208" s="17">
        <f t="shared" si="14"/>
        <v>4.55932203389831</v>
      </c>
      <c r="J208" s="4">
        <v>5.63</v>
      </c>
      <c r="K208" s="4">
        <v>3.08752232712426</v>
      </c>
      <c r="Q208" s="4">
        <v>1.16</v>
      </c>
      <c r="R208" s="18">
        <f t="shared" si="15"/>
        <v>0.00862068965517238</v>
      </c>
    </row>
    <row r="209" s="6" customFormat="1" spans="1:18">
      <c r="A209" s="4">
        <v>694</v>
      </c>
      <c r="B209" s="4">
        <v>7.19</v>
      </c>
      <c r="C209" s="4">
        <v>5.26</v>
      </c>
      <c r="D209" s="4">
        <v>9.71</v>
      </c>
      <c r="E209" s="13">
        <v>13493833520</v>
      </c>
      <c r="F209" s="4" t="s">
        <v>546</v>
      </c>
      <c r="G209" s="14">
        <f t="shared" si="12"/>
        <v>0.268428372739917</v>
      </c>
      <c r="H209" s="14">
        <f t="shared" si="13"/>
        <v>1.35048678720445</v>
      </c>
      <c r="I209" s="17">
        <f t="shared" si="14"/>
        <v>5.03108808290155</v>
      </c>
      <c r="J209" s="4">
        <v>1.45</v>
      </c>
      <c r="K209" s="4">
        <v>2.97476489538116</v>
      </c>
      <c r="L209" s="4">
        <v>17.8753</v>
      </c>
      <c r="M209" s="4">
        <v>17.75</v>
      </c>
      <c r="N209" s="4"/>
      <c r="O209" s="4"/>
      <c r="P209" s="4"/>
      <c r="Q209" s="4">
        <v>7.13</v>
      </c>
      <c r="R209" s="18">
        <f t="shared" si="15"/>
        <v>0.00841514726507731</v>
      </c>
    </row>
    <row r="210" s="4" customFormat="1" spans="1:18">
      <c r="A210" s="4">
        <v>1349</v>
      </c>
      <c r="B210" s="4">
        <v>6.16</v>
      </c>
      <c r="C210" s="4">
        <v>5.37</v>
      </c>
      <c r="D210" s="4">
        <v>12.64</v>
      </c>
      <c r="E210" s="13">
        <v>2091000000</v>
      </c>
      <c r="F210" s="4" t="s">
        <v>522</v>
      </c>
      <c r="G210" s="14">
        <f t="shared" si="12"/>
        <v>0.128246753246753</v>
      </c>
      <c r="H210" s="14">
        <f t="shared" si="13"/>
        <v>2.05194805194805</v>
      </c>
      <c r="I210" s="17">
        <f t="shared" si="14"/>
        <v>16</v>
      </c>
      <c r="J210" s="4">
        <v>6.95</v>
      </c>
      <c r="K210" s="4">
        <v>9.30787687025894</v>
      </c>
      <c r="L210" s="4">
        <v>38.1385</v>
      </c>
      <c r="M210" s="4">
        <v>38.14</v>
      </c>
      <c r="Q210" s="4">
        <v>6.11</v>
      </c>
      <c r="R210" s="18">
        <f t="shared" si="15"/>
        <v>0.00818330605564643</v>
      </c>
    </row>
    <row r="211" s="4" customFormat="1" spans="1:18">
      <c r="A211" s="4">
        <v>2917</v>
      </c>
      <c r="B211" s="4">
        <v>0.126</v>
      </c>
      <c r="C211" s="4">
        <v>0.04</v>
      </c>
      <c r="D211" s="4">
        <v>2.9</v>
      </c>
      <c r="E211" s="13">
        <v>48690991.5</v>
      </c>
      <c r="F211" s="4" t="s">
        <v>169</v>
      </c>
      <c r="G211" s="14">
        <f t="shared" si="12"/>
        <v>0.682539682539683</v>
      </c>
      <c r="H211" s="14">
        <f t="shared" si="13"/>
        <v>23.015873015873</v>
      </c>
      <c r="I211" s="14">
        <f t="shared" si="14"/>
        <v>33.7209302325581</v>
      </c>
      <c r="J211" s="4">
        <v>0.02</v>
      </c>
      <c r="K211" s="4">
        <v>0.364006988934187</v>
      </c>
      <c r="L211" s="4">
        <v>0.354</v>
      </c>
      <c r="Q211" s="4">
        <v>0.125</v>
      </c>
      <c r="R211" s="18">
        <f t="shared" si="15"/>
        <v>0.00800000000000001</v>
      </c>
    </row>
    <row r="212" s="6" customFormat="1" spans="1:18">
      <c r="A212" s="4">
        <v>1386</v>
      </c>
      <c r="B212" s="4">
        <v>1.26</v>
      </c>
      <c r="C212" s="4">
        <v>0.35</v>
      </c>
      <c r="D212" s="4">
        <v>1.41</v>
      </c>
      <c r="E212" s="13">
        <v>808113600</v>
      </c>
      <c r="F212" s="4" t="s">
        <v>118</v>
      </c>
      <c r="G212" s="14">
        <f t="shared" si="12"/>
        <v>0.722222222222222</v>
      </c>
      <c r="H212" s="14">
        <f t="shared" si="13"/>
        <v>1.11904761904762</v>
      </c>
      <c r="I212" s="17">
        <f t="shared" si="14"/>
        <v>1.54945054945055</v>
      </c>
      <c r="J212" s="4">
        <v>2.73</v>
      </c>
      <c r="K212" s="4">
        <v>0.928381962864721</v>
      </c>
      <c r="L212" s="4"/>
      <c r="M212" s="4"/>
      <c r="N212" s="4"/>
      <c r="O212" s="4"/>
      <c r="P212" s="4"/>
      <c r="Q212" s="4">
        <v>1.25</v>
      </c>
      <c r="R212" s="18">
        <f t="shared" si="15"/>
        <v>0.00800000000000001</v>
      </c>
    </row>
    <row r="213" s="4" customFormat="1" spans="1:18">
      <c r="A213" s="4">
        <v>8100</v>
      </c>
      <c r="B213" s="4">
        <v>0.149</v>
      </c>
      <c r="C213" s="4">
        <v>0.08</v>
      </c>
      <c r="D213" s="4">
        <v>1.19</v>
      </c>
      <c r="E213" s="13">
        <v>193828923.25</v>
      </c>
      <c r="F213" s="4" t="s">
        <v>778</v>
      </c>
      <c r="G213" s="14">
        <f t="shared" si="12"/>
        <v>0.463087248322148</v>
      </c>
      <c r="H213" s="14">
        <f t="shared" si="13"/>
        <v>7.98657718120805</v>
      </c>
      <c r="I213" s="14">
        <f t="shared" si="14"/>
        <v>17.2463768115942</v>
      </c>
      <c r="J213" s="4">
        <v>0.18</v>
      </c>
      <c r="K213" s="14">
        <v>0.50841968911917</v>
      </c>
      <c r="L213" s="4">
        <v>3.6754</v>
      </c>
      <c r="M213" s="4">
        <v>0.983</v>
      </c>
      <c r="Q213" s="4">
        <v>0.148</v>
      </c>
      <c r="R213" s="18">
        <f t="shared" si="15"/>
        <v>0.0067567567567568</v>
      </c>
    </row>
    <row r="214" s="4" customFormat="1" spans="1:18">
      <c r="A214" s="4">
        <v>1065</v>
      </c>
      <c r="B214" s="4">
        <v>4.67</v>
      </c>
      <c r="C214" s="4">
        <v>3.38</v>
      </c>
      <c r="D214" s="4">
        <v>10.68</v>
      </c>
      <c r="E214" s="13">
        <v>1662600000</v>
      </c>
      <c r="F214" s="4" t="s">
        <v>145</v>
      </c>
      <c r="G214" s="14">
        <f t="shared" si="12"/>
        <v>0.276231263383298</v>
      </c>
      <c r="H214" s="14">
        <f t="shared" si="13"/>
        <v>2.28693790149893</v>
      </c>
      <c r="I214" s="17">
        <f t="shared" si="14"/>
        <v>8.27906976744186</v>
      </c>
      <c r="J214" s="4">
        <v>1.29</v>
      </c>
      <c r="K214" s="4">
        <v>3.05599982821406</v>
      </c>
      <c r="L214" s="4">
        <v>17.186</v>
      </c>
      <c r="M214" s="4">
        <v>17.185</v>
      </c>
      <c r="Q214" s="4">
        <v>4.64</v>
      </c>
      <c r="R214" s="18">
        <f t="shared" si="15"/>
        <v>0.00646551724137945</v>
      </c>
    </row>
    <row r="215" s="4" customFormat="1" spans="1:18">
      <c r="A215" s="4">
        <v>2186</v>
      </c>
      <c r="B215" s="4">
        <v>6.35</v>
      </c>
      <c r="C215" s="4">
        <v>5.65</v>
      </c>
      <c r="D215" s="4">
        <v>11.54</v>
      </c>
      <c r="E215" s="13">
        <v>21387715548.92</v>
      </c>
      <c r="F215" s="4" t="s">
        <v>132</v>
      </c>
      <c r="G215" s="14">
        <f t="shared" si="12"/>
        <v>0.110236220472441</v>
      </c>
      <c r="H215" s="14">
        <f t="shared" si="13"/>
        <v>1.81732283464567</v>
      </c>
      <c r="I215" s="17">
        <f t="shared" si="14"/>
        <v>16.4857142857143</v>
      </c>
      <c r="J215" s="4">
        <v>3.19</v>
      </c>
      <c r="K215" s="4">
        <v>4.726716656148</v>
      </c>
      <c r="L215" s="4">
        <v>28.2478</v>
      </c>
      <c r="M215" s="4">
        <v>24.96</v>
      </c>
      <c r="P215" s="6"/>
      <c r="Q215" s="4">
        <v>6.31</v>
      </c>
      <c r="R215" s="18">
        <f t="shared" si="15"/>
        <v>0.00633914421553095</v>
      </c>
    </row>
    <row r="216" s="4" customFormat="1" spans="1:18">
      <c r="A216" s="6">
        <v>1060</v>
      </c>
      <c r="B216" s="6">
        <v>1.62</v>
      </c>
      <c r="C216" s="6">
        <v>1.24</v>
      </c>
      <c r="D216" s="6">
        <v>4.9</v>
      </c>
      <c r="E216" s="15">
        <v>41132335098.3</v>
      </c>
      <c r="F216" s="6" t="s">
        <v>528</v>
      </c>
      <c r="G216" s="16">
        <f t="shared" si="12"/>
        <v>0.234567901234568</v>
      </c>
      <c r="H216" s="16">
        <f t="shared" si="13"/>
        <v>3.02469135802469</v>
      </c>
      <c r="I216" s="16">
        <f t="shared" si="14"/>
        <v>12.8947368421053</v>
      </c>
      <c r="J216" s="6">
        <v>2.09</v>
      </c>
      <c r="K216" s="6">
        <v>181.082137969036</v>
      </c>
      <c r="L216" s="6"/>
      <c r="M216" s="6"/>
      <c r="N216" s="6"/>
      <c r="O216" s="6"/>
      <c r="Q216" s="6">
        <v>1.61</v>
      </c>
      <c r="R216" s="18">
        <f t="shared" si="15"/>
        <v>0.0062111801242235</v>
      </c>
    </row>
    <row r="217" s="4" customFormat="1" spans="1:18">
      <c r="A217" s="4">
        <v>2331</v>
      </c>
      <c r="B217" s="4">
        <v>3.63</v>
      </c>
      <c r="C217" s="4">
        <v>2.67</v>
      </c>
      <c r="D217" s="4">
        <v>5.55</v>
      </c>
      <c r="E217" s="13">
        <v>6844329520.38</v>
      </c>
      <c r="F217" s="4" t="s">
        <v>776</v>
      </c>
      <c r="G217" s="14">
        <f t="shared" si="12"/>
        <v>0.264462809917355</v>
      </c>
      <c r="H217" s="14">
        <f t="shared" si="13"/>
        <v>1.52892561983471</v>
      </c>
      <c r="I217" s="17">
        <f t="shared" si="14"/>
        <v>5.78125</v>
      </c>
      <c r="J217" s="4">
        <v>1.83</v>
      </c>
      <c r="K217" s="4">
        <v>0.744782720105298</v>
      </c>
      <c r="Q217" s="4">
        <v>3.61</v>
      </c>
      <c r="R217" s="18">
        <f t="shared" si="15"/>
        <v>0.0055401662049861</v>
      </c>
    </row>
    <row r="218" s="4" customFormat="1" spans="1:18">
      <c r="A218" s="6">
        <v>80</v>
      </c>
      <c r="B218" s="6">
        <v>0.182</v>
      </c>
      <c r="C218" s="6">
        <v>0.18</v>
      </c>
      <c r="D218" s="6">
        <v>0.91</v>
      </c>
      <c r="E218" s="15">
        <v>169673940</v>
      </c>
      <c r="F218" s="6" t="s">
        <v>75</v>
      </c>
      <c r="G218" s="16">
        <f t="shared" si="12"/>
        <v>0.0109890109890109</v>
      </c>
      <c r="H218" s="16">
        <f t="shared" si="13"/>
        <v>5</v>
      </c>
      <c r="I218" s="16">
        <f t="shared" si="14"/>
        <v>455.000000000002</v>
      </c>
      <c r="J218" s="6">
        <v>0.29</v>
      </c>
      <c r="K218" s="6">
        <v>87.1428571428571</v>
      </c>
      <c r="L218" s="6">
        <v>1.2445</v>
      </c>
      <c r="M218" s="6">
        <v>0.51</v>
      </c>
      <c r="N218" s="6"/>
      <c r="O218" s="6"/>
      <c r="P218" s="6"/>
      <c r="Q218" s="6">
        <v>0.181</v>
      </c>
      <c r="R218" s="19">
        <f t="shared" si="15"/>
        <v>0.00552486187845314</v>
      </c>
    </row>
    <row r="219" s="4" customFormat="1" spans="1:18">
      <c r="A219" s="4">
        <v>1666</v>
      </c>
      <c r="B219" s="4">
        <v>11.62</v>
      </c>
      <c r="C219" s="4">
        <v>9</v>
      </c>
      <c r="D219" s="4">
        <v>14.9</v>
      </c>
      <c r="E219" s="13">
        <v>7355836800</v>
      </c>
      <c r="F219" s="4" t="s">
        <v>515</v>
      </c>
      <c r="G219" s="14">
        <f t="shared" si="12"/>
        <v>0.225473321858864</v>
      </c>
      <c r="H219" s="14">
        <f t="shared" si="13"/>
        <v>1.28227194492255</v>
      </c>
      <c r="I219" s="17">
        <f t="shared" si="14"/>
        <v>5.68702290076336</v>
      </c>
      <c r="J219" s="4">
        <v>3.15</v>
      </c>
      <c r="K219" s="4">
        <v>2.57597099905798</v>
      </c>
      <c r="L219" s="4">
        <v>25.9296</v>
      </c>
      <c r="M219" s="4">
        <v>25.621</v>
      </c>
      <c r="Q219" s="4">
        <v>11.56</v>
      </c>
      <c r="R219" s="18">
        <f t="shared" si="15"/>
        <v>0.00519031141868509</v>
      </c>
    </row>
    <row r="220" s="4" customFormat="1" spans="1:18">
      <c r="A220" s="4">
        <v>8355</v>
      </c>
      <c r="B220" s="4">
        <v>0.201</v>
      </c>
      <c r="C220" s="4">
        <v>0.195</v>
      </c>
      <c r="D220" s="4">
        <v>6.7</v>
      </c>
      <c r="E220" s="13">
        <v>200000000</v>
      </c>
      <c r="F220" s="4" t="s">
        <v>335</v>
      </c>
      <c r="G220" s="14">
        <f t="shared" si="12"/>
        <v>0.0298507462686567</v>
      </c>
      <c r="H220" s="14">
        <f t="shared" si="13"/>
        <v>33.3333333333333</v>
      </c>
      <c r="I220" s="14">
        <f t="shared" si="14"/>
        <v>1116.66666666667</v>
      </c>
      <c r="J220" s="4">
        <v>1.81</v>
      </c>
      <c r="K220" s="14">
        <v>1.32100396301188</v>
      </c>
      <c r="L220" s="4">
        <v>41.3138</v>
      </c>
      <c r="M220" s="4">
        <v>29.412</v>
      </c>
      <c r="Q220" s="4">
        <v>0.2</v>
      </c>
      <c r="R220" s="18">
        <f t="shared" si="15"/>
        <v>0.00499999999999989</v>
      </c>
    </row>
    <row r="221" s="4" customFormat="1" spans="1:18">
      <c r="A221" s="4">
        <v>635</v>
      </c>
      <c r="B221" s="4">
        <v>8.54</v>
      </c>
      <c r="C221" s="4">
        <v>6.77</v>
      </c>
      <c r="D221" s="4">
        <v>9.9</v>
      </c>
      <c r="E221" s="13">
        <v>1913286600</v>
      </c>
      <c r="F221" s="4" t="s">
        <v>384</v>
      </c>
      <c r="G221" s="14">
        <f t="shared" si="12"/>
        <v>0.207259953161593</v>
      </c>
      <c r="H221" s="14">
        <f t="shared" si="13"/>
        <v>1.15925058548009</v>
      </c>
      <c r="I221" s="17">
        <f t="shared" si="14"/>
        <v>5.59322033898305</v>
      </c>
      <c r="J221" s="4">
        <v>0.3</v>
      </c>
      <c r="K221" s="4">
        <v>1.22221910033435</v>
      </c>
      <c r="L221" s="4">
        <v>2.4672</v>
      </c>
      <c r="M221" s="4">
        <v>2.572</v>
      </c>
      <c r="Q221" s="4">
        <v>8.5</v>
      </c>
      <c r="R221" s="18">
        <f t="shared" si="15"/>
        <v>0.00470588235294112</v>
      </c>
    </row>
    <row r="222" s="4" customFormat="1" spans="1:18">
      <c r="A222" s="4">
        <v>2298</v>
      </c>
      <c r="B222" s="4">
        <v>6.46</v>
      </c>
      <c r="C222" s="4">
        <v>3.45</v>
      </c>
      <c r="D222" s="4">
        <v>9.48</v>
      </c>
      <c r="E222" s="13">
        <v>12620745340</v>
      </c>
      <c r="F222" s="4" t="s">
        <v>717</v>
      </c>
      <c r="G222" s="14">
        <f t="shared" si="12"/>
        <v>0.46594427244582</v>
      </c>
      <c r="H222" s="14">
        <f t="shared" si="13"/>
        <v>1.46749226006192</v>
      </c>
      <c r="I222" s="17">
        <f t="shared" si="14"/>
        <v>3.14950166112957</v>
      </c>
      <c r="J222" s="4">
        <v>4.2</v>
      </c>
      <c r="K222" s="4">
        <v>2.25201070707945</v>
      </c>
      <c r="L222" s="4">
        <v>23.0552</v>
      </c>
      <c r="M222" s="4">
        <v>20.682</v>
      </c>
      <c r="Q222" s="4">
        <v>6.43</v>
      </c>
      <c r="R222" s="18">
        <f t="shared" si="15"/>
        <v>0.00466562986003116</v>
      </c>
    </row>
    <row r="223" s="6" customFormat="1" spans="1:18">
      <c r="A223" s="4">
        <v>1533</v>
      </c>
      <c r="B223" s="4">
        <v>5.37</v>
      </c>
      <c r="C223" s="4">
        <v>5</v>
      </c>
      <c r="D223" s="4">
        <v>5.85</v>
      </c>
      <c r="E223" s="13">
        <v>188296800</v>
      </c>
      <c r="F223" s="4" t="s">
        <v>305</v>
      </c>
      <c r="G223" s="14">
        <f t="shared" si="12"/>
        <v>0.068901303538175</v>
      </c>
      <c r="H223" s="14">
        <f t="shared" si="13"/>
        <v>1.08938547486034</v>
      </c>
      <c r="I223" s="17">
        <f t="shared" si="14"/>
        <v>15.8108108108108</v>
      </c>
      <c r="J223" s="4">
        <v>1</v>
      </c>
      <c r="K223" s="4">
        <v>9.2078</v>
      </c>
      <c r="L223" s="4"/>
      <c r="M223" s="4"/>
      <c r="N223" s="4"/>
      <c r="O223" s="4"/>
      <c r="P223" s="4"/>
      <c r="Q223" s="4">
        <v>5.35</v>
      </c>
      <c r="R223" s="18">
        <f t="shared" si="15"/>
        <v>0.00373831775700939</v>
      </c>
    </row>
    <row r="224" s="4" customFormat="1" spans="1:18">
      <c r="A224" s="4">
        <v>2318</v>
      </c>
      <c r="B224" s="4">
        <v>33.65</v>
      </c>
      <c r="C224" s="4">
        <v>33.55</v>
      </c>
      <c r="D224" s="4">
        <v>125.8</v>
      </c>
      <c r="E224" s="13">
        <v>258430918846.4</v>
      </c>
      <c r="F224" s="4" t="s">
        <v>800</v>
      </c>
      <c r="G224" s="14">
        <f t="shared" si="12"/>
        <v>0.00297176820208023</v>
      </c>
      <c r="H224" s="14">
        <f t="shared" si="13"/>
        <v>3.73848439821694</v>
      </c>
      <c r="I224" s="14">
        <f t="shared" si="14"/>
        <v>1258</v>
      </c>
      <c r="J224" s="4">
        <v>1.59</v>
      </c>
      <c r="K224" s="4">
        <v>5.96</v>
      </c>
      <c r="L224" s="4">
        <v>12.9152</v>
      </c>
      <c r="M224" s="4">
        <v>10.878</v>
      </c>
      <c r="Q224" s="4">
        <v>33.55</v>
      </c>
      <c r="R224" s="18">
        <f t="shared" si="15"/>
        <v>0.00298062593144555</v>
      </c>
    </row>
    <row r="225" s="6" customFormat="1" spans="1:18">
      <c r="A225" s="4">
        <v>8083</v>
      </c>
      <c r="B225" s="4">
        <v>0.305</v>
      </c>
      <c r="C225" s="4">
        <v>0.305</v>
      </c>
      <c r="D225" s="4">
        <v>1.46</v>
      </c>
      <c r="E225" s="13">
        <v>1864887601.67</v>
      </c>
      <c r="F225" s="4" t="s">
        <v>812</v>
      </c>
      <c r="G225" s="14">
        <f t="shared" si="12"/>
        <v>0</v>
      </c>
      <c r="H225" s="14">
        <f t="shared" si="13"/>
        <v>4.78688524590164</v>
      </c>
      <c r="I225" s="14" t="e">
        <f t="shared" si="14"/>
        <v>#DIV/0!</v>
      </c>
      <c r="J225" s="4">
        <v>1.63</v>
      </c>
      <c r="K225" s="14">
        <v>17.9190751445086</v>
      </c>
      <c r="L225" s="4"/>
      <c r="M225" s="4"/>
      <c r="N225" s="4"/>
      <c r="O225" s="4"/>
      <c r="P225" s="4"/>
      <c r="Q225" s="4">
        <v>0.305</v>
      </c>
      <c r="R225" s="18">
        <f t="shared" si="15"/>
        <v>0</v>
      </c>
    </row>
    <row r="226" s="6" customFormat="1" spans="1:18">
      <c r="A226" s="4">
        <v>2038</v>
      </c>
      <c r="B226" s="4">
        <v>2.72</v>
      </c>
      <c r="C226" s="4">
        <v>2.72</v>
      </c>
      <c r="D226" s="4">
        <v>5</v>
      </c>
      <c r="E226" s="13">
        <v>21549809604.96</v>
      </c>
      <c r="F226" s="4" t="s">
        <v>373</v>
      </c>
      <c r="G226" s="14">
        <f t="shared" si="12"/>
        <v>0</v>
      </c>
      <c r="H226" s="14">
        <f t="shared" si="13"/>
        <v>1.83823529411765</v>
      </c>
      <c r="I226" s="17" t="e">
        <f t="shared" si="14"/>
        <v>#DIV/0!</v>
      </c>
      <c r="J226" s="4">
        <v>0.72</v>
      </c>
      <c r="K226" s="4">
        <v>0.347295953704457</v>
      </c>
      <c r="L226" s="4">
        <v>16.3985</v>
      </c>
      <c r="M226" s="4">
        <v>15.632</v>
      </c>
      <c r="N226" s="4"/>
      <c r="O226" s="4"/>
      <c r="P226" s="4"/>
      <c r="Q226" s="4">
        <v>2.72</v>
      </c>
      <c r="R226" s="18">
        <f t="shared" si="15"/>
        <v>0</v>
      </c>
    </row>
    <row r="227" s="4" customFormat="1" spans="1:18">
      <c r="A227" s="4">
        <v>2722</v>
      </c>
      <c r="B227" s="4">
        <v>0.85</v>
      </c>
      <c r="C227" s="4">
        <v>0.84</v>
      </c>
      <c r="D227" s="4">
        <v>2.11</v>
      </c>
      <c r="E227" s="13">
        <v>935159349.5</v>
      </c>
      <c r="F227" s="4" t="s">
        <v>514</v>
      </c>
      <c r="G227" s="14">
        <f t="shared" si="12"/>
        <v>0.0117647058823529</v>
      </c>
      <c r="H227" s="14">
        <f t="shared" si="13"/>
        <v>2.48235294117647</v>
      </c>
      <c r="I227" s="17">
        <f t="shared" si="14"/>
        <v>211.000000000001</v>
      </c>
      <c r="J227" s="4">
        <v>0.42</v>
      </c>
      <c r="K227" s="4">
        <v>0.265261291953187</v>
      </c>
      <c r="L227" s="4">
        <v>4.8926</v>
      </c>
      <c r="M227" s="4">
        <v>4.893</v>
      </c>
      <c r="Q227" s="4">
        <v>0.85</v>
      </c>
      <c r="R227" s="18">
        <f t="shared" si="15"/>
        <v>0</v>
      </c>
    </row>
    <row r="228" s="4" customFormat="1" spans="1:18">
      <c r="A228" s="4">
        <v>606</v>
      </c>
      <c r="B228" s="4">
        <v>2.08</v>
      </c>
      <c r="C228" s="4">
        <v>2.04</v>
      </c>
      <c r="D228" s="4">
        <v>5.15</v>
      </c>
      <c r="E228" s="13">
        <v>11182246078.44</v>
      </c>
      <c r="F228" s="4" t="s">
        <v>473</v>
      </c>
      <c r="G228" s="14">
        <f t="shared" si="12"/>
        <v>0.0192307692307693</v>
      </c>
      <c r="H228" s="14">
        <f t="shared" si="13"/>
        <v>2.47596153846154</v>
      </c>
      <c r="I228" s="17">
        <f t="shared" si="14"/>
        <v>128.75</v>
      </c>
      <c r="J228" s="4">
        <v>0.4</v>
      </c>
      <c r="K228" s="4">
        <v>0.140701791470697</v>
      </c>
      <c r="Q228" s="4">
        <v>2.08</v>
      </c>
      <c r="R228" s="18">
        <f t="shared" si="15"/>
        <v>0</v>
      </c>
    </row>
    <row r="229" s="4" customFormat="1" spans="1:18">
      <c r="A229" s="6">
        <v>360</v>
      </c>
      <c r="B229" s="6">
        <v>0.39</v>
      </c>
      <c r="C229" s="6">
        <v>0.38</v>
      </c>
      <c r="D229" s="6">
        <v>2.42</v>
      </c>
      <c r="E229" s="15">
        <v>1807522484.95</v>
      </c>
      <c r="F229" s="6" t="s">
        <v>676</v>
      </c>
      <c r="G229" s="16">
        <f t="shared" si="12"/>
        <v>0.0256410256410257</v>
      </c>
      <c r="H229" s="16">
        <f t="shared" si="13"/>
        <v>6.2051282051282</v>
      </c>
      <c r="I229" s="16">
        <f t="shared" si="14"/>
        <v>242</v>
      </c>
      <c r="J229" s="6">
        <v>3.76</v>
      </c>
      <c r="K229" s="6">
        <v>0.908945477814458</v>
      </c>
      <c r="L229" s="6"/>
      <c r="M229" s="6"/>
      <c r="N229" s="6"/>
      <c r="O229" s="6"/>
      <c r="P229" s="6"/>
      <c r="Q229" s="6">
        <v>0.39</v>
      </c>
      <c r="R229" s="19">
        <f t="shared" si="15"/>
        <v>0</v>
      </c>
    </row>
    <row r="230" s="4" customFormat="1" spans="1:18">
      <c r="A230" s="6">
        <v>2727</v>
      </c>
      <c r="B230" s="6">
        <v>3.27</v>
      </c>
      <c r="C230" s="6">
        <v>3.18</v>
      </c>
      <c r="D230" s="6">
        <v>9.25</v>
      </c>
      <c r="E230" s="15">
        <v>9959255200</v>
      </c>
      <c r="F230" s="6" t="s">
        <v>488</v>
      </c>
      <c r="G230" s="16">
        <f t="shared" si="12"/>
        <v>0.0275229357798165</v>
      </c>
      <c r="H230" s="16">
        <f t="shared" si="13"/>
        <v>2.82874617737003</v>
      </c>
      <c r="I230" s="16">
        <f t="shared" si="14"/>
        <v>102.777777777778</v>
      </c>
      <c r="J230" s="6">
        <v>0.98</v>
      </c>
      <c r="K230" s="6">
        <v>0.468104618660277</v>
      </c>
      <c r="L230" s="6">
        <v>13.3586</v>
      </c>
      <c r="M230" s="6">
        <v>13.358</v>
      </c>
      <c r="N230" s="6"/>
      <c r="O230" s="6"/>
      <c r="P230" s="6"/>
      <c r="Q230" s="6">
        <v>3.27</v>
      </c>
      <c r="R230" s="19">
        <f t="shared" si="15"/>
        <v>0</v>
      </c>
    </row>
    <row r="231" s="4" customFormat="1" spans="1:18">
      <c r="A231" s="4">
        <v>1470</v>
      </c>
      <c r="B231" s="4">
        <v>0.285</v>
      </c>
      <c r="C231" s="4">
        <v>0.275</v>
      </c>
      <c r="D231" s="4">
        <v>1.6</v>
      </c>
      <c r="E231" s="13">
        <v>228000000</v>
      </c>
      <c r="F231" s="4" t="s">
        <v>120</v>
      </c>
      <c r="G231" s="14">
        <f t="shared" si="12"/>
        <v>0.0350877192982455</v>
      </c>
      <c r="H231" s="14">
        <f t="shared" si="13"/>
        <v>5.6140350877193</v>
      </c>
      <c r="I231" s="14">
        <f t="shared" si="14"/>
        <v>160.000000000001</v>
      </c>
      <c r="J231" s="4">
        <v>1.3</v>
      </c>
      <c r="K231" s="4">
        <v>0.661252900232018</v>
      </c>
      <c r="L231" s="4">
        <v>14.1002</v>
      </c>
      <c r="M231" s="4">
        <v>10.556</v>
      </c>
      <c r="Q231" s="4">
        <v>0.285</v>
      </c>
      <c r="R231" s="18">
        <f t="shared" si="15"/>
        <v>0</v>
      </c>
    </row>
    <row r="232" s="4" customFormat="1" spans="1:18">
      <c r="A232" s="4">
        <v>15</v>
      </c>
      <c r="B232" s="4">
        <v>0.51</v>
      </c>
      <c r="C232" s="4">
        <v>0.49</v>
      </c>
      <c r="D232" s="4">
        <v>0.94</v>
      </c>
      <c r="E232" s="13">
        <v>908265488</v>
      </c>
      <c r="F232" s="4" t="s">
        <v>74</v>
      </c>
      <c r="G232" s="14">
        <f t="shared" si="12"/>
        <v>0.0392156862745099</v>
      </c>
      <c r="H232" s="14">
        <f t="shared" si="13"/>
        <v>1.84313725490196</v>
      </c>
      <c r="I232" s="17">
        <f t="shared" si="14"/>
        <v>46.9999999999999</v>
      </c>
      <c r="J232" s="4">
        <v>0.39</v>
      </c>
      <c r="K232" s="4">
        <v>0.262096774193548</v>
      </c>
      <c r="L232" s="4">
        <v>6.7529</v>
      </c>
      <c r="M232" s="4">
        <v>6.623</v>
      </c>
      <c r="Q232" s="4">
        <v>0.51</v>
      </c>
      <c r="R232" s="18">
        <f t="shared" si="15"/>
        <v>0</v>
      </c>
    </row>
    <row r="233" s="4" customFormat="1" spans="1:18">
      <c r="A233" s="6">
        <v>816</v>
      </c>
      <c r="B233" s="6">
        <v>1.46</v>
      </c>
      <c r="C233" s="6">
        <v>1.39</v>
      </c>
      <c r="D233" s="6">
        <v>5.01</v>
      </c>
      <c r="E233" s="15">
        <v>3983845836</v>
      </c>
      <c r="F233" s="6" t="s">
        <v>539</v>
      </c>
      <c r="G233" s="16">
        <f t="shared" si="12"/>
        <v>0.0479452054794521</v>
      </c>
      <c r="H233" s="16">
        <f t="shared" si="13"/>
        <v>3.43150684931507</v>
      </c>
      <c r="I233" s="16">
        <f t="shared" si="14"/>
        <v>71.5714285714284</v>
      </c>
      <c r="J233" s="6">
        <v>0.58</v>
      </c>
      <c r="K233" s="6">
        <v>0.685806854596151</v>
      </c>
      <c r="L233" s="6">
        <v>5.5819</v>
      </c>
      <c r="M233" s="6">
        <v>4.99</v>
      </c>
      <c r="N233" s="6"/>
      <c r="O233" s="6"/>
      <c r="P233" s="6"/>
      <c r="Q233" s="6">
        <v>1.46</v>
      </c>
      <c r="R233" s="19">
        <f t="shared" si="15"/>
        <v>0</v>
      </c>
    </row>
    <row r="234" s="4" customFormat="1" spans="1:18">
      <c r="A234" s="4">
        <v>1273</v>
      </c>
      <c r="B234" s="4">
        <v>0.75</v>
      </c>
      <c r="C234" s="4">
        <v>0.7</v>
      </c>
      <c r="D234" s="4">
        <v>1.58</v>
      </c>
      <c r="E234" s="13">
        <v>298800000</v>
      </c>
      <c r="F234" s="4" t="s">
        <v>115</v>
      </c>
      <c r="G234" s="14">
        <f t="shared" si="12"/>
        <v>0.0666666666666668</v>
      </c>
      <c r="H234" s="14">
        <f t="shared" si="13"/>
        <v>2.10666666666667</v>
      </c>
      <c r="I234" s="17">
        <f t="shared" si="14"/>
        <v>31.6</v>
      </c>
      <c r="J234" s="4">
        <v>0.67</v>
      </c>
      <c r="K234" s="4">
        <v>2.65193370165745</v>
      </c>
      <c r="L234" s="4">
        <v>5.8864</v>
      </c>
      <c r="M234" s="4">
        <v>5.887</v>
      </c>
      <c r="Q234" s="4">
        <v>0.75</v>
      </c>
      <c r="R234" s="18">
        <f t="shared" si="15"/>
        <v>0</v>
      </c>
    </row>
    <row r="235" s="4" customFormat="1" spans="1:18">
      <c r="A235" s="6">
        <v>434</v>
      </c>
      <c r="B235" s="6">
        <v>2.56</v>
      </c>
      <c r="C235" s="6">
        <v>2.34</v>
      </c>
      <c r="D235" s="6">
        <v>10.86</v>
      </c>
      <c r="E235" s="15">
        <v>1973873499.84</v>
      </c>
      <c r="F235" s="6" t="s">
        <v>557</v>
      </c>
      <c r="G235" s="16">
        <f t="shared" si="12"/>
        <v>0.0859375000000001</v>
      </c>
      <c r="H235" s="16">
        <f t="shared" si="13"/>
        <v>4.2421875</v>
      </c>
      <c r="I235" s="16">
        <f t="shared" si="14"/>
        <v>49.3636363636363</v>
      </c>
      <c r="J235" s="6">
        <v>1.03</v>
      </c>
      <c r="K235" s="6">
        <v>1.82126963388668</v>
      </c>
      <c r="L235" s="6">
        <v>5.6365</v>
      </c>
      <c r="M235" s="6">
        <v>4.867</v>
      </c>
      <c r="N235" s="6"/>
      <c r="O235" s="6"/>
      <c r="Q235" s="6">
        <v>2.56</v>
      </c>
      <c r="R235" s="18">
        <f t="shared" si="15"/>
        <v>0</v>
      </c>
    </row>
    <row r="236" s="6" customFormat="1" spans="1:18">
      <c r="A236" s="6">
        <v>445</v>
      </c>
      <c r="B236" s="6">
        <v>0.285</v>
      </c>
      <c r="C236" s="6">
        <v>0.25</v>
      </c>
      <c r="D236" s="6">
        <v>1.05</v>
      </c>
      <c r="E236" s="15">
        <v>1223571429</v>
      </c>
      <c r="F236" s="6" t="s">
        <v>90</v>
      </c>
      <c r="G236" s="16">
        <f t="shared" si="12"/>
        <v>0.12280701754386</v>
      </c>
      <c r="H236" s="16">
        <f t="shared" si="13"/>
        <v>3.68421052631579</v>
      </c>
      <c r="I236" s="16">
        <f t="shared" si="14"/>
        <v>30</v>
      </c>
      <c r="J236" s="6">
        <v>1.09</v>
      </c>
      <c r="K236" s="6">
        <v>0.832044404102001</v>
      </c>
      <c r="Q236" s="6">
        <v>0.285</v>
      </c>
      <c r="R236" s="19">
        <f t="shared" si="15"/>
        <v>0</v>
      </c>
    </row>
    <row r="237" s="4" customFormat="1" spans="1:18">
      <c r="A237" s="4">
        <v>1639</v>
      </c>
      <c r="B237" s="4">
        <v>0.65</v>
      </c>
      <c r="C237" s="4">
        <v>0.56</v>
      </c>
      <c r="D237" s="4">
        <v>3.8</v>
      </c>
      <c r="E237" s="13">
        <v>602356700</v>
      </c>
      <c r="F237" s="4" t="s">
        <v>516</v>
      </c>
      <c r="G237" s="14">
        <f t="shared" si="12"/>
        <v>0.138461538461538</v>
      </c>
      <c r="H237" s="14">
        <f t="shared" si="13"/>
        <v>5.84615384615385</v>
      </c>
      <c r="I237" s="14">
        <f t="shared" si="14"/>
        <v>42.2222222222222</v>
      </c>
      <c r="J237" s="4">
        <v>1.15</v>
      </c>
      <c r="K237" s="4">
        <v>0.941648656992899</v>
      </c>
      <c r="L237" s="4">
        <v>20.3781</v>
      </c>
      <c r="M237" s="4">
        <v>20.9</v>
      </c>
      <c r="Q237" s="4">
        <v>0.65</v>
      </c>
      <c r="R237" s="18">
        <f t="shared" si="15"/>
        <v>0</v>
      </c>
    </row>
    <row r="238" s="6" customFormat="1" spans="1:18">
      <c r="A238" s="4">
        <v>940</v>
      </c>
      <c r="B238" s="4">
        <v>5.2</v>
      </c>
      <c r="C238" s="4">
        <v>4.3</v>
      </c>
      <c r="D238" s="4">
        <v>8.09</v>
      </c>
      <c r="E238" s="13">
        <v>10223147235.6</v>
      </c>
      <c r="F238" s="4" t="s">
        <v>550</v>
      </c>
      <c r="G238" s="14">
        <f t="shared" si="12"/>
        <v>0.173076923076923</v>
      </c>
      <c r="H238" s="14">
        <f t="shared" si="13"/>
        <v>1.55576923076923</v>
      </c>
      <c r="I238" s="17">
        <f t="shared" si="14"/>
        <v>8.98888888888889</v>
      </c>
      <c r="J238" s="4">
        <v>4.91</v>
      </c>
      <c r="K238" s="4">
        <v>8.05899431809904</v>
      </c>
      <c r="L238" s="4">
        <v>42.8431</v>
      </c>
      <c r="M238" s="4">
        <v>37.599</v>
      </c>
      <c r="N238" s="4"/>
      <c r="O238" s="4"/>
      <c r="P238" s="4"/>
      <c r="Q238" s="4">
        <v>5.2</v>
      </c>
      <c r="R238" s="18">
        <f t="shared" si="15"/>
        <v>0</v>
      </c>
    </row>
    <row r="239" s="4" customFormat="1" spans="1:18">
      <c r="A239" s="4">
        <v>863</v>
      </c>
      <c r="B239" s="4">
        <v>3.2</v>
      </c>
      <c r="C239" s="4">
        <v>2.46</v>
      </c>
      <c r="D239" s="4">
        <v>4.2</v>
      </c>
      <c r="E239" s="13">
        <v>765111601.4</v>
      </c>
      <c r="F239" s="4" t="s">
        <v>343</v>
      </c>
      <c r="G239" s="14">
        <f t="shared" si="12"/>
        <v>0.23125</v>
      </c>
      <c r="H239" s="14">
        <f t="shared" si="13"/>
        <v>1.3125</v>
      </c>
      <c r="I239" s="17">
        <f t="shared" si="14"/>
        <v>5.67567567567567</v>
      </c>
      <c r="J239" s="4">
        <v>1.47</v>
      </c>
      <c r="K239" s="4">
        <v>2.04267506670882</v>
      </c>
      <c r="L239" s="4">
        <v>14.9159</v>
      </c>
      <c r="M239" s="4">
        <v>15.399</v>
      </c>
      <c r="Q239" s="4">
        <v>3.2</v>
      </c>
      <c r="R239" s="18">
        <f t="shared" si="15"/>
        <v>0</v>
      </c>
    </row>
    <row r="240" s="4" customFormat="1" spans="1:18">
      <c r="A240" s="4">
        <v>651</v>
      </c>
      <c r="B240" s="4">
        <v>0.178</v>
      </c>
      <c r="C240" s="4">
        <v>0.127</v>
      </c>
      <c r="D240" s="4">
        <v>0.45</v>
      </c>
      <c r="E240" s="13">
        <v>2135641123.52</v>
      </c>
      <c r="F240" s="4" t="s">
        <v>179</v>
      </c>
      <c r="G240" s="14">
        <f t="shared" si="12"/>
        <v>0.286516853932584</v>
      </c>
      <c r="H240" s="14">
        <f t="shared" si="13"/>
        <v>2.52808988764045</v>
      </c>
      <c r="I240" s="17">
        <f t="shared" si="14"/>
        <v>8.82352941176471</v>
      </c>
      <c r="J240" s="4">
        <v>0</v>
      </c>
      <c r="K240" s="4">
        <v>13.5877862595419</v>
      </c>
      <c r="Q240" s="4">
        <v>0.178</v>
      </c>
      <c r="R240" s="18">
        <f t="shared" si="15"/>
        <v>0</v>
      </c>
    </row>
    <row r="241" s="4" customFormat="1" spans="1:18">
      <c r="A241" s="4">
        <v>735</v>
      </c>
      <c r="B241" s="4">
        <v>0.58</v>
      </c>
      <c r="C241" s="4">
        <v>0.38</v>
      </c>
      <c r="D241" s="4">
        <v>0.84</v>
      </c>
      <c r="E241" s="13">
        <v>7001137161.48</v>
      </c>
      <c r="F241" s="4" t="s">
        <v>273</v>
      </c>
      <c r="G241" s="14">
        <f t="shared" si="12"/>
        <v>0.344827586206896</v>
      </c>
      <c r="H241" s="14">
        <f t="shared" si="13"/>
        <v>1.44827586206897</v>
      </c>
      <c r="I241" s="17">
        <f t="shared" si="14"/>
        <v>4.2</v>
      </c>
      <c r="J241" s="4">
        <v>0.7</v>
      </c>
      <c r="K241" s="4">
        <v>2.19601904179277</v>
      </c>
      <c r="L241" s="4">
        <v>20.3759</v>
      </c>
      <c r="M241" s="4">
        <v>19.661</v>
      </c>
      <c r="Q241" s="4">
        <v>0.58</v>
      </c>
      <c r="R241" s="18">
        <f t="shared" si="15"/>
        <v>0</v>
      </c>
    </row>
    <row r="242" s="4" customFormat="1" spans="1:18">
      <c r="A242" s="4">
        <v>605</v>
      </c>
      <c r="B242" s="4">
        <v>0.52</v>
      </c>
      <c r="C242" s="4">
        <v>0.31</v>
      </c>
      <c r="D242" s="4">
        <v>1.15</v>
      </c>
      <c r="E242" s="13">
        <v>2047965758.08</v>
      </c>
      <c r="F242" s="4" t="s">
        <v>94</v>
      </c>
      <c r="G242" s="14">
        <f t="shared" si="12"/>
        <v>0.403846153846154</v>
      </c>
      <c r="H242" s="14">
        <f t="shared" si="13"/>
        <v>2.21153846153846</v>
      </c>
      <c r="I242" s="17">
        <f t="shared" si="14"/>
        <v>5.47619047619048</v>
      </c>
      <c r="J242" s="4">
        <v>0.69</v>
      </c>
      <c r="K242" s="4">
        <v>2.96752519596864</v>
      </c>
      <c r="L242" s="4">
        <v>6.9746</v>
      </c>
      <c r="M242" s="4">
        <v>5.916</v>
      </c>
      <c r="Q242" s="4">
        <v>0.52</v>
      </c>
      <c r="R242" s="18">
        <f t="shared" si="15"/>
        <v>0</v>
      </c>
    </row>
    <row r="243" s="4" customFormat="1" spans="1:18">
      <c r="A243" s="4">
        <v>1428</v>
      </c>
      <c r="B243" s="4">
        <v>1.93</v>
      </c>
      <c r="C243" s="4">
        <v>1.12</v>
      </c>
      <c r="D243" s="4">
        <v>5.08</v>
      </c>
      <c r="E243" s="13">
        <v>3359177985.24</v>
      </c>
      <c r="F243" s="4" t="s">
        <v>68</v>
      </c>
      <c r="G243" s="14">
        <f t="shared" si="12"/>
        <v>0.419689119170984</v>
      </c>
      <c r="H243" s="14">
        <f t="shared" si="13"/>
        <v>2.63212435233161</v>
      </c>
      <c r="I243" s="17">
        <f t="shared" si="14"/>
        <v>6.27160493827161</v>
      </c>
      <c r="J243" s="4">
        <v>1.76</v>
      </c>
      <c r="K243" s="4">
        <v>3.43988881167477</v>
      </c>
      <c r="L243" s="4">
        <v>14.994</v>
      </c>
      <c r="M243" s="4">
        <v>12.689</v>
      </c>
      <c r="Q243" s="4">
        <v>1.93</v>
      </c>
      <c r="R243" s="18">
        <f t="shared" si="15"/>
        <v>0</v>
      </c>
    </row>
    <row r="244" s="4" customFormat="1" spans="1:18">
      <c r="A244" s="4">
        <v>2999</v>
      </c>
      <c r="B244" s="4">
        <v>1.71</v>
      </c>
      <c r="C244" s="4">
        <v>0.97</v>
      </c>
      <c r="D244" s="4">
        <v>2.36</v>
      </c>
      <c r="E244" s="13">
        <v>15839031037.5</v>
      </c>
      <c r="F244" s="4" t="s">
        <v>486</v>
      </c>
      <c r="G244" s="14">
        <f t="shared" si="12"/>
        <v>0.432748538011696</v>
      </c>
      <c r="H244" s="14">
        <f t="shared" si="13"/>
        <v>1.38011695906433</v>
      </c>
      <c r="I244" s="17">
        <f t="shared" si="14"/>
        <v>3.18918918918919</v>
      </c>
      <c r="J244" s="4">
        <v>5.15</v>
      </c>
      <c r="K244" s="14">
        <v>13.616206438889</v>
      </c>
      <c r="L244" s="4">
        <v>222.951</v>
      </c>
      <c r="Q244" s="4">
        <v>1.71</v>
      </c>
      <c r="R244" s="18">
        <f t="shared" si="15"/>
        <v>0</v>
      </c>
    </row>
    <row r="245" s="6" customFormat="1" spans="1:18">
      <c r="A245" s="4">
        <v>717</v>
      </c>
      <c r="B245" s="4">
        <v>0.57</v>
      </c>
      <c r="C245" s="4">
        <v>0.28</v>
      </c>
      <c r="D245" s="4">
        <v>2.03</v>
      </c>
      <c r="E245" s="13">
        <v>3333808519.92</v>
      </c>
      <c r="F245" s="4" t="s">
        <v>680</v>
      </c>
      <c r="G245" s="14">
        <f t="shared" si="12"/>
        <v>0.508771929824561</v>
      </c>
      <c r="H245" s="14">
        <f t="shared" si="13"/>
        <v>3.56140350877193</v>
      </c>
      <c r="I245" s="14">
        <f t="shared" si="14"/>
        <v>7</v>
      </c>
      <c r="J245" s="4">
        <v>0.92</v>
      </c>
      <c r="K245" s="4">
        <v>3.95904436860068</v>
      </c>
      <c r="L245" s="4">
        <v>7.7485</v>
      </c>
      <c r="M245" s="4">
        <v>5.583</v>
      </c>
      <c r="N245" s="4"/>
      <c r="O245" s="4"/>
      <c r="P245" s="4"/>
      <c r="Q245" s="4">
        <v>0.57</v>
      </c>
      <c r="R245" s="18">
        <f t="shared" si="15"/>
        <v>0</v>
      </c>
    </row>
    <row r="246" s="4" customFormat="1" spans="1:18">
      <c r="A246" s="4">
        <v>3813</v>
      </c>
      <c r="B246" s="4">
        <v>1.43</v>
      </c>
      <c r="C246" s="4">
        <v>0.47</v>
      </c>
      <c r="D246" s="4">
        <v>1.88</v>
      </c>
      <c r="E246" s="13">
        <v>8284181467.1</v>
      </c>
      <c r="F246" s="4" t="s">
        <v>49</v>
      </c>
      <c r="G246" s="14">
        <f t="shared" si="12"/>
        <v>0.671328671328671</v>
      </c>
      <c r="H246" s="14">
        <f t="shared" si="13"/>
        <v>1.31468531468531</v>
      </c>
      <c r="I246" s="17">
        <f t="shared" si="14"/>
        <v>1.95833333333333</v>
      </c>
      <c r="J246" s="4">
        <v>1.2</v>
      </c>
      <c r="K246" s="14">
        <v>0.446713032423992</v>
      </c>
      <c r="L246" s="4">
        <v>229.7512</v>
      </c>
      <c r="M246" s="4">
        <v>213.433</v>
      </c>
      <c r="Q246" s="4">
        <v>1.43</v>
      </c>
      <c r="R246" s="18">
        <f t="shared" si="15"/>
        <v>0</v>
      </c>
    </row>
    <row r="247" s="4" customFormat="1" spans="1:18">
      <c r="A247" s="4">
        <v>708</v>
      </c>
      <c r="B247" s="4">
        <v>1.6</v>
      </c>
      <c r="C247" s="4">
        <v>0.25</v>
      </c>
      <c r="D247" s="4">
        <v>16.1</v>
      </c>
      <c r="E247" s="13">
        <v>14515200000</v>
      </c>
      <c r="F247" s="4" t="s">
        <v>439</v>
      </c>
      <c r="G247" s="14">
        <f t="shared" si="12"/>
        <v>0.84375</v>
      </c>
      <c r="H247" s="14">
        <f t="shared" si="13"/>
        <v>10.0625</v>
      </c>
      <c r="I247" s="14">
        <f t="shared" si="14"/>
        <v>11.9259259259259</v>
      </c>
      <c r="J247" s="4">
        <v>25.26</v>
      </c>
      <c r="K247" s="4">
        <v>3.46677672307057</v>
      </c>
      <c r="L247" s="4">
        <v>1254.5603</v>
      </c>
      <c r="M247" s="4">
        <v>1230.769</v>
      </c>
      <c r="Q247" s="4">
        <v>1.6</v>
      </c>
      <c r="R247" s="18">
        <f t="shared" si="15"/>
        <v>0</v>
      </c>
    </row>
    <row r="248" s="4" customFormat="1" spans="1:18">
      <c r="A248" s="4">
        <v>222</v>
      </c>
      <c r="B248" s="4">
        <v>6.84</v>
      </c>
      <c r="C248" s="4">
        <v>4.12</v>
      </c>
      <c r="D248" s="4">
        <v>7.85</v>
      </c>
      <c r="E248" s="13">
        <v>3147086293.6</v>
      </c>
      <c r="F248" s="4" t="s">
        <v>82</v>
      </c>
      <c r="G248" s="14">
        <f t="shared" si="12"/>
        <v>0.39766081871345</v>
      </c>
      <c r="H248" s="14">
        <f t="shared" si="13"/>
        <v>1.14766081871345</v>
      </c>
      <c r="I248" s="17">
        <f t="shared" si="14"/>
        <v>2.88602941176471</v>
      </c>
      <c r="J248" s="4">
        <v>0.56</v>
      </c>
      <c r="K248" s="4">
        <v>21.5138190954773</v>
      </c>
      <c r="L248" s="4">
        <v>6.6579</v>
      </c>
      <c r="M248" s="4">
        <v>6.658</v>
      </c>
      <c r="Q248" s="4">
        <v>6.85</v>
      </c>
      <c r="R248" s="18">
        <f t="shared" si="15"/>
        <v>-0.00145985401459847</v>
      </c>
    </row>
    <row r="249" s="6" customFormat="1" spans="1:18">
      <c r="A249" s="4">
        <v>546</v>
      </c>
      <c r="B249" s="4">
        <v>2.59</v>
      </c>
      <c r="C249" s="4">
        <v>2.43</v>
      </c>
      <c r="D249" s="4">
        <v>6.82</v>
      </c>
      <c r="E249" s="13">
        <v>5380512121.49</v>
      </c>
      <c r="F249" s="4" t="s">
        <v>560</v>
      </c>
      <c r="G249" s="14">
        <f t="shared" si="12"/>
        <v>0.0617760617760617</v>
      </c>
      <c r="H249" s="14">
        <f t="shared" si="13"/>
        <v>2.63320463320463</v>
      </c>
      <c r="I249" s="17">
        <f t="shared" si="14"/>
        <v>42.6250000000001</v>
      </c>
      <c r="J249" s="4">
        <v>0.76</v>
      </c>
      <c r="K249" s="4">
        <v>0.374186644688826</v>
      </c>
      <c r="L249" s="4">
        <v>6.8692</v>
      </c>
      <c r="M249" s="4">
        <v>6.935</v>
      </c>
      <c r="N249" s="4"/>
      <c r="O249" s="4"/>
      <c r="P249" s="4"/>
      <c r="Q249" s="4">
        <v>2.6</v>
      </c>
      <c r="R249" s="18">
        <f t="shared" si="15"/>
        <v>-0.00384615384615394</v>
      </c>
    </row>
    <row r="250" s="6" customFormat="1" spans="1:18">
      <c r="A250" s="4">
        <v>1415</v>
      </c>
      <c r="B250" s="4">
        <v>2.25</v>
      </c>
      <c r="C250" s="4">
        <v>2.11</v>
      </c>
      <c r="D250" s="4">
        <v>8.85</v>
      </c>
      <c r="E250" s="13">
        <v>2062166624</v>
      </c>
      <c r="F250" s="4" t="s">
        <v>119</v>
      </c>
      <c r="G250" s="14">
        <f t="shared" si="12"/>
        <v>0.0622222222222223</v>
      </c>
      <c r="H250" s="14">
        <f t="shared" si="13"/>
        <v>3.93333333333333</v>
      </c>
      <c r="I250" s="14">
        <f t="shared" si="14"/>
        <v>63.2142857142856</v>
      </c>
      <c r="J250" s="4">
        <v>1</v>
      </c>
      <c r="K250" s="4">
        <v>0.287921147574005</v>
      </c>
      <c r="L250" s="4">
        <v>4.9936</v>
      </c>
      <c r="M250" s="4">
        <v>4.095</v>
      </c>
      <c r="N250" s="4"/>
      <c r="O250" s="4"/>
      <c r="P250" s="4"/>
      <c r="Q250" s="4">
        <v>2.26</v>
      </c>
      <c r="R250" s="18">
        <f t="shared" si="15"/>
        <v>-0.00442477876106184</v>
      </c>
    </row>
    <row r="251" s="4" customFormat="1" spans="1:18">
      <c r="A251" s="4">
        <v>1052</v>
      </c>
      <c r="B251" s="4">
        <v>4.3</v>
      </c>
      <c r="C251" s="4">
        <v>4.28</v>
      </c>
      <c r="D251" s="4">
        <v>6.09</v>
      </c>
      <c r="E251" s="13">
        <v>7244792737.35</v>
      </c>
      <c r="F251" s="4" t="s">
        <v>530</v>
      </c>
      <c r="G251" s="14">
        <f t="shared" si="12"/>
        <v>0.00465116279069755</v>
      </c>
      <c r="H251" s="14">
        <f t="shared" si="13"/>
        <v>1.41627906976744</v>
      </c>
      <c r="I251" s="17">
        <f t="shared" si="14"/>
        <v>304.500000000008</v>
      </c>
      <c r="J251" s="4">
        <v>0.69</v>
      </c>
      <c r="K251" s="4">
        <v>2.95188429955187</v>
      </c>
      <c r="L251" s="4">
        <v>9.5081</v>
      </c>
      <c r="M251" s="4">
        <v>9.486</v>
      </c>
      <c r="Q251" s="4">
        <v>4.32</v>
      </c>
      <c r="R251" s="18">
        <f t="shared" si="15"/>
        <v>-0.00462962962962976</v>
      </c>
    </row>
    <row r="252" s="6" customFormat="1" spans="1:18">
      <c r="A252" s="4">
        <v>1970</v>
      </c>
      <c r="B252" s="4">
        <v>49</v>
      </c>
      <c r="C252" s="4">
        <v>32.3</v>
      </c>
      <c r="D252" s="4">
        <v>60</v>
      </c>
      <c r="E252" s="13">
        <v>17943912500</v>
      </c>
      <c r="F252" s="4" t="s">
        <v>126</v>
      </c>
      <c r="G252" s="14">
        <f t="shared" si="12"/>
        <v>0.340816326530612</v>
      </c>
      <c r="H252" s="14">
        <f t="shared" si="13"/>
        <v>1.22448979591837</v>
      </c>
      <c r="I252" s="17">
        <f t="shared" si="14"/>
        <v>3.59281437125748</v>
      </c>
      <c r="J252" s="4" t="s">
        <v>127</v>
      </c>
      <c r="K252" s="4">
        <v>27.41</v>
      </c>
      <c r="L252" s="4">
        <v>101.5575</v>
      </c>
      <c r="M252" s="4"/>
      <c r="N252" s="4"/>
      <c r="O252" s="4"/>
      <c r="P252" s="4"/>
      <c r="Q252" s="4">
        <v>49.25</v>
      </c>
      <c r="R252" s="18">
        <f t="shared" si="15"/>
        <v>-0.00507614213197971</v>
      </c>
    </row>
    <row r="253" s="4" customFormat="1" spans="1:18">
      <c r="A253" s="4">
        <v>2339</v>
      </c>
      <c r="B253" s="4">
        <v>0.169</v>
      </c>
      <c r="C253" s="4">
        <v>0.167</v>
      </c>
      <c r="D253" s="4">
        <v>0.69</v>
      </c>
      <c r="E253" s="13">
        <v>1026260902.46</v>
      </c>
      <c r="F253" s="4" t="s">
        <v>19</v>
      </c>
      <c r="G253" s="14">
        <f t="shared" si="12"/>
        <v>0.0118343195266273</v>
      </c>
      <c r="H253" s="14">
        <f t="shared" si="13"/>
        <v>4.08284023668639</v>
      </c>
      <c r="I253" s="14">
        <f t="shared" si="14"/>
        <v>344.999999999998</v>
      </c>
      <c r="J253" s="4">
        <v>1.28</v>
      </c>
      <c r="K253" s="4">
        <v>0.321183688199206</v>
      </c>
      <c r="L253" s="4">
        <v>2.9793</v>
      </c>
      <c r="M253" s="4">
        <v>1.123</v>
      </c>
      <c r="Q253" s="4">
        <v>0.17</v>
      </c>
      <c r="R253" s="18">
        <f t="shared" si="15"/>
        <v>-0.00588235294117645</v>
      </c>
    </row>
    <row r="254" s="4" customFormat="1" spans="1:18">
      <c r="A254" s="4">
        <v>1314</v>
      </c>
      <c r="B254" s="4">
        <v>1.42</v>
      </c>
      <c r="C254" s="4">
        <v>1.35</v>
      </c>
      <c r="D254" s="4">
        <v>3.41</v>
      </c>
      <c r="E254" s="13">
        <v>1993546054.5</v>
      </c>
      <c r="F254" s="4" t="s">
        <v>525</v>
      </c>
      <c r="G254" s="14">
        <f t="shared" si="12"/>
        <v>0.0492957746478873</v>
      </c>
      <c r="H254" s="14">
        <f t="shared" si="13"/>
        <v>2.40140845070423</v>
      </c>
      <c r="I254" s="17">
        <f t="shared" si="14"/>
        <v>48.7142857142858</v>
      </c>
      <c r="J254" s="4">
        <v>1.63</v>
      </c>
      <c r="K254" s="4">
        <v>1.03898017832142</v>
      </c>
      <c r="L254" s="4">
        <v>12.6649</v>
      </c>
      <c r="M254" s="4">
        <v>12.779</v>
      </c>
      <c r="Q254" s="4">
        <v>1.43</v>
      </c>
      <c r="R254" s="18">
        <f t="shared" si="15"/>
        <v>-0.00699300699300698</v>
      </c>
    </row>
    <row r="255" s="4" customFormat="1" spans="1:18">
      <c r="A255" s="6">
        <v>2488</v>
      </c>
      <c r="B255" s="6">
        <v>6.95</v>
      </c>
      <c r="C255" s="6">
        <v>4.86</v>
      </c>
      <c r="D255" s="6">
        <v>33.8</v>
      </c>
      <c r="E255" s="15">
        <v>1201651200</v>
      </c>
      <c r="F255" s="6" t="s">
        <v>678</v>
      </c>
      <c r="G255" s="16">
        <f t="shared" si="12"/>
        <v>0.300719424460432</v>
      </c>
      <c r="H255" s="16">
        <f t="shared" si="13"/>
        <v>4.86330935251798</v>
      </c>
      <c r="I255" s="16">
        <f t="shared" si="14"/>
        <v>16.1722488038277</v>
      </c>
      <c r="J255" s="6">
        <v>2.61</v>
      </c>
      <c r="K255" s="6">
        <v>2.63018875607098</v>
      </c>
      <c r="L255" s="6"/>
      <c r="M255" s="6"/>
      <c r="N255" s="6"/>
      <c r="O255" s="6"/>
      <c r="Q255" s="6">
        <v>7</v>
      </c>
      <c r="R255" s="18">
        <f t="shared" si="15"/>
        <v>-0.00714285714285712</v>
      </c>
    </row>
    <row r="256" s="4" customFormat="1" spans="1:18">
      <c r="A256" s="4">
        <v>368</v>
      </c>
      <c r="B256" s="4">
        <v>1.2</v>
      </c>
      <c r="C256" s="4">
        <v>1.2</v>
      </c>
      <c r="D256" s="4">
        <v>2.55</v>
      </c>
      <c r="E256" s="13">
        <v>4990125000</v>
      </c>
      <c r="F256" s="4" t="s">
        <v>562</v>
      </c>
      <c r="G256" s="14">
        <f t="shared" si="12"/>
        <v>0</v>
      </c>
      <c r="H256" s="14">
        <f t="shared" si="13"/>
        <v>2.125</v>
      </c>
      <c r="I256" s="17" t="e">
        <f t="shared" si="14"/>
        <v>#DIV/0!</v>
      </c>
      <c r="J256" s="4">
        <v>0.31</v>
      </c>
      <c r="K256" s="4">
        <v>0.53023528422957</v>
      </c>
      <c r="L256" s="4">
        <v>345.541</v>
      </c>
      <c r="M256" s="4">
        <v>336.111</v>
      </c>
      <c r="Q256" s="4">
        <v>1.21</v>
      </c>
      <c r="R256" s="18">
        <f t="shared" si="15"/>
        <v>-0.00826446280991733</v>
      </c>
    </row>
    <row r="257" s="4" customFormat="1" spans="1:18">
      <c r="A257" s="4">
        <v>8326</v>
      </c>
      <c r="B257" s="4">
        <v>5.54</v>
      </c>
      <c r="C257" s="4">
        <v>1.28</v>
      </c>
      <c r="D257" s="4">
        <v>6.46</v>
      </c>
      <c r="E257" s="13">
        <v>2236000000</v>
      </c>
      <c r="F257" s="4" t="s">
        <v>194</v>
      </c>
      <c r="G257" s="14">
        <f t="shared" si="12"/>
        <v>0.768953068592058</v>
      </c>
      <c r="H257" s="14">
        <f t="shared" si="13"/>
        <v>1.16606498194946</v>
      </c>
      <c r="I257" s="17">
        <f t="shared" si="14"/>
        <v>1.51643192488263</v>
      </c>
      <c r="J257" s="4" t="s">
        <v>195</v>
      </c>
      <c r="K257" s="14" t="s">
        <v>196</v>
      </c>
      <c r="L257" s="4">
        <v>29.56</v>
      </c>
      <c r="M257" s="4">
        <v>8.31474044325449</v>
      </c>
      <c r="N257" s="4">
        <v>4148.423</v>
      </c>
      <c r="O257" s="4">
        <v>4300</v>
      </c>
      <c r="Q257" s="4">
        <v>5.59</v>
      </c>
      <c r="R257" s="18">
        <f t="shared" si="15"/>
        <v>-0.00894454382826471</v>
      </c>
    </row>
    <row r="258" s="4" customFormat="1" spans="1:18">
      <c r="A258" s="4">
        <v>343</v>
      </c>
      <c r="B258" s="4">
        <v>1.1</v>
      </c>
      <c r="C258" s="4">
        <v>0.83</v>
      </c>
      <c r="D258" s="4">
        <v>2.18</v>
      </c>
      <c r="E258" s="13">
        <v>1298684622.22</v>
      </c>
      <c r="F258" s="4" t="s">
        <v>356</v>
      </c>
      <c r="G258" s="14">
        <f t="shared" ref="G258:G321" si="16">1-C258/B258</f>
        <v>0.245454545454546</v>
      </c>
      <c r="H258" s="14">
        <f t="shared" ref="H258:H321" si="17">D258/B258</f>
        <v>1.98181818181818</v>
      </c>
      <c r="I258" s="17">
        <f t="shared" ref="I258:I321" si="18">H258/G258</f>
        <v>8.07407407407407</v>
      </c>
      <c r="J258" s="4">
        <v>4.91</v>
      </c>
      <c r="K258" s="4">
        <v>41.796875</v>
      </c>
      <c r="Q258" s="4">
        <v>1.11</v>
      </c>
      <c r="R258" s="18">
        <f t="shared" ref="R258:R321" si="19">B258/Q258-1</f>
        <v>-0.00900900900900903</v>
      </c>
    </row>
    <row r="259" s="4" customFormat="1" spans="1:18">
      <c r="A259" s="4">
        <v>3606</v>
      </c>
      <c r="B259" s="4">
        <v>16.1</v>
      </c>
      <c r="C259" s="4">
        <v>12.16</v>
      </c>
      <c r="D259" s="4">
        <v>22.85</v>
      </c>
      <c r="E259" s="13">
        <v>8514829408</v>
      </c>
      <c r="F259" s="4" t="s">
        <v>137</v>
      </c>
      <c r="G259" s="14">
        <f t="shared" si="16"/>
        <v>0.24472049689441</v>
      </c>
      <c r="H259" s="14">
        <f t="shared" si="17"/>
        <v>1.41925465838509</v>
      </c>
      <c r="I259" s="17">
        <f t="shared" si="18"/>
        <v>5.7994923857868</v>
      </c>
      <c r="J259" s="4">
        <v>2.22</v>
      </c>
      <c r="K259" s="14">
        <v>2.54436056381337</v>
      </c>
      <c r="L259" s="4">
        <v>15.2238</v>
      </c>
      <c r="Q259" s="4">
        <v>16.26</v>
      </c>
      <c r="R259" s="18">
        <f t="shared" si="19"/>
        <v>-0.00984009840098399</v>
      </c>
    </row>
    <row r="260" s="4" customFormat="1" spans="1:18">
      <c r="A260" s="4">
        <v>1680</v>
      </c>
      <c r="B260" s="4">
        <v>0.97</v>
      </c>
      <c r="C260" s="4">
        <v>0.92</v>
      </c>
      <c r="D260" s="4">
        <v>4.96</v>
      </c>
      <c r="E260" s="13">
        <v>6366761120</v>
      </c>
      <c r="F260" s="4" t="s">
        <v>358</v>
      </c>
      <c r="G260" s="14">
        <f t="shared" si="16"/>
        <v>0.0515463917525772</v>
      </c>
      <c r="H260" s="14">
        <f t="shared" si="17"/>
        <v>5.11340206185567</v>
      </c>
      <c r="I260" s="14">
        <f t="shared" si="18"/>
        <v>99.2000000000001</v>
      </c>
      <c r="J260" s="4">
        <v>0.86</v>
      </c>
      <c r="K260" s="4">
        <v>4.22119037568594</v>
      </c>
      <c r="L260" s="4">
        <v>13.2934</v>
      </c>
      <c r="M260" s="4">
        <v>13.137</v>
      </c>
      <c r="Q260" s="4">
        <v>0.98</v>
      </c>
      <c r="R260" s="18">
        <f t="shared" si="19"/>
        <v>-0.0102040816326531</v>
      </c>
    </row>
    <row r="261" s="4" customFormat="1" spans="1:18">
      <c r="A261" s="6">
        <v>1476</v>
      </c>
      <c r="B261" s="6">
        <v>3.84</v>
      </c>
      <c r="C261" s="6">
        <v>3.6</v>
      </c>
      <c r="D261" s="6">
        <v>7.09</v>
      </c>
      <c r="E261" s="15">
        <v>1839451680</v>
      </c>
      <c r="F261" s="6" t="s">
        <v>289</v>
      </c>
      <c r="G261" s="16">
        <f t="shared" si="16"/>
        <v>0.0624999999999999</v>
      </c>
      <c r="H261" s="16">
        <f t="shared" si="17"/>
        <v>1.84635416666667</v>
      </c>
      <c r="I261" s="16">
        <f t="shared" si="18"/>
        <v>29.5416666666667</v>
      </c>
      <c r="J261" s="6">
        <v>1.37</v>
      </c>
      <c r="K261" s="6">
        <v>12.3558</v>
      </c>
      <c r="L261" s="6"/>
      <c r="M261" s="6"/>
      <c r="N261" s="6"/>
      <c r="O261" s="6"/>
      <c r="P261" s="6"/>
      <c r="Q261" s="6">
        <v>3.88</v>
      </c>
      <c r="R261" s="19">
        <f t="shared" si="19"/>
        <v>-0.0103092783505154</v>
      </c>
    </row>
    <row r="262" s="4" customFormat="1" spans="1:18">
      <c r="A262" s="4">
        <v>2379</v>
      </c>
      <c r="B262" s="4">
        <v>0.96</v>
      </c>
      <c r="C262" s="4">
        <v>0.7</v>
      </c>
      <c r="D262" s="4">
        <v>5.4</v>
      </c>
      <c r="E262" s="13">
        <v>280484939.56</v>
      </c>
      <c r="F262" s="4" t="s">
        <v>287</v>
      </c>
      <c r="G262" s="14">
        <f t="shared" si="16"/>
        <v>0.270833333333333</v>
      </c>
      <c r="H262" s="14">
        <f t="shared" si="17"/>
        <v>5.625</v>
      </c>
      <c r="I262" s="14">
        <f t="shared" si="18"/>
        <v>20.7692307692308</v>
      </c>
      <c r="J262" s="4">
        <v>2.16</v>
      </c>
      <c r="K262" s="4">
        <v>30.9831849828928</v>
      </c>
      <c r="Q262" s="4">
        <v>0.97</v>
      </c>
      <c r="R262" s="18">
        <f t="shared" si="19"/>
        <v>-0.0103092783505154</v>
      </c>
    </row>
    <row r="263" s="4" customFormat="1" spans="1:18">
      <c r="A263" s="4">
        <v>465</v>
      </c>
      <c r="B263" s="4">
        <v>0.95</v>
      </c>
      <c r="C263" s="4">
        <v>0.8</v>
      </c>
      <c r="D263" s="4">
        <v>2.01</v>
      </c>
      <c r="E263" s="13">
        <v>298800000</v>
      </c>
      <c r="F263" s="4" t="s">
        <v>89</v>
      </c>
      <c r="G263" s="14">
        <f t="shared" si="16"/>
        <v>0.157894736842105</v>
      </c>
      <c r="H263" s="14">
        <f t="shared" si="17"/>
        <v>2.11578947368421</v>
      </c>
      <c r="I263" s="17">
        <f t="shared" si="18"/>
        <v>13.4</v>
      </c>
      <c r="J263" s="4">
        <v>0.42</v>
      </c>
      <c r="K263" s="4">
        <v>0.113467083319687</v>
      </c>
      <c r="L263" s="4">
        <v>6.9541</v>
      </c>
      <c r="M263" s="4">
        <v>6.957</v>
      </c>
      <c r="Q263" s="4">
        <v>0.96</v>
      </c>
      <c r="R263" s="18">
        <f t="shared" si="19"/>
        <v>-0.0104166666666666</v>
      </c>
    </row>
    <row r="264" s="4" customFormat="1" spans="1:18">
      <c r="A264" s="6">
        <v>2100</v>
      </c>
      <c r="B264" s="6">
        <v>0.46</v>
      </c>
      <c r="C264" s="6">
        <v>0.4</v>
      </c>
      <c r="D264" s="6">
        <v>1.63</v>
      </c>
      <c r="E264" s="15">
        <v>1343575840</v>
      </c>
      <c r="F264" s="6" t="s">
        <v>673</v>
      </c>
      <c r="G264" s="16">
        <f t="shared" si="16"/>
        <v>0.130434782608696</v>
      </c>
      <c r="H264" s="16">
        <f t="shared" si="17"/>
        <v>3.54347826086956</v>
      </c>
      <c r="I264" s="16">
        <f t="shared" si="18"/>
        <v>27.1666666666667</v>
      </c>
      <c r="J264" s="6">
        <v>0.76</v>
      </c>
      <c r="K264" s="6">
        <v>2.46195055418506</v>
      </c>
      <c r="L264" s="6"/>
      <c r="M264" s="6"/>
      <c r="N264" s="6"/>
      <c r="O264" s="6"/>
      <c r="Q264" s="6">
        <v>0.465</v>
      </c>
      <c r="R264" s="18">
        <f t="shared" si="19"/>
        <v>-0.010752688172043</v>
      </c>
    </row>
    <row r="265" s="6" customFormat="1" spans="1:18">
      <c r="A265" s="4">
        <v>1203</v>
      </c>
      <c r="B265" s="4">
        <v>0.87</v>
      </c>
      <c r="C265" s="4">
        <v>0.87</v>
      </c>
      <c r="D265" s="4">
        <v>2.23</v>
      </c>
      <c r="E265" s="13">
        <v>816833956.5</v>
      </c>
      <c r="F265" s="4" t="s">
        <v>110</v>
      </c>
      <c r="G265" s="14">
        <f t="shared" si="16"/>
        <v>0</v>
      </c>
      <c r="H265" s="14">
        <f t="shared" si="17"/>
        <v>2.5632183908046</v>
      </c>
      <c r="I265" s="17" t="e">
        <f t="shared" si="18"/>
        <v>#DIV/0!</v>
      </c>
      <c r="J265" s="4">
        <v>0.33</v>
      </c>
      <c r="K265" s="4">
        <v>0.291724741499465</v>
      </c>
      <c r="L265" s="4">
        <v>5.5121</v>
      </c>
      <c r="M265" s="4">
        <v>5.51</v>
      </c>
      <c r="N265" s="4"/>
      <c r="O265" s="4"/>
      <c r="P265" s="4"/>
      <c r="Q265" s="4">
        <v>0.88</v>
      </c>
      <c r="R265" s="18">
        <f t="shared" si="19"/>
        <v>-0.0113636363636364</v>
      </c>
    </row>
    <row r="266" s="4" customFormat="1" spans="1:18">
      <c r="A266" s="4">
        <v>926</v>
      </c>
      <c r="B266" s="4">
        <v>0.8</v>
      </c>
      <c r="C266" s="4">
        <v>0.48</v>
      </c>
      <c r="D266" s="4">
        <v>1.7</v>
      </c>
      <c r="E266" s="13">
        <v>1253576656</v>
      </c>
      <c r="F266" s="4" t="s">
        <v>690</v>
      </c>
      <c r="G266" s="14">
        <f t="shared" si="16"/>
        <v>0.4</v>
      </c>
      <c r="H266" s="14">
        <f t="shared" si="17"/>
        <v>2.125</v>
      </c>
      <c r="I266" s="17">
        <f t="shared" si="18"/>
        <v>5.3125</v>
      </c>
      <c r="J266" s="4">
        <v>0.87</v>
      </c>
      <c r="K266" s="4">
        <v>1.37140509297337</v>
      </c>
      <c r="L266" s="4">
        <v>22.2614</v>
      </c>
      <c r="M266" s="4">
        <v>22.011</v>
      </c>
      <c r="Q266" s="4">
        <v>0.81</v>
      </c>
      <c r="R266" s="18">
        <f t="shared" si="19"/>
        <v>-0.0123456790123457</v>
      </c>
    </row>
    <row r="267" s="4" customFormat="1" spans="1:18">
      <c r="A267" s="4">
        <v>1003</v>
      </c>
      <c r="B267" s="4">
        <v>2.05</v>
      </c>
      <c r="C267" s="4">
        <v>0.61</v>
      </c>
      <c r="D267" s="4">
        <v>6.8</v>
      </c>
      <c r="E267" s="13">
        <v>4801795248.64</v>
      </c>
      <c r="F267" s="4" t="s">
        <v>369</v>
      </c>
      <c r="G267" s="14">
        <f t="shared" si="16"/>
        <v>0.702439024390244</v>
      </c>
      <c r="H267" s="14">
        <f t="shared" si="17"/>
        <v>3.31707317073171</v>
      </c>
      <c r="I267" s="14">
        <f t="shared" si="18"/>
        <v>4.72222222222222</v>
      </c>
      <c r="J267" s="4">
        <v>4.75</v>
      </c>
      <c r="K267" s="4">
        <v>16.2627052384675</v>
      </c>
      <c r="Q267" s="4">
        <v>2.08</v>
      </c>
      <c r="R267" s="18">
        <f t="shared" si="19"/>
        <v>-0.0144230769230771</v>
      </c>
    </row>
    <row r="268" s="4" customFormat="1" spans="1:18">
      <c r="A268" s="6">
        <v>574</v>
      </c>
      <c r="B268" s="6">
        <v>0.67</v>
      </c>
      <c r="C268" s="6">
        <v>0.6</v>
      </c>
      <c r="D268" s="6">
        <v>2.48</v>
      </c>
      <c r="E268" s="15">
        <v>680000000</v>
      </c>
      <c r="F268" s="6" t="s">
        <v>93</v>
      </c>
      <c r="G268" s="16">
        <f t="shared" si="16"/>
        <v>0.104477611940299</v>
      </c>
      <c r="H268" s="16">
        <f t="shared" si="17"/>
        <v>3.70149253731343</v>
      </c>
      <c r="I268" s="16">
        <f t="shared" si="18"/>
        <v>35.4285714285714</v>
      </c>
      <c r="J268" s="6">
        <v>0.75</v>
      </c>
      <c r="K268" s="6">
        <v>0.587379021516384</v>
      </c>
      <c r="L268" s="6">
        <v>11.8367</v>
      </c>
      <c r="M268" s="6"/>
      <c r="N268" s="6"/>
      <c r="O268" s="6"/>
      <c r="Q268" s="6">
        <v>0.68</v>
      </c>
      <c r="R268" s="18">
        <f t="shared" si="19"/>
        <v>-0.0147058823529412</v>
      </c>
    </row>
    <row r="269" s="4" customFormat="1" spans="1:18">
      <c r="A269" s="4">
        <v>543</v>
      </c>
      <c r="B269" s="4">
        <v>2</v>
      </c>
      <c r="C269" s="4">
        <v>1.84</v>
      </c>
      <c r="D269" s="4">
        <v>5.16</v>
      </c>
      <c r="E269" s="13">
        <v>2364505791.56</v>
      </c>
      <c r="F269" s="4" t="s">
        <v>552</v>
      </c>
      <c r="G269" s="14">
        <f t="shared" si="16"/>
        <v>0.08</v>
      </c>
      <c r="H269" s="14">
        <f t="shared" si="17"/>
        <v>2.58</v>
      </c>
      <c r="I269" s="17">
        <f t="shared" si="18"/>
        <v>32.25</v>
      </c>
      <c r="J269" s="4">
        <v>2.17</v>
      </c>
      <c r="K269" s="4">
        <v>1.90858833519391</v>
      </c>
      <c r="L269" s="4">
        <v>8.5478</v>
      </c>
      <c r="M269" s="4">
        <v>8.117</v>
      </c>
      <c r="Q269" s="4">
        <v>2.03</v>
      </c>
      <c r="R269" s="18">
        <f t="shared" si="19"/>
        <v>-0.0147783251231526</v>
      </c>
    </row>
    <row r="270" s="4" customFormat="1" spans="1:18">
      <c r="A270" s="4">
        <v>817</v>
      </c>
      <c r="B270" s="4">
        <v>1.93</v>
      </c>
      <c r="C270" s="4">
        <v>1.73</v>
      </c>
      <c r="D270" s="4">
        <v>3.34</v>
      </c>
      <c r="E270" s="13">
        <v>21770493642.36</v>
      </c>
      <c r="F270" s="4" t="s">
        <v>185</v>
      </c>
      <c r="G270" s="14">
        <f t="shared" si="16"/>
        <v>0.103626943005181</v>
      </c>
      <c r="H270" s="14">
        <f t="shared" si="17"/>
        <v>1.73056994818653</v>
      </c>
      <c r="I270" s="17">
        <f t="shared" si="18"/>
        <v>16.7</v>
      </c>
      <c r="J270" s="4">
        <v>0.51</v>
      </c>
      <c r="K270" s="4">
        <v>1.37235116044399</v>
      </c>
      <c r="L270" s="4">
        <v>4.1107</v>
      </c>
      <c r="M270" s="4">
        <v>3.387</v>
      </c>
      <c r="Q270" s="4">
        <v>1.96</v>
      </c>
      <c r="R270" s="18">
        <f t="shared" si="19"/>
        <v>-0.0153061224489796</v>
      </c>
    </row>
    <row r="271" s="4" customFormat="1" spans="1:18">
      <c r="A271" s="4">
        <v>1776</v>
      </c>
      <c r="B271" s="4">
        <v>15.34</v>
      </c>
      <c r="C271" s="4">
        <v>9.9</v>
      </c>
      <c r="D271" s="4">
        <v>26.95</v>
      </c>
      <c r="E271" s="13">
        <v>27330846972</v>
      </c>
      <c r="F271" s="4" t="s">
        <v>125</v>
      </c>
      <c r="G271" s="14">
        <f t="shared" si="16"/>
        <v>0.354628422425033</v>
      </c>
      <c r="H271" s="14">
        <f t="shared" si="17"/>
        <v>1.75684485006519</v>
      </c>
      <c r="I271" s="17">
        <f t="shared" si="18"/>
        <v>4.95404411764706</v>
      </c>
      <c r="J271" s="4">
        <v>1.33</v>
      </c>
      <c r="K271" s="4">
        <v>2.04023706762005</v>
      </c>
      <c r="L271" s="4">
        <v>18.9064</v>
      </c>
      <c r="Q271" s="4">
        <v>15.58</v>
      </c>
      <c r="R271" s="18">
        <f t="shared" si="19"/>
        <v>-0.0154043645699615</v>
      </c>
    </row>
    <row r="272" s="4" customFormat="1" spans="1:18">
      <c r="A272" s="4">
        <v>698</v>
      </c>
      <c r="B272" s="4">
        <v>1.2</v>
      </c>
      <c r="C272" s="4">
        <v>0.77</v>
      </c>
      <c r="D272" s="4">
        <v>1.75</v>
      </c>
      <c r="E272" s="13">
        <v>7042549500</v>
      </c>
      <c r="F272" s="4" t="s">
        <v>472</v>
      </c>
      <c r="G272" s="14">
        <f t="shared" si="16"/>
        <v>0.358333333333333</v>
      </c>
      <c r="H272" s="14">
        <f t="shared" si="17"/>
        <v>1.45833333333333</v>
      </c>
      <c r="I272" s="17">
        <f t="shared" si="18"/>
        <v>4.06976744186047</v>
      </c>
      <c r="J272" s="4">
        <v>1.93</v>
      </c>
      <c r="K272" s="4">
        <v>1.16026789925478</v>
      </c>
      <c r="L272" s="4">
        <v>14.0373</v>
      </c>
      <c r="M272" s="4">
        <v>12.924</v>
      </c>
      <c r="Q272" s="4">
        <v>1.22</v>
      </c>
      <c r="R272" s="18">
        <f t="shared" si="19"/>
        <v>-0.0163934426229508</v>
      </c>
    </row>
    <row r="273" s="4" customFormat="1" spans="1:18">
      <c r="A273" s="4">
        <v>1036</v>
      </c>
      <c r="B273" s="4">
        <v>5.3</v>
      </c>
      <c r="C273" s="4">
        <v>4.99</v>
      </c>
      <c r="D273" s="4">
        <v>10.14</v>
      </c>
      <c r="E273" s="13">
        <v>2041126363.68</v>
      </c>
      <c r="F273" s="4" t="s">
        <v>173</v>
      </c>
      <c r="G273" s="14">
        <f t="shared" si="16"/>
        <v>0.0584905660377357</v>
      </c>
      <c r="H273" s="14">
        <f t="shared" si="17"/>
        <v>1.91320754716981</v>
      </c>
      <c r="I273" s="17">
        <f t="shared" si="18"/>
        <v>32.7096774193549</v>
      </c>
      <c r="J273" s="4">
        <v>0.76</v>
      </c>
      <c r="K273" s="4">
        <v>15.2591729761211</v>
      </c>
      <c r="L273" s="4">
        <v>14.8386</v>
      </c>
      <c r="M273" s="4">
        <v>10.472</v>
      </c>
      <c r="Q273" s="4">
        <v>5.39</v>
      </c>
      <c r="R273" s="18">
        <f t="shared" si="19"/>
        <v>-0.0166975881261595</v>
      </c>
    </row>
    <row r="274" s="4" customFormat="1" spans="1:18">
      <c r="A274" s="4">
        <v>2328</v>
      </c>
      <c r="B274" s="4">
        <v>12.36</v>
      </c>
      <c r="C274" s="4">
        <v>11.22</v>
      </c>
      <c r="D274" s="4">
        <v>20.15</v>
      </c>
      <c r="E274" s="13">
        <v>60805776314.84</v>
      </c>
      <c r="F274" s="4" t="s">
        <v>313</v>
      </c>
      <c r="G274" s="14">
        <f t="shared" si="16"/>
        <v>0.0922330097087378</v>
      </c>
      <c r="H274" s="14">
        <f t="shared" si="17"/>
        <v>1.63025889967638</v>
      </c>
      <c r="I274" s="17">
        <f t="shared" si="18"/>
        <v>17.6754385964912</v>
      </c>
      <c r="J274" s="4">
        <v>1.55</v>
      </c>
      <c r="K274" s="4">
        <v>5.73</v>
      </c>
      <c r="L274" s="4">
        <v>10.3722</v>
      </c>
      <c r="M274" s="4">
        <v>9.499</v>
      </c>
      <c r="Q274" s="4">
        <v>12.6</v>
      </c>
      <c r="R274" s="18">
        <f t="shared" si="19"/>
        <v>-0.0190476190476191</v>
      </c>
    </row>
    <row r="275" s="4" customFormat="1" spans="1:18">
      <c r="A275" s="4">
        <v>220</v>
      </c>
      <c r="B275" s="4">
        <v>5.1</v>
      </c>
      <c r="C275" s="4">
        <v>4.92</v>
      </c>
      <c r="D275" s="4">
        <v>8.19</v>
      </c>
      <c r="E275" s="13">
        <v>22633310160</v>
      </c>
      <c r="F275" s="4" t="s">
        <v>81</v>
      </c>
      <c r="G275" s="14">
        <f t="shared" si="16"/>
        <v>0.0352941176470588</v>
      </c>
      <c r="H275" s="14">
        <f t="shared" si="17"/>
        <v>1.60588235294118</v>
      </c>
      <c r="I275" s="17">
        <f t="shared" si="18"/>
        <v>45.5</v>
      </c>
      <c r="J275" s="4">
        <v>1.56</v>
      </c>
      <c r="K275" s="4">
        <v>0.739981530569381</v>
      </c>
      <c r="L275" s="4">
        <v>62.9084</v>
      </c>
      <c r="M275" s="4">
        <v>57.906</v>
      </c>
      <c r="Q275" s="4">
        <v>5.2</v>
      </c>
      <c r="R275" s="18">
        <f t="shared" si="19"/>
        <v>-0.0192307692307694</v>
      </c>
    </row>
    <row r="276" s="4" customFormat="1" spans="1:18">
      <c r="A276" s="4">
        <v>2380</v>
      </c>
      <c r="B276" s="4">
        <v>3.23</v>
      </c>
      <c r="C276" s="4">
        <v>3.1</v>
      </c>
      <c r="D276" s="4">
        <v>6.81</v>
      </c>
      <c r="E276" s="13">
        <v>24934008471.99</v>
      </c>
      <c r="F276" s="4" t="s">
        <v>432</v>
      </c>
      <c r="G276" s="14">
        <f t="shared" si="16"/>
        <v>0.0402476780185759</v>
      </c>
      <c r="H276" s="14">
        <f t="shared" si="17"/>
        <v>2.10835913312693</v>
      </c>
      <c r="I276" s="17">
        <f t="shared" si="18"/>
        <v>52.3846153846154</v>
      </c>
      <c r="J276" s="4">
        <v>0.74</v>
      </c>
      <c r="K276" s="4">
        <v>0.99317491371185</v>
      </c>
      <c r="L276" s="4">
        <v>7.2096</v>
      </c>
      <c r="M276" s="4">
        <v>6.327</v>
      </c>
      <c r="Q276" s="4">
        <v>3.3</v>
      </c>
      <c r="R276" s="18">
        <f t="shared" si="19"/>
        <v>-0.0212121212121211</v>
      </c>
    </row>
    <row r="277" s="6" customFormat="1" spans="1:18">
      <c r="A277" s="4">
        <v>3908</v>
      </c>
      <c r="B277" s="4">
        <v>10.08</v>
      </c>
      <c r="C277" s="4">
        <v>10</v>
      </c>
      <c r="D277" s="4">
        <v>13</v>
      </c>
      <c r="E277" s="13">
        <v>16144283658.78</v>
      </c>
      <c r="F277" s="4" t="s">
        <v>174</v>
      </c>
      <c r="G277" s="14">
        <f t="shared" si="16"/>
        <v>0.00793650793650791</v>
      </c>
      <c r="H277" s="14">
        <f t="shared" si="17"/>
        <v>1.28968253968254</v>
      </c>
      <c r="I277" s="17">
        <f t="shared" si="18"/>
        <v>162.500000000001</v>
      </c>
      <c r="J277" s="4">
        <v>1.61</v>
      </c>
      <c r="K277" s="14">
        <v>17.5163</v>
      </c>
      <c r="L277" s="4"/>
      <c r="M277" s="4"/>
      <c r="N277" s="4"/>
      <c r="O277" s="4"/>
      <c r="P277" s="4"/>
      <c r="Q277" s="4">
        <v>10.3</v>
      </c>
      <c r="R277" s="18">
        <f t="shared" si="19"/>
        <v>-0.021359223300971</v>
      </c>
    </row>
    <row r="278" s="4" customFormat="1" spans="1:18">
      <c r="A278" s="6">
        <v>819</v>
      </c>
      <c r="B278" s="6">
        <v>5.18</v>
      </c>
      <c r="C278" s="6">
        <v>1.8</v>
      </c>
      <c r="D278" s="6">
        <v>7.42</v>
      </c>
      <c r="E278" s="15">
        <v>6199225270</v>
      </c>
      <c r="F278" s="6" t="s">
        <v>538</v>
      </c>
      <c r="G278" s="16">
        <f t="shared" si="16"/>
        <v>0.652509652509653</v>
      </c>
      <c r="H278" s="16">
        <f t="shared" si="17"/>
        <v>1.43243243243243</v>
      </c>
      <c r="I278" s="16">
        <f t="shared" si="18"/>
        <v>2.19526627218935</v>
      </c>
      <c r="J278" s="6">
        <v>1.73</v>
      </c>
      <c r="K278" s="6">
        <v>0.316943111524205</v>
      </c>
      <c r="L278" s="6"/>
      <c r="M278" s="6"/>
      <c r="N278" s="6"/>
      <c r="O278" s="6"/>
      <c r="P278" s="6"/>
      <c r="Q278" s="6">
        <v>5.3</v>
      </c>
      <c r="R278" s="19">
        <f t="shared" si="19"/>
        <v>-0.0226415094339623</v>
      </c>
    </row>
    <row r="279" s="4" customFormat="1" spans="1:18">
      <c r="A279" s="4">
        <v>2202</v>
      </c>
      <c r="B279" s="4">
        <v>16.58</v>
      </c>
      <c r="C279" s="4">
        <v>13.36</v>
      </c>
      <c r="D279" s="4">
        <v>24.1</v>
      </c>
      <c r="E279" s="13">
        <v>23169515346.16</v>
      </c>
      <c r="F279" s="4" t="s">
        <v>170</v>
      </c>
      <c r="G279" s="14">
        <f t="shared" si="16"/>
        <v>0.194209891435464</v>
      </c>
      <c r="H279" s="14">
        <f t="shared" si="17"/>
        <v>1.45355850422195</v>
      </c>
      <c r="I279" s="17">
        <f t="shared" si="18"/>
        <v>7.48447204968944</v>
      </c>
      <c r="J279" s="4">
        <v>1.85</v>
      </c>
      <c r="K279" s="4">
        <v>1.57179515957991</v>
      </c>
      <c r="L279" s="4">
        <v>9.5207</v>
      </c>
      <c r="M279" s="4">
        <v>9.501</v>
      </c>
      <c r="Q279" s="4">
        <v>16.98</v>
      </c>
      <c r="R279" s="18">
        <f t="shared" si="19"/>
        <v>-0.0235571260306244</v>
      </c>
    </row>
    <row r="280" s="4" customFormat="1" spans="1:18">
      <c r="A280" s="4">
        <v>2369</v>
      </c>
      <c r="B280" s="4">
        <v>1.22</v>
      </c>
      <c r="C280" s="4">
        <v>1.08</v>
      </c>
      <c r="D280" s="4">
        <v>3.28</v>
      </c>
      <c r="E280" s="13">
        <v>5617167228</v>
      </c>
      <c r="F280" s="4" t="s">
        <v>677</v>
      </c>
      <c r="G280" s="14">
        <f t="shared" si="16"/>
        <v>0.114754098360656</v>
      </c>
      <c r="H280" s="14">
        <f t="shared" si="17"/>
        <v>2.68852459016393</v>
      </c>
      <c r="I280" s="17">
        <f t="shared" si="18"/>
        <v>23.4285714285714</v>
      </c>
      <c r="J280" s="4">
        <v>0.7</v>
      </c>
      <c r="K280" s="4">
        <v>0.241035893794727</v>
      </c>
      <c r="L280" s="4">
        <v>10.6131</v>
      </c>
      <c r="M280" s="4">
        <v>10.469</v>
      </c>
      <c r="Q280" s="4">
        <v>1.25</v>
      </c>
      <c r="R280" s="18">
        <f t="shared" si="19"/>
        <v>-0.024</v>
      </c>
    </row>
    <row r="281" s="4" customFormat="1" spans="1:18">
      <c r="A281" s="4">
        <v>1262</v>
      </c>
      <c r="B281" s="4">
        <v>0.79</v>
      </c>
      <c r="C281" s="4">
        <v>0.53</v>
      </c>
      <c r="D281" s="4">
        <v>1.73</v>
      </c>
      <c r="E281" s="13">
        <v>1076471370</v>
      </c>
      <c r="F281" s="4" t="s">
        <v>346</v>
      </c>
      <c r="G281" s="14">
        <f t="shared" si="16"/>
        <v>0.329113924050633</v>
      </c>
      <c r="H281" s="14">
        <f t="shared" si="17"/>
        <v>2.18987341772152</v>
      </c>
      <c r="I281" s="17">
        <f t="shared" si="18"/>
        <v>6.65384615384615</v>
      </c>
      <c r="J281" s="4">
        <v>0.43</v>
      </c>
      <c r="K281" s="4">
        <v>0.630678805204074</v>
      </c>
      <c r="L281" s="4">
        <v>77.461</v>
      </c>
      <c r="M281" s="4">
        <v>65.854</v>
      </c>
      <c r="Q281" s="4">
        <v>0.81</v>
      </c>
      <c r="R281" s="18">
        <f t="shared" si="19"/>
        <v>-0.0246913580246914</v>
      </c>
    </row>
    <row r="282" s="4" customFormat="1" spans="1:18">
      <c r="A282" s="4">
        <v>718</v>
      </c>
      <c r="B282" s="4">
        <v>0.78</v>
      </c>
      <c r="C282" s="4">
        <v>0.64</v>
      </c>
      <c r="D282" s="4">
        <v>1.89</v>
      </c>
      <c r="E282" s="13">
        <v>1200873948.8</v>
      </c>
      <c r="F282" s="4" t="s">
        <v>63</v>
      </c>
      <c r="G282" s="14">
        <f t="shared" si="16"/>
        <v>0.17948717948718</v>
      </c>
      <c r="H282" s="14">
        <f t="shared" si="17"/>
        <v>2.42307692307692</v>
      </c>
      <c r="I282" s="17">
        <f t="shared" si="18"/>
        <v>13.5</v>
      </c>
      <c r="J282" s="4">
        <v>1.25</v>
      </c>
      <c r="K282" s="4">
        <v>50.9554140127388</v>
      </c>
      <c r="Q282" s="4">
        <v>0.8</v>
      </c>
      <c r="R282" s="18">
        <f t="shared" si="19"/>
        <v>-0.025</v>
      </c>
    </row>
    <row r="283" s="4" customFormat="1" spans="1:18">
      <c r="A283" s="4">
        <v>3968</v>
      </c>
      <c r="B283" s="4">
        <v>14.04</v>
      </c>
      <c r="C283" s="4">
        <v>13.12</v>
      </c>
      <c r="D283" s="4">
        <v>26.85</v>
      </c>
      <c r="E283" s="13">
        <v>57875074400</v>
      </c>
      <c r="F283" s="4" t="s">
        <v>138</v>
      </c>
      <c r="G283" s="14">
        <f t="shared" si="16"/>
        <v>0.0655270655270656</v>
      </c>
      <c r="H283" s="14">
        <f t="shared" si="17"/>
        <v>1.91239316239316</v>
      </c>
      <c r="I283" s="17">
        <f t="shared" si="18"/>
        <v>29.1847826086956</v>
      </c>
      <c r="J283" s="4">
        <v>0.85</v>
      </c>
      <c r="K283" s="14">
        <v>1.42779391898267</v>
      </c>
      <c r="L283" s="4">
        <v>5.1949</v>
      </c>
      <c r="M283" s="4">
        <v>5.195</v>
      </c>
      <c r="Q283" s="4">
        <v>14.4</v>
      </c>
      <c r="R283" s="18">
        <f t="shared" si="19"/>
        <v>-0.0250000000000001</v>
      </c>
    </row>
    <row r="284" s="6" customFormat="1" spans="1:18">
      <c r="A284" s="4">
        <v>206</v>
      </c>
      <c r="B284" s="4">
        <v>1.15</v>
      </c>
      <c r="C284" s="4">
        <v>1.15</v>
      </c>
      <c r="D284" s="4">
        <v>4.28</v>
      </c>
      <c r="E284" s="13">
        <v>834401840.72</v>
      </c>
      <c r="F284" s="4" t="s">
        <v>746</v>
      </c>
      <c r="G284" s="14">
        <f t="shared" si="16"/>
        <v>0</v>
      </c>
      <c r="H284" s="14">
        <f t="shared" si="17"/>
        <v>3.72173913043478</v>
      </c>
      <c r="I284" s="14" t="e">
        <f t="shared" si="18"/>
        <v>#DIV/0!</v>
      </c>
      <c r="J284" s="4">
        <v>0.47</v>
      </c>
      <c r="K284" s="4">
        <v>0.448350088771417</v>
      </c>
      <c r="L284" s="4">
        <v>5.2474</v>
      </c>
      <c r="M284" s="4">
        <v>5.126</v>
      </c>
      <c r="N284" s="4"/>
      <c r="O284" s="4"/>
      <c r="P284" s="4"/>
      <c r="Q284" s="4">
        <v>1.18</v>
      </c>
      <c r="R284" s="18">
        <f t="shared" si="19"/>
        <v>-0.0254237288135594</v>
      </c>
    </row>
    <row r="285" s="6" customFormat="1" spans="1:18">
      <c r="A285" s="4">
        <v>3322</v>
      </c>
      <c r="B285" s="4">
        <v>1.15</v>
      </c>
      <c r="C285" s="4">
        <v>0.81</v>
      </c>
      <c r="D285" s="4">
        <v>1.94</v>
      </c>
      <c r="E285" s="13">
        <v>1540080000</v>
      </c>
      <c r="F285" s="4" t="s">
        <v>348</v>
      </c>
      <c r="G285" s="14">
        <f t="shared" si="16"/>
        <v>0.295652173913043</v>
      </c>
      <c r="H285" s="14">
        <f t="shared" si="17"/>
        <v>1.68695652173913</v>
      </c>
      <c r="I285" s="17">
        <f t="shared" si="18"/>
        <v>5.70588235294118</v>
      </c>
      <c r="J285" s="4">
        <v>0.69</v>
      </c>
      <c r="K285" s="14">
        <v>0.403036206085846</v>
      </c>
      <c r="L285" s="4">
        <v>48.4759</v>
      </c>
      <c r="M285" s="4">
        <v>47.2</v>
      </c>
      <c r="N285" s="4"/>
      <c r="O285" s="4"/>
      <c r="P285" s="4"/>
      <c r="Q285" s="4">
        <v>1.18</v>
      </c>
      <c r="R285" s="18">
        <f t="shared" si="19"/>
        <v>-0.0254237288135594</v>
      </c>
    </row>
    <row r="286" s="6" customFormat="1" spans="1:18">
      <c r="A286" s="4">
        <v>1044</v>
      </c>
      <c r="B286" s="4">
        <v>64.3</v>
      </c>
      <c r="C286" s="4">
        <v>64.5</v>
      </c>
      <c r="D286" s="4">
        <v>107.4</v>
      </c>
      <c r="E286" s="13">
        <v>81612312807</v>
      </c>
      <c r="F286" s="4" t="s">
        <v>105</v>
      </c>
      <c r="G286" s="14">
        <f t="shared" si="16"/>
        <v>-0.00311041990668737</v>
      </c>
      <c r="H286" s="14">
        <f t="shared" si="17"/>
        <v>1.67029548989114</v>
      </c>
      <c r="I286" s="17">
        <f t="shared" si="18"/>
        <v>-537.000000000006</v>
      </c>
      <c r="J286" s="4">
        <v>4.47</v>
      </c>
      <c r="K286" s="4">
        <v>3.1430166392239</v>
      </c>
      <c r="L286" s="4">
        <v>20.5306</v>
      </c>
      <c r="M286" s="4">
        <v>20.7</v>
      </c>
      <c r="N286" s="4"/>
      <c r="O286" s="4"/>
      <c r="P286" s="4"/>
      <c r="Q286" s="4">
        <v>66</v>
      </c>
      <c r="R286" s="18">
        <f t="shared" si="19"/>
        <v>-0.0257575757575758</v>
      </c>
    </row>
    <row r="287" s="6" customFormat="1" spans="1:18">
      <c r="A287" s="4">
        <v>1288</v>
      </c>
      <c r="B287" s="4">
        <v>2.63</v>
      </c>
      <c r="C287" s="4">
        <v>2.68</v>
      </c>
      <c r="D287" s="4">
        <v>4.55</v>
      </c>
      <c r="E287" s="13">
        <v>83916987052.08</v>
      </c>
      <c r="F287" s="4" t="s">
        <v>114</v>
      </c>
      <c r="G287" s="14">
        <f t="shared" si="16"/>
        <v>-0.0190114068441065</v>
      </c>
      <c r="H287" s="14">
        <f t="shared" si="17"/>
        <v>1.73003802281369</v>
      </c>
      <c r="I287" s="17">
        <f t="shared" si="18"/>
        <v>-90.9999999999998</v>
      </c>
      <c r="J287" s="4">
        <v>0.62</v>
      </c>
      <c r="K287" s="4">
        <v>1.33002132365212</v>
      </c>
      <c r="L287" s="4">
        <v>3.9514</v>
      </c>
      <c r="M287" s="4">
        <v>3.908</v>
      </c>
      <c r="N287" s="4"/>
      <c r="O287" s="4"/>
      <c r="P287" s="4"/>
      <c r="Q287" s="4">
        <v>2.7</v>
      </c>
      <c r="R287" s="18">
        <f t="shared" si="19"/>
        <v>-0.025925925925926</v>
      </c>
    </row>
    <row r="288" s="4" customFormat="1" spans="1:18">
      <c r="A288" s="4">
        <v>2618</v>
      </c>
      <c r="B288" s="4">
        <v>5.45</v>
      </c>
      <c r="C288" s="4">
        <v>4.87</v>
      </c>
      <c r="D288" s="4">
        <v>10.96</v>
      </c>
      <c r="E288" s="13">
        <v>7330189347.22</v>
      </c>
      <c r="F288" s="4" t="s">
        <v>683</v>
      </c>
      <c r="G288" s="14">
        <f t="shared" si="16"/>
        <v>0.106422018348624</v>
      </c>
      <c r="H288" s="14">
        <f t="shared" si="17"/>
        <v>2.01100917431193</v>
      </c>
      <c r="I288" s="17">
        <f t="shared" si="18"/>
        <v>18.8965517241379</v>
      </c>
      <c r="J288" s="4">
        <v>1.92</v>
      </c>
      <c r="K288" s="4">
        <v>0.261637907620996</v>
      </c>
      <c r="L288" s="4">
        <v>6.7095</v>
      </c>
      <c r="M288" s="4">
        <v>6.115</v>
      </c>
      <c r="Q288" s="4">
        <v>5.6</v>
      </c>
      <c r="R288" s="18">
        <f t="shared" si="19"/>
        <v>-0.0267857142857142</v>
      </c>
    </row>
    <row r="289" s="4" customFormat="1" spans="1:18">
      <c r="A289" s="4">
        <v>2120</v>
      </c>
      <c r="B289" s="4">
        <v>39.9</v>
      </c>
      <c r="C289" s="4">
        <v>41</v>
      </c>
      <c r="D289" s="4">
        <v>51.6</v>
      </c>
      <c r="E289" s="13">
        <v>830852000</v>
      </c>
      <c r="F289" s="4" t="s">
        <v>176</v>
      </c>
      <c r="G289" s="14">
        <f t="shared" si="16"/>
        <v>-0.0275689223057645</v>
      </c>
      <c r="H289" s="14">
        <f t="shared" si="17"/>
        <v>1.29323308270677</v>
      </c>
      <c r="I289" s="17">
        <f t="shared" si="18"/>
        <v>-46.9090909090908</v>
      </c>
      <c r="J289" s="4">
        <v>3.23</v>
      </c>
      <c r="K289" s="4">
        <v>46.8352</v>
      </c>
      <c r="Q289" s="4">
        <v>41</v>
      </c>
      <c r="R289" s="18">
        <f t="shared" si="19"/>
        <v>-0.026829268292683</v>
      </c>
    </row>
    <row r="290" s="4" customFormat="1" spans="1:18">
      <c r="A290" s="4">
        <v>1543</v>
      </c>
      <c r="B290" s="4">
        <v>1.38</v>
      </c>
      <c r="C290" s="4">
        <v>1.2</v>
      </c>
      <c r="D290" s="4">
        <v>1.64</v>
      </c>
      <c r="E290" s="13">
        <v>437066667.66</v>
      </c>
      <c r="F290" s="4" t="s">
        <v>28</v>
      </c>
      <c r="G290" s="14">
        <f t="shared" si="16"/>
        <v>0.130434782608696</v>
      </c>
      <c r="H290" s="14">
        <f t="shared" si="17"/>
        <v>1.18840579710145</v>
      </c>
      <c r="I290" s="17">
        <f t="shared" si="18"/>
        <v>9.11111111111112</v>
      </c>
      <c r="J290" s="4">
        <v>1.01</v>
      </c>
      <c r="K290" s="4">
        <v>8.3393</v>
      </c>
      <c r="Q290" s="4">
        <v>1.42</v>
      </c>
      <c r="R290" s="18">
        <f t="shared" si="19"/>
        <v>-0.0281690140845071</v>
      </c>
    </row>
    <row r="291" s="6" customFormat="1" spans="1:18">
      <c r="A291" s="4">
        <v>1293</v>
      </c>
      <c r="B291" s="4">
        <v>4.43</v>
      </c>
      <c r="C291" s="4">
        <v>2.1</v>
      </c>
      <c r="D291" s="4">
        <v>7.28</v>
      </c>
      <c r="E291" s="13">
        <v>11738059459.11</v>
      </c>
      <c r="F291" s="4" t="s">
        <v>230</v>
      </c>
      <c r="G291" s="14">
        <f t="shared" si="16"/>
        <v>0.525959367945824</v>
      </c>
      <c r="H291" s="14">
        <f t="shared" si="17"/>
        <v>1.64334085778781</v>
      </c>
      <c r="I291" s="17">
        <f t="shared" si="18"/>
        <v>3.12446351931331</v>
      </c>
      <c r="J291" s="4">
        <v>1.72</v>
      </c>
      <c r="K291" s="4">
        <v>0.329570249011504</v>
      </c>
      <c r="L291" s="4">
        <v>13.2845</v>
      </c>
      <c r="M291" s="4">
        <v>13.198</v>
      </c>
      <c r="N291" s="4"/>
      <c r="O291" s="4"/>
      <c r="P291" s="4"/>
      <c r="Q291" s="4">
        <v>4.56</v>
      </c>
      <c r="R291" s="18">
        <f t="shared" si="19"/>
        <v>-0.0285087719298246</v>
      </c>
    </row>
    <row r="292" s="4" customFormat="1" spans="1:18">
      <c r="A292" s="4">
        <v>1117</v>
      </c>
      <c r="B292" s="4">
        <v>1.36</v>
      </c>
      <c r="C292" s="4">
        <v>1.38</v>
      </c>
      <c r="D292" s="4">
        <v>4.19</v>
      </c>
      <c r="E292" s="13">
        <v>7851056466.84</v>
      </c>
      <c r="F292" s="4" t="s">
        <v>106</v>
      </c>
      <c r="G292" s="14">
        <f t="shared" si="16"/>
        <v>-0.0147058823529411</v>
      </c>
      <c r="H292" s="14">
        <f t="shared" si="17"/>
        <v>3.08088235294118</v>
      </c>
      <c r="I292" s="17">
        <f t="shared" si="18"/>
        <v>-209.500000000001</v>
      </c>
      <c r="J292" s="4">
        <v>0.89</v>
      </c>
      <c r="K292" s="4">
        <v>1.16528259701304</v>
      </c>
      <c r="L292" s="4">
        <v>8.0774</v>
      </c>
      <c r="M292" s="4">
        <v>7.349</v>
      </c>
      <c r="Q292" s="4">
        <v>1.4</v>
      </c>
      <c r="R292" s="18">
        <f t="shared" si="19"/>
        <v>-0.0285714285714285</v>
      </c>
    </row>
    <row r="293" s="4" customFormat="1" spans="1:18">
      <c r="A293" s="6">
        <v>1363</v>
      </c>
      <c r="B293" s="6">
        <v>2.01</v>
      </c>
      <c r="C293" s="6">
        <v>1.99</v>
      </c>
      <c r="D293" s="6">
        <v>11.98</v>
      </c>
      <c r="E293" s="15">
        <v>13328430773.96</v>
      </c>
      <c r="F293" s="6" t="s">
        <v>520</v>
      </c>
      <c r="G293" s="16">
        <f t="shared" si="16"/>
        <v>0.00995024875621886</v>
      </c>
      <c r="H293" s="16">
        <f t="shared" si="17"/>
        <v>5.96019900497513</v>
      </c>
      <c r="I293" s="16">
        <f t="shared" si="18"/>
        <v>599.000000000003</v>
      </c>
      <c r="J293" s="6">
        <v>4.98</v>
      </c>
      <c r="K293" s="6">
        <v>2.0963735717834</v>
      </c>
      <c r="L293" s="6">
        <v>30.7903</v>
      </c>
      <c r="M293" s="6">
        <v>27.417</v>
      </c>
      <c r="N293" s="6"/>
      <c r="O293" s="6"/>
      <c r="P293" s="6"/>
      <c r="Q293" s="6">
        <v>2.07</v>
      </c>
      <c r="R293" s="19">
        <f t="shared" si="19"/>
        <v>-0.0289855072463768</v>
      </c>
    </row>
    <row r="294" s="6" customFormat="1" spans="1:18">
      <c r="A294" s="4">
        <v>1371</v>
      </c>
      <c r="B294" s="4">
        <v>0.233</v>
      </c>
      <c r="C294" s="4">
        <v>0.238</v>
      </c>
      <c r="D294" s="4">
        <v>1.01</v>
      </c>
      <c r="E294" s="13">
        <v>2175610869.92</v>
      </c>
      <c r="F294" s="4" t="s">
        <v>757</v>
      </c>
      <c r="G294" s="14">
        <f t="shared" si="16"/>
        <v>-0.0214592274678111</v>
      </c>
      <c r="H294" s="14">
        <f t="shared" si="17"/>
        <v>4.33476394849785</v>
      </c>
      <c r="I294" s="14">
        <f t="shared" si="18"/>
        <v>-202</v>
      </c>
      <c r="J294" s="4">
        <v>1.33</v>
      </c>
      <c r="K294" s="4">
        <v>2.01421800947867</v>
      </c>
      <c r="L294" s="4">
        <v>21.7539</v>
      </c>
      <c r="M294" s="4">
        <v>18.898</v>
      </c>
      <c r="N294" s="4"/>
      <c r="O294" s="4"/>
      <c r="P294" s="4"/>
      <c r="Q294" s="4">
        <v>0.24</v>
      </c>
      <c r="R294" s="18">
        <f t="shared" si="19"/>
        <v>-0.0291666666666666</v>
      </c>
    </row>
    <row r="295" s="4" customFormat="1" spans="1:18">
      <c r="A295" s="4">
        <v>8141</v>
      </c>
      <c r="B295" s="4">
        <v>0.32</v>
      </c>
      <c r="C295" s="4">
        <v>0.26</v>
      </c>
      <c r="D295" s="4">
        <v>6.6</v>
      </c>
      <c r="E295" s="13">
        <v>201000000</v>
      </c>
      <c r="F295" s="4" t="s">
        <v>321</v>
      </c>
      <c r="G295" s="14">
        <f t="shared" si="16"/>
        <v>0.1875</v>
      </c>
      <c r="H295" s="14">
        <f t="shared" si="17"/>
        <v>20.625</v>
      </c>
      <c r="I295" s="14">
        <f t="shared" si="18"/>
        <v>110</v>
      </c>
      <c r="J295" s="4">
        <v>2.39</v>
      </c>
      <c r="K295" s="14">
        <v>0.704521556256572</v>
      </c>
      <c r="L295" s="4">
        <v>16.861</v>
      </c>
      <c r="Q295" s="4">
        <v>0.33</v>
      </c>
      <c r="R295" s="18">
        <f t="shared" si="19"/>
        <v>-0.0303030303030303</v>
      </c>
    </row>
    <row r="296" s="4" customFormat="1" spans="1:18">
      <c r="A296" s="4">
        <v>550</v>
      </c>
      <c r="B296" s="4">
        <v>2.19</v>
      </c>
      <c r="C296" s="4">
        <v>1.15</v>
      </c>
      <c r="D296" s="4">
        <v>4.5</v>
      </c>
      <c r="E296" s="13">
        <v>774378880</v>
      </c>
      <c r="F296" s="4" t="s">
        <v>357</v>
      </c>
      <c r="G296" s="14">
        <f t="shared" si="16"/>
        <v>0.474885844748858</v>
      </c>
      <c r="H296" s="14">
        <f t="shared" si="17"/>
        <v>2.05479452054795</v>
      </c>
      <c r="I296" s="17">
        <f t="shared" si="18"/>
        <v>4.32692307692308</v>
      </c>
      <c r="J296" s="4">
        <v>5.64</v>
      </c>
      <c r="K296" s="4">
        <v>2.28009828009828</v>
      </c>
      <c r="L296" s="4">
        <v>9.8131</v>
      </c>
      <c r="M296" s="4">
        <v>9.548</v>
      </c>
      <c r="Q296" s="4">
        <v>2.26</v>
      </c>
      <c r="R296" s="18">
        <f t="shared" si="19"/>
        <v>-0.0309734513274336</v>
      </c>
    </row>
    <row r="297" s="6" customFormat="1" spans="1:18">
      <c r="A297" s="4">
        <v>3699</v>
      </c>
      <c r="B297" s="4">
        <v>34.25</v>
      </c>
      <c r="C297" s="4">
        <v>35</v>
      </c>
      <c r="D297" s="4">
        <v>78</v>
      </c>
      <c r="E297" s="13">
        <v>23981124300</v>
      </c>
      <c r="F297" s="4" t="s">
        <v>702</v>
      </c>
      <c r="G297" s="14">
        <f t="shared" si="16"/>
        <v>-0.0218978102189782</v>
      </c>
      <c r="H297" s="14">
        <f t="shared" si="17"/>
        <v>2.27737226277372</v>
      </c>
      <c r="I297" s="17">
        <f t="shared" si="18"/>
        <v>-104</v>
      </c>
      <c r="J297" s="4">
        <v>0.84</v>
      </c>
      <c r="K297" s="14">
        <v>2.07101014904637</v>
      </c>
      <c r="L297" s="4">
        <v>5.357</v>
      </c>
      <c r="M297" s="4">
        <v>4.345</v>
      </c>
      <c r="N297" s="4"/>
      <c r="O297" s="4"/>
      <c r="P297" s="4"/>
      <c r="Q297" s="4">
        <v>35.35</v>
      </c>
      <c r="R297" s="18">
        <f t="shared" si="19"/>
        <v>-0.0311173974540312</v>
      </c>
    </row>
    <row r="298" s="4" customFormat="1" spans="1:18">
      <c r="A298" s="4">
        <v>1530</v>
      </c>
      <c r="B298" s="4">
        <v>9.31</v>
      </c>
      <c r="C298" s="4">
        <v>6.9</v>
      </c>
      <c r="D298" s="4">
        <v>11.48</v>
      </c>
      <c r="E298" s="13">
        <v>24096704000.6</v>
      </c>
      <c r="F298" s="4" t="s">
        <v>390</v>
      </c>
      <c r="G298" s="14">
        <f t="shared" si="16"/>
        <v>0.258861439312567</v>
      </c>
      <c r="H298" s="14">
        <f t="shared" si="17"/>
        <v>1.23308270676692</v>
      </c>
      <c r="I298" s="17">
        <f t="shared" si="18"/>
        <v>4.76348547717842</v>
      </c>
      <c r="J298" s="4">
        <v>3.67</v>
      </c>
      <c r="K298" s="4">
        <v>11.5891923112023</v>
      </c>
      <c r="L298" s="4">
        <v>66.0588</v>
      </c>
      <c r="Q298" s="4">
        <v>9.61</v>
      </c>
      <c r="R298" s="18">
        <f t="shared" si="19"/>
        <v>-0.0312174817898022</v>
      </c>
    </row>
    <row r="299" s="4" customFormat="1" spans="1:18">
      <c r="A299" s="4">
        <v>257</v>
      </c>
      <c r="B299" s="4">
        <v>7.64</v>
      </c>
      <c r="C299" s="4">
        <v>7.72</v>
      </c>
      <c r="D299" s="4">
        <v>16.28</v>
      </c>
      <c r="E299" s="13">
        <v>36452576121</v>
      </c>
      <c r="F299" s="4" t="s">
        <v>450</v>
      </c>
      <c r="G299" s="14">
        <f t="shared" si="16"/>
        <v>-0.0104712041884816</v>
      </c>
      <c r="H299" s="14">
        <f t="shared" si="17"/>
        <v>2.13089005235602</v>
      </c>
      <c r="I299" s="17">
        <f t="shared" si="18"/>
        <v>-203.500000000002</v>
      </c>
      <c r="J299" s="4">
        <v>2.11</v>
      </c>
      <c r="K299" s="4">
        <v>4.58777721347553</v>
      </c>
      <c r="L299" s="4">
        <v>21.4031</v>
      </c>
      <c r="M299" s="4">
        <v>20.769</v>
      </c>
      <c r="Q299" s="4">
        <v>7.89</v>
      </c>
      <c r="R299" s="18">
        <f t="shared" si="19"/>
        <v>-0.0316856780735107</v>
      </c>
    </row>
    <row r="300" s="4" customFormat="1" spans="1:18">
      <c r="A300" s="4">
        <v>5</v>
      </c>
      <c r="B300" s="4">
        <v>50.25</v>
      </c>
      <c r="C300" s="4">
        <v>51.75</v>
      </c>
      <c r="D300" s="4">
        <v>84.4</v>
      </c>
      <c r="E300" s="13">
        <v>1040357372961.9</v>
      </c>
      <c r="F300" s="4" t="s">
        <v>459</v>
      </c>
      <c r="G300" s="14">
        <f t="shared" si="16"/>
        <v>-0.0298507462686568</v>
      </c>
      <c r="H300" s="14">
        <f t="shared" si="17"/>
        <v>1.67960199004975</v>
      </c>
      <c r="I300" s="17">
        <f t="shared" si="18"/>
        <v>-56.2666666666665</v>
      </c>
      <c r="J300" s="4">
        <v>0.7</v>
      </c>
      <c r="K300" s="4">
        <v>1.67179665298768</v>
      </c>
      <c r="L300" s="4">
        <v>10.0439</v>
      </c>
      <c r="M300" s="4">
        <v>9.674</v>
      </c>
      <c r="Q300" s="4">
        <v>51.9</v>
      </c>
      <c r="R300" s="18">
        <f t="shared" si="19"/>
        <v>-0.0317919075144508</v>
      </c>
    </row>
    <row r="301" s="4" customFormat="1" spans="1:18">
      <c r="A301" s="4">
        <v>8237</v>
      </c>
      <c r="B301" s="4">
        <v>0.88</v>
      </c>
      <c r="C301" s="4">
        <v>0.43</v>
      </c>
      <c r="D301" s="4">
        <v>3.06</v>
      </c>
      <c r="E301" s="13">
        <v>3490000000</v>
      </c>
      <c r="F301" s="4" t="s">
        <v>351</v>
      </c>
      <c r="G301" s="14">
        <f t="shared" si="16"/>
        <v>0.511363636363636</v>
      </c>
      <c r="H301" s="14">
        <f t="shared" si="17"/>
        <v>3.47727272727273</v>
      </c>
      <c r="I301" s="14">
        <f t="shared" si="18"/>
        <v>6.8</v>
      </c>
      <c r="J301" s="4">
        <v>7.58</v>
      </c>
      <c r="K301" s="14">
        <v>57.4712643678161</v>
      </c>
      <c r="P301" s="6"/>
      <c r="Q301" s="4">
        <v>0.91</v>
      </c>
      <c r="R301" s="18">
        <f t="shared" si="19"/>
        <v>-0.032967032967033</v>
      </c>
    </row>
    <row r="302" s="4" customFormat="1" spans="1:18">
      <c r="A302" s="4">
        <v>8192</v>
      </c>
      <c r="B302" s="4">
        <v>0.057</v>
      </c>
      <c r="C302" s="4">
        <v>0.03</v>
      </c>
      <c r="D302" s="4">
        <v>0.311</v>
      </c>
      <c r="E302" s="13">
        <v>262549353</v>
      </c>
      <c r="F302" s="4" t="s">
        <v>142</v>
      </c>
      <c r="G302" s="14">
        <f t="shared" si="16"/>
        <v>0.473684210526316</v>
      </c>
      <c r="H302" s="14">
        <f t="shared" si="17"/>
        <v>5.45614035087719</v>
      </c>
      <c r="I302" s="14">
        <f t="shared" si="18"/>
        <v>11.5185185185185</v>
      </c>
      <c r="J302" s="4">
        <v>0.63</v>
      </c>
      <c r="K302" s="14">
        <v>0.631229235880398</v>
      </c>
      <c r="Q302" s="4">
        <v>0.059</v>
      </c>
      <c r="R302" s="18">
        <f t="shared" si="19"/>
        <v>-0.0338983050847457</v>
      </c>
    </row>
    <row r="303" s="6" customFormat="1" spans="1:18">
      <c r="A303" s="4">
        <v>1339</v>
      </c>
      <c r="B303" s="4">
        <v>2.84</v>
      </c>
      <c r="C303" s="4">
        <v>2.94</v>
      </c>
      <c r="D303" s="4">
        <v>5.85</v>
      </c>
      <c r="E303" s="13">
        <v>26789538380</v>
      </c>
      <c r="F303" s="4" t="s">
        <v>314</v>
      </c>
      <c r="G303" s="14">
        <f t="shared" si="16"/>
        <v>-0.0352112676056338</v>
      </c>
      <c r="H303" s="14">
        <f t="shared" si="17"/>
        <v>2.05985915492958</v>
      </c>
      <c r="I303" s="17">
        <f t="shared" si="18"/>
        <v>-58.5000000000001</v>
      </c>
      <c r="J303" s="4">
        <v>0.94</v>
      </c>
      <c r="K303" s="4">
        <v>2.39</v>
      </c>
      <c r="L303" s="4">
        <v>7.9457</v>
      </c>
      <c r="M303" s="4">
        <v>7.609</v>
      </c>
      <c r="N303" s="4"/>
      <c r="O303" s="4"/>
      <c r="P303" s="4"/>
      <c r="Q303" s="4">
        <v>2.94</v>
      </c>
      <c r="R303" s="18">
        <f t="shared" si="19"/>
        <v>-0.0340136054421769</v>
      </c>
    </row>
    <row r="304" s="6" customFormat="1" spans="1:18">
      <c r="A304" s="6">
        <v>1165</v>
      </c>
      <c r="B304" s="6">
        <v>1.11</v>
      </c>
      <c r="C304" s="6">
        <v>1.12</v>
      </c>
      <c r="D304" s="6">
        <v>10.5</v>
      </c>
      <c r="E304" s="15">
        <v>4817411870.94</v>
      </c>
      <c r="F304" s="6" t="s">
        <v>107</v>
      </c>
      <c r="G304" s="16">
        <f t="shared" si="16"/>
        <v>-0.00900900900900892</v>
      </c>
      <c r="H304" s="16">
        <f t="shared" si="17"/>
        <v>9.45945945945946</v>
      </c>
      <c r="I304" s="16">
        <f t="shared" si="18"/>
        <v>-1050.00000000001</v>
      </c>
      <c r="J304" s="6">
        <v>0.48</v>
      </c>
      <c r="K304" s="6">
        <v>0.398214911890361</v>
      </c>
      <c r="L304" s="6">
        <v>2.9458</v>
      </c>
      <c r="M304" s="6">
        <v>1.614</v>
      </c>
      <c r="Q304" s="6">
        <v>1.15</v>
      </c>
      <c r="R304" s="19">
        <f t="shared" si="19"/>
        <v>-0.034782608695652</v>
      </c>
    </row>
    <row r="305" s="4" customFormat="1" spans="1:18">
      <c r="A305" s="6">
        <v>90</v>
      </c>
      <c r="B305" s="6">
        <v>1.11</v>
      </c>
      <c r="C305" s="6">
        <v>0.72</v>
      </c>
      <c r="D305" s="6">
        <v>3.68</v>
      </c>
      <c r="E305" s="15">
        <v>513632000</v>
      </c>
      <c r="F305" s="6" t="s">
        <v>567</v>
      </c>
      <c r="G305" s="16">
        <f t="shared" si="16"/>
        <v>0.351351351351351</v>
      </c>
      <c r="H305" s="16">
        <f t="shared" si="17"/>
        <v>3.31531531531532</v>
      </c>
      <c r="I305" s="16">
        <f t="shared" si="18"/>
        <v>9.43589743589743</v>
      </c>
      <c r="J305" s="6">
        <v>0.98</v>
      </c>
      <c r="K305" s="6">
        <v>0.863309880441293</v>
      </c>
      <c r="L305" s="6"/>
      <c r="M305" s="6"/>
      <c r="N305" s="6"/>
      <c r="O305" s="6"/>
      <c r="Q305" s="6">
        <v>1.15</v>
      </c>
      <c r="R305" s="18">
        <f t="shared" si="19"/>
        <v>-0.034782608695652</v>
      </c>
    </row>
    <row r="306" s="4" customFormat="1" spans="1:18">
      <c r="A306" s="4">
        <v>8071</v>
      </c>
      <c r="B306" s="4">
        <v>0.082</v>
      </c>
      <c r="C306" s="4">
        <v>0.073</v>
      </c>
      <c r="D306" s="4">
        <v>0.33</v>
      </c>
      <c r="E306" s="13">
        <v>262082944.12</v>
      </c>
      <c r="F306" s="4" t="s">
        <v>140</v>
      </c>
      <c r="G306" s="14">
        <f t="shared" si="16"/>
        <v>0.109756097560976</v>
      </c>
      <c r="H306" s="14">
        <f t="shared" si="17"/>
        <v>4.02439024390244</v>
      </c>
      <c r="I306" s="14">
        <f t="shared" si="18"/>
        <v>36.6666666666666</v>
      </c>
      <c r="J306" s="4">
        <v>5.38</v>
      </c>
      <c r="K306" s="14">
        <v>210</v>
      </c>
      <c r="Q306" s="4">
        <v>0.085</v>
      </c>
      <c r="R306" s="18">
        <f t="shared" si="19"/>
        <v>-0.0352941176470588</v>
      </c>
    </row>
    <row r="307" s="4" customFormat="1" spans="1:18">
      <c r="A307" s="4">
        <v>1811</v>
      </c>
      <c r="B307" s="4">
        <v>1.09</v>
      </c>
      <c r="C307" s="4">
        <v>1.1</v>
      </c>
      <c r="D307" s="4">
        <v>3.6</v>
      </c>
      <c r="E307" s="13">
        <v>4977355840</v>
      </c>
      <c r="F307" s="4" t="s">
        <v>716</v>
      </c>
      <c r="G307" s="14">
        <f t="shared" si="16"/>
        <v>-0.00917431192660545</v>
      </c>
      <c r="H307" s="14">
        <f t="shared" si="17"/>
        <v>3.30275229357798</v>
      </c>
      <c r="I307" s="14">
        <f t="shared" si="18"/>
        <v>-360.000000000002</v>
      </c>
      <c r="J307" s="4">
        <v>0.86</v>
      </c>
      <c r="K307" s="4">
        <v>0.534792502998387</v>
      </c>
      <c r="L307" s="4">
        <v>3.1738</v>
      </c>
      <c r="M307" s="4">
        <v>2.439</v>
      </c>
      <c r="Q307" s="4">
        <v>1.13</v>
      </c>
      <c r="R307" s="18">
        <f t="shared" si="19"/>
        <v>-0.0353982300884954</v>
      </c>
    </row>
    <row r="308" s="4" customFormat="1" spans="1:18">
      <c r="A308" s="4">
        <v>127</v>
      </c>
      <c r="B308" s="4">
        <v>17.04</v>
      </c>
      <c r="C308" s="4">
        <v>13.31</v>
      </c>
      <c r="D308" s="4">
        <v>30.3</v>
      </c>
      <c r="E308" s="13">
        <v>33764857698.3</v>
      </c>
      <c r="F308" s="4" t="s">
        <v>166</v>
      </c>
      <c r="G308" s="14">
        <f t="shared" si="16"/>
        <v>0.218896713615023</v>
      </c>
      <c r="H308" s="14">
        <f t="shared" si="17"/>
        <v>1.77816901408451</v>
      </c>
      <c r="I308" s="17">
        <f t="shared" si="18"/>
        <v>8.12332439678285</v>
      </c>
      <c r="J308" s="4">
        <v>0.93</v>
      </c>
      <c r="K308" s="4">
        <v>13.9424970460811</v>
      </c>
      <c r="L308" s="4">
        <v>3.8611</v>
      </c>
      <c r="M308" s="4">
        <v>3.857</v>
      </c>
      <c r="Q308" s="4">
        <v>17.68</v>
      </c>
      <c r="R308" s="18">
        <f t="shared" si="19"/>
        <v>-0.0361990950226244</v>
      </c>
    </row>
    <row r="309" s="4" customFormat="1" spans="1:18">
      <c r="A309" s="4">
        <v>2039</v>
      </c>
      <c r="B309" s="4">
        <v>11.6</v>
      </c>
      <c r="C309" s="4">
        <v>11.58</v>
      </c>
      <c r="D309" s="4">
        <v>24.4</v>
      </c>
      <c r="E309" s="13">
        <v>21113892290.7</v>
      </c>
      <c r="F309" s="4" t="s">
        <v>131</v>
      </c>
      <c r="G309" s="14">
        <f t="shared" si="16"/>
        <v>0.00172413793103443</v>
      </c>
      <c r="H309" s="14">
        <f t="shared" si="17"/>
        <v>2.10344827586207</v>
      </c>
      <c r="I309" s="17">
        <f t="shared" si="18"/>
        <v>1220.00000000004</v>
      </c>
      <c r="J309" s="4">
        <v>1.06</v>
      </c>
      <c r="K309" s="4">
        <v>0.44265195259331</v>
      </c>
      <c r="L309" s="4">
        <v>11.8217</v>
      </c>
      <c r="M309" s="4">
        <v>10.363</v>
      </c>
      <c r="Q309" s="4">
        <v>12.04</v>
      </c>
      <c r="R309" s="18">
        <f t="shared" si="19"/>
        <v>-0.0365448504983388</v>
      </c>
    </row>
    <row r="310" s="4" customFormat="1" spans="1:18">
      <c r="A310" s="6">
        <v>587</v>
      </c>
      <c r="B310" s="6">
        <v>0.79</v>
      </c>
      <c r="C310" s="6">
        <v>0.79</v>
      </c>
      <c r="D310" s="6">
        <v>2.52</v>
      </c>
      <c r="E310" s="15">
        <v>6209713450.08</v>
      </c>
      <c r="F310" s="6" t="s">
        <v>570</v>
      </c>
      <c r="G310" s="16">
        <f t="shared" si="16"/>
        <v>0</v>
      </c>
      <c r="H310" s="16">
        <f t="shared" si="17"/>
        <v>3.18987341772152</v>
      </c>
      <c r="I310" s="16" t="e">
        <f t="shared" si="18"/>
        <v>#DIV/0!</v>
      </c>
      <c r="J310" s="6">
        <v>0.73</v>
      </c>
      <c r="K310" s="6">
        <v>3.30188679245282</v>
      </c>
      <c r="L310" s="6">
        <v>9.5738</v>
      </c>
      <c r="M310" s="6">
        <v>6.371</v>
      </c>
      <c r="N310" s="6"/>
      <c r="O310" s="6"/>
      <c r="Q310" s="6">
        <v>0.82</v>
      </c>
      <c r="R310" s="18">
        <f t="shared" si="19"/>
        <v>-0.0365853658536585</v>
      </c>
    </row>
    <row r="311" s="4" customFormat="1" spans="1:18">
      <c r="A311" s="6">
        <v>2208</v>
      </c>
      <c r="B311" s="6">
        <v>9.69</v>
      </c>
      <c r="C311" s="6">
        <v>8.53</v>
      </c>
      <c r="D311" s="6">
        <v>19.78</v>
      </c>
      <c r="E311" s="15">
        <v>5460511056</v>
      </c>
      <c r="F311" s="6" t="s">
        <v>497</v>
      </c>
      <c r="G311" s="16">
        <f t="shared" si="16"/>
        <v>0.119711042311662</v>
      </c>
      <c r="H311" s="16">
        <f t="shared" si="17"/>
        <v>2.04127966976264</v>
      </c>
      <c r="I311" s="16">
        <f t="shared" si="18"/>
        <v>17.051724137931</v>
      </c>
      <c r="J311" s="6">
        <v>1.66</v>
      </c>
      <c r="K311" s="6">
        <v>1.21872505422154</v>
      </c>
      <c r="L311" s="6">
        <v>13.0569</v>
      </c>
      <c r="M311" s="6">
        <v>11.849</v>
      </c>
      <c r="N311" s="6"/>
      <c r="O311" s="6"/>
      <c r="P311" s="6"/>
      <c r="Q311" s="6">
        <v>10.06</v>
      </c>
      <c r="R311" s="19">
        <f t="shared" si="19"/>
        <v>-0.0367793240556661</v>
      </c>
    </row>
    <row r="312" s="6" customFormat="1" spans="1:18">
      <c r="A312" s="4">
        <v>1355</v>
      </c>
      <c r="B312" s="4">
        <v>0.78</v>
      </c>
      <c r="C312" s="4">
        <v>0.5</v>
      </c>
      <c r="D312" s="4">
        <v>2.84</v>
      </c>
      <c r="E312" s="13">
        <v>322690500</v>
      </c>
      <c r="F312" s="4" t="s">
        <v>147</v>
      </c>
      <c r="G312" s="14">
        <f t="shared" si="16"/>
        <v>0.358974358974359</v>
      </c>
      <c r="H312" s="14">
        <f t="shared" si="17"/>
        <v>3.64102564102564</v>
      </c>
      <c r="I312" s="14">
        <f t="shared" si="18"/>
        <v>10.1428571428571</v>
      </c>
      <c r="J312" s="4">
        <v>1.51</v>
      </c>
      <c r="K312" s="4">
        <v>10.4591836734693</v>
      </c>
      <c r="L312" s="4"/>
      <c r="M312" s="4"/>
      <c r="N312" s="4"/>
      <c r="O312" s="4"/>
      <c r="P312" s="4"/>
      <c r="Q312" s="4">
        <v>0.81</v>
      </c>
      <c r="R312" s="18">
        <f t="shared" si="19"/>
        <v>-0.0370370370370371</v>
      </c>
    </row>
    <row r="313" s="4" customFormat="1" spans="1:18">
      <c r="A313" s="4">
        <v>73</v>
      </c>
      <c r="B313" s="4">
        <v>0.51</v>
      </c>
      <c r="C313" s="4">
        <v>0.51</v>
      </c>
      <c r="D313" s="4">
        <v>2</v>
      </c>
      <c r="E313" s="13">
        <v>637315320.84</v>
      </c>
      <c r="F313" s="4" t="s">
        <v>474</v>
      </c>
      <c r="G313" s="14">
        <f t="shared" si="16"/>
        <v>0</v>
      </c>
      <c r="H313" s="14">
        <f t="shared" si="17"/>
        <v>3.92156862745098</v>
      </c>
      <c r="I313" s="14" t="e">
        <f t="shared" si="18"/>
        <v>#DIV/0!</v>
      </c>
      <c r="J313" s="4">
        <v>0.1</v>
      </c>
      <c r="K313" s="4">
        <v>0.514354722535782</v>
      </c>
      <c r="Q313" s="4">
        <v>0.53</v>
      </c>
      <c r="R313" s="18">
        <f t="shared" si="19"/>
        <v>-0.0377358490566038</v>
      </c>
    </row>
    <row r="314" s="4" customFormat="1" spans="1:18">
      <c r="A314" s="4">
        <v>8130</v>
      </c>
      <c r="B314" s="4">
        <v>0.375</v>
      </c>
      <c r="C314" s="4">
        <v>0.18</v>
      </c>
      <c r="D314" s="4">
        <v>0.75</v>
      </c>
      <c r="E314" s="13">
        <v>361558350.62</v>
      </c>
      <c r="F314" s="4" t="s">
        <v>214</v>
      </c>
      <c r="G314" s="14">
        <f t="shared" si="16"/>
        <v>0.52</v>
      </c>
      <c r="H314" s="14">
        <f t="shared" si="17"/>
        <v>2</v>
      </c>
      <c r="I314" s="17">
        <f t="shared" si="18"/>
        <v>3.84615384615385</v>
      </c>
      <c r="J314" s="4">
        <v>1.37</v>
      </c>
      <c r="K314" s="14">
        <v>8.99532710280373</v>
      </c>
      <c r="Q314" s="4">
        <v>0.39</v>
      </c>
      <c r="R314" s="18">
        <f t="shared" si="19"/>
        <v>-0.0384615384615385</v>
      </c>
    </row>
    <row r="315" s="4" customFormat="1" spans="1:18">
      <c r="A315" s="4">
        <v>261</v>
      </c>
      <c r="B315" s="4">
        <v>0.024</v>
      </c>
      <c r="C315" s="4">
        <v>0.01</v>
      </c>
      <c r="D315" s="4">
        <v>0.083</v>
      </c>
      <c r="E315" s="13">
        <v>2399253843.74</v>
      </c>
      <c r="F315" s="4" t="s">
        <v>162</v>
      </c>
      <c r="G315" s="14">
        <f t="shared" si="16"/>
        <v>0.583333333333333</v>
      </c>
      <c r="H315" s="14">
        <f t="shared" si="17"/>
        <v>3.45833333333333</v>
      </c>
      <c r="I315" s="14">
        <f t="shared" si="18"/>
        <v>5.92857142857143</v>
      </c>
      <c r="J315" s="4">
        <v>4.26</v>
      </c>
      <c r="K315" s="4">
        <v>2.04724409448818</v>
      </c>
      <c r="Q315" s="4">
        <v>0.025</v>
      </c>
      <c r="R315" s="18">
        <f t="shared" si="19"/>
        <v>-0.04</v>
      </c>
    </row>
    <row r="316" s="4" customFormat="1" spans="1:18">
      <c r="A316" s="4">
        <v>699</v>
      </c>
      <c r="B316" s="4">
        <v>9.25</v>
      </c>
      <c r="C316" s="4">
        <v>9.36</v>
      </c>
      <c r="D316" s="4">
        <v>22</v>
      </c>
      <c r="E316" s="13">
        <v>23724379804.85</v>
      </c>
      <c r="F316" s="4" t="s">
        <v>544</v>
      </c>
      <c r="G316" s="14">
        <f t="shared" si="16"/>
        <v>-0.0118918918918918</v>
      </c>
      <c r="H316" s="14">
        <f t="shared" si="17"/>
        <v>2.37837837837838</v>
      </c>
      <c r="I316" s="17">
        <f t="shared" si="18"/>
        <v>-200.000000000002</v>
      </c>
      <c r="J316" s="4">
        <v>2.98</v>
      </c>
      <c r="K316" s="4">
        <v>3.94858288448219</v>
      </c>
      <c r="L316" s="4">
        <v>43.5058</v>
      </c>
      <c r="M316" s="4">
        <v>35.551</v>
      </c>
      <c r="Q316" s="4">
        <v>9.67</v>
      </c>
      <c r="R316" s="18">
        <f t="shared" si="19"/>
        <v>-0.0434332988624612</v>
      </c>
    </row>
    <row r="317" s="4" customFormat="1" spans="1:18">
      <c r="A317" s="4">
        <v>6839</v>
      </c>
      <c r="B317" s="4">
        <v>3.84</v>
      </c>
      <c r="C317" s="4">
        <v>3.66</v>
      </c>
      <c r="D317" s="4">
        <v>7.72</v>
      </c>
      <c r="E317" s="13">
        <v>1425758488</v>
      </c>
      <c r="F317" s="4" t="s">
        <v>178</v>
      </c>
      <c r="G317" s="14">
        <f t="shared" si="16"/>
        <v>0.0468749999999999</v>
      </c>
      <c r="H317" s="14">
        <f t="shared" si="17"/>
        <v>2.01041666666667</v>
      </c>
      <c r="I317" s="17">
        <f t="shared" si="18"/>
        <v>42.888888888889</v>
      </c>
      <c r="J317" s="4">
        <v>0.97</v>
      </c>
      <c r="K317" s="14">
        <v>3.81401085058844</v>
      </c>
      <c r="L317" s="4">
        <v>23.0279</v>
      </c>
      <c r="P317" s="6"/>
      <c r="Q317" s="4">
        <v>4.02</v>
      </c>
      <c r="R317" s="18">
        <f t="shared" si="19"/>
        <v>-0.044776119402985</v>
      </c>
    </row>
    <row r="318" s="4" customFormat="1" spans="1:18">
      <c r="A318" s="6">
        <v>1302</v>
      </c>
      <c r="B318" s="6">
        <v>1.26</v>
      </c>
      <c r="C318" s="6">
        <v>0.72</v>
      </c>
      <c r="D318" s="6">
        <v>3.08</v>
      </c>
      <c r="E318" s="15">
        <v>5160000000</v>
      </c>
      <c r="F318" s="6" t="s">
        <v>117</v>
      </c>
      <c r="G318" s="16">
        <f t="shared" si="16"/>
        <v>0.428571428571429</v>
      </c>
      <c r="H318" s="16">
        <f t="shared" si="17"/>
        <v>2.44444444444444</v>
      </c>
      <c r="I318" s="16">
        <f t="shared" si="18"/>
        <v>5.7037037037037</v>
      </c>
      <c r="J318" s="6">
        <v>21.71</v>
      </c>
      <c r="K318" s="6">
        <v>13.4704295876628</v>
      </c>
      <c r="L318" s="6"/>
      <c r="M318" s="6"/>
      <c r="N318" s="6"/>
      <c r="O318" s="6"/>
      <c r="P318" s="6"/>
      <c r="Q318" s="6">
        <v>1.32</v>
      </c>
      <c r="R318" s="19">
        <f t="shared" si="19"/>
        <v>-0.0454545454545455</v>
      </c>
    </row>
    <row r="319" s="4" customFormat="1" spans="1:18">
      <c r="A319" s="4">
        <v>371</v>
      </c>
      <c r="B319" s="4">
        <v>3.87</v>
      </c>
      <c r="C319" s="4">
        <v>3.98</v>
      </c>
      <c r="D319" s="4">
        <v>7.37</v>
      </c>
      <c r="E319" s="13">
        <v>37246993066.92</v>
      </c>
      <c r="F319" s="4" t="s">
        <v>297</v>
      </c>
      <c r="G319" s="14">
        <f t="shared" si="16"/>
        <v>-0.0284237726098191</v>
      </c>
      <c r="H319" s="14">
        <f t="shared" si="17"/>
        <v>1.90439276485788</v>
      </c>
      <c r="I319" s="17">
        <f t="shared" si="18"/>
        <v>-67.0000000000001</v>
      </c>
      <c r="J319" s="4">
        <v>2.25</v>
      </c>
      <c r="K319" s="4">
        <v>3.04412917943965</v>
      </c>
      <c r="L319" s="4">
        <v>20.7572</v>
      </c>
      <c r="M319" s="4">
        <v>19.557</v>
      </c>
      <c r="Q319" s="4">
        <v>4.06</v>
      </c>
      <c r="R319" s="18">
        <f t="shared" si="19"/>
        <v>-0.0467980295566501</v>
      </c>
    </row>
    <row r="320" s="4" customFormat="1" spans="1:18">
      <c r="A320" s="4">
        <v>241</v>
      </c>
      <c r="B320" s="4">
        <v>3.82</v>
      </c>
      <c r="C320" s="4">
        <v>3.81</v>
      </c>
      <c r="D320" s="4">
        <v>14.32</v>
      </c>
      <c r="E320" s="13">
        <v>33834748805.46</v>
      </c>
      <c r="F320" s="4" t="s">
        <v>809</v>
      </c>
      <c r="G320" s="14">
        <f t="shared" si="16"/>
        <v>0.00261780104712039</v>
      </c>
      <c r="H320" s="14">
        <f t="shared" si="17"/>
        <v>3.74869109947644</v>
      </c>
      <c r="I320" s="14">
        <f t="shared" si="18"/>
        <v>1432.00000000001</v>
      </c>
      <c r="J320" s="4">
        <v>22.04</v>
      </c>
      <c r="K320" s="4">
        <v>537.662337662337</v>
      </c>
      <c r="Q320" s="4">
        <v>4.01</v>
      </c>
      <c r="R320" s="18">
        <f t="shared" si="19"/>
        <v>-0.0473815461346633</v>
      </c>
    </row>
    <row r="321" s="4" customFormat="1" spans="1:18">
      <c r="A321" s="4">
        <v>8122</v>
      </c>
      <c r="B321" s="4">
        <v>0.193</v>
      </c>
      <c r="C321" s="4">
        <v>0.189</v>
      </c>
      <c r="D321" s="4">
        <v>7</v>
      </c>
      <c r="E321" s="13">
        <v>151200000</v>
      </c>
      <c r="F321" s="4" t="s">
        <v>328</v>
      </c>
      <c r="G321" s="14">
        <f t="shared" si="16"/>
        <v>0.0207253886010362</v>
      </c>
      <c r="H321" s="14">
        <f t="shared" si="17"/>
        <v>36.2694300518135</v>
      </c>
      <c r="I321" s="14">
        <f t="shared" si="18"/>
        <v>1750</v>
      </c>
      <c r="J321" s="4">
        <v>2.66</v>
      </c>
      <c r="K321" s="14">
        <v>0.911722141823444</v>
      </c>
      <c r="L321" s="4">
        <v>8.4963</v>
      </c>
      <c r="P321" s="6"/>
      <c r="Q321" s="4">
        <v>0.203</v>
      </c>
      <c r="R321" s="18">
        <f t="shared" si="19"/>
        <v>-0.0492610837438424</v>
      </c>
    </row>
    <row r="322" s="4" customFormat="1" spans="1:18">
      <c r="A322" s="4">
        <v>1683</v>
      </c>
      <c r="B322" s="4">
        <v>0.75</v>
      </c>
      <c r="C322" s="4">
        <v>0.68</v>
      </c>
      <c r="D322" s="4">
        <v>8.65</v>
      </c>
      <c r="E322" s="13">
        <v>405000000</v>
      </c>
      <c r="F322" s="4" t="s">
        <v>354</v>
      </c>
      <c r="G322" s="14">
        <f t="shared" ref="G322:G385" si="20">1-C322/B322</f>
        <v>0.0933333333333333</v>
      </c>
      <c r="H322" s="14">
        <f t="shared" ref="H322:H385" si="21">D322/B322</f>
        <v>11.5333333333333</v>
      </c>
      <c r="I322" s="14">
        <f t="shared" ref="I322:I385" si="22">H322/G322</f>
        <v>123.571428571429</v>
      </c>
      <c r="J322" s="4">
        <v>3.06</v>
      </c>
      <c r="K322" s="4">
        <v>2.52651278852152</v>
      </c>
      <c r="L322" s="4">
        <v>19.0543</v>
      </c>
      <c r="M322" s="4">
        <v>14.234</v>
      </c>
      <c r="Q322" s="4">
        <v>0.79</v>
      </c>
      <c r="R322" s="18">
        <f t="shared" ref="R322:R385" si="23">B322/Q322-1</f>
        <v>-0.0506329113924051</v>
      </c>
    </row>
    <row r="323" s="6" customFormat="1" spans="1:18">
      <c r="A323" s="6">
        <v>260</v>
      </c>
      <c r="B323" s="6">
        <v>0.204</v>
      </c>
      <c r="C323" s="6">
        <v>0.18</v>
      </c>
      <c r="D323" s="6">
        <v>0.76</v>
      </c>
      <c r="E323" s="15">
        <v>1307624063.02</v>
      </c>
      <c r="F323" s="6" t="s">
        <v>83</v>
      </c>
      <c r="G323" s="16">
        <f t="shared" si="20"/>
        <v>0.117647058823529</v>
      </c>
      <c r="H323" s="16">
        <f t="shared" si="21"/>
        <v>3.72549019607843</v>
      </c>
      <c r="I323" s="16">
        <f t="shared" si="22"/>
        <v>31.6666666666667</v>
      </c>
      <c r="J323" s="6">
        <v>0.89</v>
      </c>
      <c r="K323" s="6">
        <v>0.829249905767056</v>
      </c>
      <c r="P323" s="4"/>
      <c r="Q323" s="6">
        <v>0.215</v>
      </c>
      <c r="R323" s="18">
        <f t="shared" si="23"/>
        <v>-0.0511627906976745</v>
      </c>
    </row>
    <row r="324" s="4" customFormat="1" spans="1:18">
      <c r="A324" s="4">
        <v>1239</v>
      </c>
      <c r="B324" s="4">
        <v>0.275</v>
      </c>
      <c r="C324" s="4">
        <v>0.03</v>
      </c>
      <c r="D324" s="4">
        <v>0.68</v>
      </c>
      <c r="E324" s="13">
        <v>2900000000</v>
      </c>
      <c r="F324" s="4" t="s">
        <v>164</v>
      </c>
      <c r="G324" s="14">
        <f t="shared" si="20"/>
        <v>0.890909090909091</v>
      </c>
      <c r="H324" s="14">
        <f t="shared" si="21"/>
        <v>2.47272727272727</v>
      </c>
      <c r="I324" s="17">
        <f t="shared" si="22"/>
        <v>2.77551020408163</v>
      </c>
      <c r="J324" s="4">
        <v>11.42</v>
      </c>
      <c r="K324" s="4">
        <v>12.0188023802202</v>
      </c>
      <c r="L324" s="4">
        <v>164.4747</v>
      </c>
      <c r="M324" s="4">
        <v>161.111</v>
      </c>
      <c r="Q324" s="4">
        <v>0.29</v>
      </c>
      <c r="R324" s="18">
        <f t="shared" si="23"/>
        <v>-0.0517241379310344</v>
      </c>
    </row>
    <row r="325" s="4" customFormat="1" spans="1:18">
      <c r="A325" s="4">
        <v>322</v>
      </c>
      <c r="B325" s="4">
        <v>8.43</v>
      </c>
      <c r="C325" s="4">
        <v>8.86</v>
      </c>
      <c r="D325" s="4">
        <v>23.25</v>
      </c>
      <c r="E325" s="13">
        <v>51434359084.8</v>
      </c>
      <c r="F325" s="4" t="s">
        <v>84</v>
      </c>
      <c r="G325" s="14">
        <f t="shared" si="20"/>
        <v>-0.0510083036773428</v>
      </c>
      <c r="H325" s="14">
        <f t="shared" si="21"/>
        <v>2.75800711743772</v>
      </c>
      <c r="I325" s="17">
        <f t="shared" si="22"/>
        <v>-54.0697674418605</v>
      </c>
      <c r="J325" s="4">
        <v>2.15</v>
      </c>
      <c r="K325" s="4">
        <v>0.640071397942428</v>
      </c>
      <c r="L325" s="4">
        <v>16.5592</v>
      </c>
      <c r="M325" s="4">
        <v>16.027</v>
      </c>
      <c r="Q325" s="4">
        <v>8.89</v>
      </c>
      <c r="R325" s="18">
        <f t="shared" si="23"/>
        <v>-0.0517435320584928</v>
      </c>
    </row>
    <row r="326" s="4" customFormat="1" spans="1:18">
      <c r="A326" s="4">
        <v>101</v>
      </c>
      <c r="B326" s="4">
        <v>13.62</v>
      </c>
      <c r="C326" s="4">
        <v>14.26</v>
      </c>
      <c r="D326" s="4">
        <v>26.45</v>
      </c>
      <c r="E326" s="13">
        <v>65838651808.8</v>
      </c>
      <c r="F326" s="4" t="s">
        <v>76</v>
      </c>
      <c r="G326" s="14">
        <f t="shared" si="20"/>
        <v>-0.0469897209985317</v>
      </c>
      <c r="H326" s="14">
        <f t="shared" si="21"/>
        <v>1.94199706314244</v>
      </c>
      <c r="I326" s="17">
        <f t="shared" si="22"/>
        <v>-41.3281249999999</v>
      </c>
      <c r="J326" s="4">
        <v>0.5</v>
      </c>
      <c r="K326" s="4">
        <v>6.28164421179095</v>
      </c>
      <c r="L326" s="4">
        <v>5.5254</v>
      </c>
      <c r="M326" s="4">
        <v>5.508</v>
      </c>
      <c r="Q326" s="4">
        <v>14.38</v>
      </c>
      <c r="R326" s="18">
        <f t="shared" si="23"/>
        <v>-0.0528511821974966</v>
      </c>
    </row>
    <row r="327" s="4" customFormat="1" spans="1:18">
      <c r="A327" s="4">
        <v>2669</v>
      </c>
      <c r="B327" s="4">
        <v>0.88</v>
      </c>
      <c r="C327" s="4">
        <v>0.89</v>
      </c>
      <c r="D327" s="4">
        <v>1.86</v>
      </c>
      <c r="E327" s="4">
        <v>0</v>
      </c>
      <c r="F327" s="4" t="s">
        <v>281</v>
      </c>
      <c r="G327" s="14">
        <f t="shared" si="20"/>
        <v>-0.0113636363636365</v>
      </c>
      <c r="H327" s="14">
        <f t="shared" si="21"/>
        <v>2.11363636363636</v>
      </c>
      <c r="I327" s="17">
        <f t="shared" si="22"/>
        <v>-185.999999999998</v>
      </c>
      <c r="J327" s="4">
        <v>0</v>
      </c>
      <c r="Q327" s="4">
        <v>0.93</v>
      </c>
      <c r="R327" s="18">
        <f t="shared" si="23"/>
        <v>-0.0537634408602151</v>
      </c>
    </row>
    <row r="328" s="4" customFormat="1" spans="1:18">
      <c r="A328" s="4">
        <v>1027</v>
      </c>
      <c r="B328" s="4">
        <v>1.4</v>
      </c>
      <c r="C328" s="4">
        <v>0.05</v>
      </c>
      <c r="D328" s="4">
        <v>3.3</v>
      </c>
      <c r="E328" s="13">
        <v>22050000000</v>
      </c>
      <c r="F328" s="4" t="s">
        <v>675</v>
      </c>
      <c r="G328" s="14">
        <f t="shared" si="20"/>
        <v>0.964285714285714</v>
      </c>
      <c r="H328" s="14">
        <f t="shared" si="21"/>
        <v>2.35714285714286</v>
      </c>
      <c r="I328" s="17">
        <f t="shared" si="22"/>
        <v>2.44444444444444</v>
      </c>
      <c r="J328" s="4">
        <v>43.62</v>
      </c>
      <c r="K328" s="4">
        <v>25.7853480285259</v>
      </c>
      <c r="L328" s="4">
        <v>242.6514</v>
      </c>
      <c r="M328" s="4">
        <v>242.623</v>
      </c>
      <c r="Q328" s="4">
        <v>1.48</v>
      </c>
      <c r="R328" s="18">
        <f t="shared" si="23"/>
        <v>-0.0540540540540541</v>
      </c>
    </row>
    <row r="329" s="6" customFormat="1" spans="1:18">
      <c r="A329" s="4">
        <v>966</v>
      </c>
      <c r="B329" s="4">
        <v>15.92</v>
      </c>
      <c r="C329" s="4">
        <v>13.66</v>
      </c>
      <c r="D329" s="4">
        <v>33.3</v>
      </c>
      <c r="E329" s="13">
        <v>63470367381.08</v>
      </c>
      <c r="F329" s="4" t="s">
        <v>534</v>
      </c>
      <c r="G329" s="14">
        <f t="shared" si="20"/>
        <v>0.141959798994975</v>
      </c>
      <c r="H329" s="14">
        <f t="shared" si="21"/>
        <v>2.09170854271357</v>
      </c>
      <c r="I329" s="17">
        <f t="shared" si="22"/>
        <v>14.7345132743363</v>
      </c>
      <c r="J329" s="4">
        <v>1</v>
      </c>
      <c r="K329" s="4">
        <v>0.44</v>
      </c>
      <c r="L329" s="4">
        <v>16.0138</v>
      </c>
      <c r="M329" s="4">
        <v>11.68</v>
      </c>
      <c r="N329" s="4"/>
      <c r="O329" s="4"/>
      <c r="P329" s="4"/>
      <c r="Q329" s="4">
        <v>16.84</v>
      </c>
      <c r="R329" s="18">
        <f t="shared" si="23"/>
        <v>-0.0546318289786223</v>
      </c>
    </row>
    <row r="330" s="4" customFormat="1" spans="1:18">
      <c r="A330" s="4">
        <v>8138</v>
      </c>
      <c r="B330" s="4">
        <v>7.85</v>
      </c>
      <c r="C330" s="4">
        <v>7.71</v>
      </c>
      <c r="D330" s="4">
        <v>14.82</v>
      </c>
      <c r="E330" s="13">
        <v>7073495000</v>
      </c>
      <c r="F330" s="4" t="s">
        <v>479</v>
      </c>
      <c r="G330" s="14">
        <f t="shared" si="20"/>
        <v>0.0178343949044586</v>
      </c>
      <c r="H330" s="14">
        <f t="shared" si="21"/>
        <v>1.88789808917197</v>
      </c>
      <c r="I330" s="17">
        <f t="shared" si="22"/>
        <v>105.857142857143</v>
      </c>
      <c r="J330" s="4">
        <v>4.31</v>
      </c>
      <c r="K330" s="14">
        <v>7.56016820255882</v>
      </c>
      <c r="L330" s="4">
        <v>24.6357</v>
      </c>
      <c r="M330" s="4">
        <v>24.024</v>
      </c>
      <c r="Q330" s="4">
        <v>8.31</v>
      </c>
      <c r="R330" s="18">
        <f t="shared" si="23"/>
        <v>-0.0553549939831529</v>
      </c>
    </row>
    <row r="331" s="4" customFormat="1" spans="1:18">
      <c r="A331" s="4">
        <v>726</v>
      </c>
      <c r="B331" s="4">
        <v>0.42</v>
      </c>
      <c r="C331" s="4">
        <v>0.11</v>
      </c>
      <c r="D331" s="4">
        <v>1.32</v>
      </c>
      <c r="E331" s="13">
        <v>4441177270.2</v>
      </c>
      <c r="F331" s="4" t="s">
        <v>340</v>
      </c>
      <c r="G331" s="14">
        <f t="shared" si="20"/>
        <v>0.738095238095238</v>
      </c>
      <c r="H331" s="14">
        <f t="shared" si="21"/>
        <v>3.14285714285714</v>
      </c>
      <c r="I331" s="17">
        <f t="shared" si="22"/>
        <v>4.25806451612903</v>
      </c>
      <c r="J331" s="4">
        <v>2.84</v>
      </c>
      <c r="K331" s="4">
        <v>334.615384615384</v>
      </c>
      <c r="Q331" s="4">
        <v>0.445</v>
      </c>
      <c r="R331" s="18">
        <f t="shared" si="23"/>
        <v>-0.0561797752808989</v>
      </c>
    </row>
    <row r="332" s="4" customFormat="1" spans="1:18">
      <c r="A332" s="4">
        <v>442</v>
      </c>
      <c r="B332" s="4">
        <v>2.51</v>
      </c>
      <c r="C332" s="4">
        <v>2.1</v>
      </c>
      <c r="D332" s="4">
        <v>15.2</v>
      </c>
      <c r="E332" s="13">
        <v>428800000</v>
      </c>
      <c r="F332" s="4" t="s">
        <v>87</v>
      </c>
      <c r="G332" s="14">
        <f t="shared" si="20"/>
        <v>0.163346613545817</v>
      </c>
      <c r="H332" s="14">
        <f t="shared" si="21"/>
        <v>6.05577689243028</v>
      </c>
      <c r="I332" s="14">
        <f t="shared" si="22"/>
        <v>37.0731707317074</v>
      </c>
      <c r="J332" s="4" t="s">
        <v>88</v>
      </c>
      <c r="K332" s="4">
        <v>1.21</v>
      </c>
      <c r="L332" s="4">
        <v>0.288755764340818</v>
      </c>
      <c r="M332" s="4">
        <v>21.0795</v>
      </c>
      <c r="N332" s="4">
        <v>14.022</v>
      </c>
      <c r="Q332" s="4">
        <v>2.66</v>
      </c>
      <c r="R332" s="18">
        <f t="shared" si="23"/>
        <v>-0.0563909774436091</v>
      </c>
    </row>
    <row r="333" s="4" customFormat="1" spans="1:18">
      <c r="A333" s="4">
        <v>1362</v>
      </c>
      <c r="B333" s="4">
        <v>1.67</v>
      </c>
      <c r="C333" s="4">
        <v>0.85</v>
      </c>
      <c r="D333" s="4">
        <v>2.65</v>
      </c>
      <c r="E333" s="13">
        <v>506800000</v>
      </c>
      <c r="F333" s="4" t="s">
        <v>20</v>
      </c>
      <c r="G333" s="14">
        <f t="shared" si="20"/>
        <v>0.491017964071856</v>
      </c>
      <c r="H333" s="14">
        <f t="shared" si="21"/>
        <v>1.58682634730539</v>
      </c>
      <c r="I333" s="17">
        <f t="shared" si="22"/>
        <v>3.23170731707317</v>
      </c>
      <c r="J333" s="4">
        <v>5.02</v>
      </c>
      <c r="K333" s="4">
        <v>0.598169139760071</v>
      </c>
      <c r="Q333" s="4">
        <v>1.77</v>
      </c>
      <c r="R333" s="18">
        <f t="shared" si="23"/>
        <v>-0.056497175141243</v>
      </c>
    </row>
    <row r="334" s="4" customFormat="1" spans="1:18">
      <c r="A334" s="4">
        <v>362</v>
      </c>
      <c r="B334" s="4">
        <v>0.65</v>
      </c>
      <c r="C334" s="4">
        <v>0.25</v>
      </c>
      <c r="D334" s="4">
        <v>1.23</v>
      </c>
      <c r="E334" s="13">
        <v>1691858658.49</v>
      </c>
      <c r="F334" s="4" t="s">
        <v>337</v>
      </c>
      <c r="G334" s="14">
        <f t="shared" si="20"/>
        <v>0.615384615384615</v>
      </c>
      <c r="H334" s="14">
        <f t="shared" si="21"/>
        <v>1.89230769230769</v>
      </c>
      <c r="I334" s="17">
        <f t="shared" si="22"/>
        <v>3.075</v>
      </c>
      <c r="J334" s="4">
        <v>0.8</v>
      </c>
      <c r="K334" s="4">
        <v>19.6132596685082</v>
      </c>
      <c r="Q334" s="4">
        <v>0.69</v>
      </c>
      <c r="R334" s="18">
        <f t="shared" si="23"/>
        <v>-0.0579710144927535</v>
      </c>
    </row>
    <row r="335" s="6" customFormat="1" spans="1:18">
      <c r="A335" s="4">
        <v>1899</v>
      </c>
      <c r="B335" s="4">
        <v>1.29</v>
      </c>
      <c r="C335" s="4">
        <v>1.32</v>
      </c>
      <c r="D335" s="4">
        <v>3.35</v>
      </c>
      <c r="E335" s="13">
        <v>2037867729.41</v>
      </c>
      <c r="F335" s="4" t="s">
        <v>48</v>
      </c>
      <c r="G335" s="14">
        <f t="shared" si="20"/>
        <v>-0.0232558139534884</v>
      </c>
      <c r="H335" s="14">
        <f t="shared" si="21"/>
        <v>2.5968992248062</v>
      </c>
      <c r="I335" s="17">
        <f t="shared" si="22"/>
        <v>-111.666666666666</v>
      </c>
      <c r="J335" s="4">
        <v>0.33</v>
      </c>
      <c r="K335" s="4">
        <v>0.334072516326172</v>
      </c>
      <c r="L335" s="4">
        <v>4.972</v>
      </c>
      <c r="M335" s="4">
        <v>5.093</v>
      </c>
      <c r="N335" s="4"/>
      <c r="O335" s="4"/>
      <c r="P335" s="4"/>
      <c r="Q335" s="4">
        <v>1.37</v>
      </c>
      <c r="R335" s="18">
        <f t="shared" si="23"/>
        <v>-0.0583941605839416</v>
      </c>
    </row>
    <row r="336" s="4" customFormat="1" spans="1:18">
      <c r="A336" s="4">
        <v>1229</v>
      </c>
      <c r="B336" s="4">
        <v>0.47</v>
      </c>
      <c r="C336" s="4">
        <v>0.34</v>
      </c>
      <c r="D336" s="4">
        <v>1.65</v>
      </c>
      <c r="E336" s="13">
        <v>390340527.84</v>
      </c>
      <c r="F336" s="4" t="s">
        <v>334</v>
      </c>
      <c r="G336" s="14">
        <f t="shared" si="20"/>
        <v>0.276595744680851</v>
      </c>
      <c r="H336" s="14">
        <f t="shared" si="21"/>
        <v>3.51063829787234</v>
      </c>
      <c r="I336" s="14">
        <f t="shared" si="22"/>
        <v>12.6923076923077</v>
      </c>
      <c r="J336" s="4">
        <v>2.99</v>
      </c>
      <c r="K336" s="4">
        <v>8.58585858585858</v>
      </c>
      <c r="Q336" s="4">
        <v>0.5</v>
      </c>
      <c r="R336" s="18">
        <f t="shared" si="23"/>
        <v>-0.0600000000000001</v>
      </c>
    </row>
    <row r="337" s="4" customFormat="1" spans="1:18">
      <c r="A337" s="4">
        <v>1030</v>
      </c>
      <c r="B337" s="4">
        <v>0.94</v>
      </c>
      <c r="C337" s="4">
        <v>0.62</v>
      </c>
      <c r="D337" s="4">
        <v>1.87</v>
      </c>
      <c r="E337" s="13">
        <v>5658000000</v>
      </c>
      <c r="F337" s="4" t="s">
        <v>533</v>
      </c>
      <c r="G337" s="14">
        <f t="shared" si="20"/>
        <v>0.340425531914894</v>
      </c>
      <c r="H337" s="14">
        <f t="shared" si="21"/>
        <v>1.98936170212766</v>
      </c>
      <c r="I337" s="17">
        <f t="shared" si="22"/>
        <v>5.84375</v>
      </c>
      <c r="J337" s="4">
        <v>0.6</v>
      </c>
      <c r="K337" s="4">
        <v>0.256978738185672</v>
      </c>
      <c r="L337" s="4">
        <v>4.4115</v>
      </c>
      <c r="M337" s="4">
        <v>4.419</v>
      </c>
      <c r="Q337" s="4">
        <v>1</v>
      </c>
      <c r="R337" s="18">
        <f t="shared" si="23"/>
        <v>-0.0600000000000001</v>
      </c>
    </row>
    <row r="338" s="4" customFormat="1" spans="1:18">
      <c r="A338" s="4">
        <v>6869</v>
      </c>
      <c r="B338" s="4">
        <v>7.6</v>
      </c>
      <c r="C338" s="4">
        <v>6.05</v>
      </c>
      <c r="D338" s="4">
        <v>12.32</v>
      </c>
      <c r="E338" s="13">
        <v>2851206699.34</v>
      </c>
      <c r="F338" s="4" t="s">
        <v>160</v>
      </c>
      <c r="G338" s="14">
        <f t="shared" si="20"/>
        <v>0.203947368421053</v>
      </c>
      <c r="H338" s="14">
        <f t="shared" si="21"/>
        <v>1.62105263157895</v>
      </c>
      <c r="I338" s="17">
        <f t="shared" si="22"/>
        <v>7.94838709677419</v>
      </c>
      <c r="J338" s="4">
        <v>1.48</v>
      </c>
      <c r="K338" s="14">
        <v>0.66749967443547</v>
      </c>
      <c r="L338" s="4">
        <v>9.4869</v>
      </c>
      <c r="M338" s="4">
        <v>6.781</v>
      </c>
      <c r="P338" s="6"/>
      <c r="Q338" s="4">
        <v>8.09</v>
      </c>
      <c r="R338" s="18">
        <f t="shared" si="23"/>
        <v>-0.0605686032138443</v>
      </c>
    </row>
    <row r="339" s="4" customFormat="1" spans="1:18">
      <c r="A339" s="4">
        <v>1360</v>
      </c>
      <c r="B339" s="4">
        <v>0.9</v>
      </c>
      <c r="C339" s="4">
        <v>0.8</v>
      </c>
      <c r="D339" s="4">
        <v>7.1</v>
      </c>
      <c r="E339" s="13">
        <v>1176000000</v>
      </c>
      <c r="F339" s="4" t="s">
        <v>368</v>
      </c>
      <c r="G339" s="14">
        <f t="shared" si="20"/>
        <v>0.111111111111111</v>
      </c>
      <c r="H339" s="14">
        <f t="shared" si="21"/>
        <v>7.88888888888889</v>
      </c>
      <c r="I339" s="14">
        <f t="shared" si="22"/>
        <v>71</v>
      </c>
      <c r="J339" s="4" t="s">
        <v>196</v>
      </c>
      <c r="K339" s="4">
        <v>7.45</v>
      </c>
      <c r="L339" s="4">
        <v>1.2387814435596</v>
      </c>
      <c r="M339" s="4">
        <v>25.0877</v>
      </c>
      <c r="N339" s="4">
        <v>23.472</v>
      </c>
      <c r="Q339" s="4">
        <v>0.96</v>
      </c>
      <c r="R339" s="18">
        <f t="shared" si="23"/>
        <v>-0.0624999999999999</v>
      </c>
    </row>
    <row r="340" s="4" customFormat="1" spans="1:18">
      <c r="A340" s="4">
        <v>1039</v>
      </c>
      <c r="B340" s="4">
        <v>0.89</v>
      </c>
      <c r="C340" s="4">
        <v>0.37</v>
      </c>
      <c r="D340" s="4">
        <v>2.77</v>
      </c>
      <c r="E340" s="13">
        <v>1456090908.4</v>
      </c>
      <c r="F340" s="4" t="s">
        <v>113</v>
      </c>
      <c r="G340" s="14">
        <f t="shared" si="20"/>
        <v>0.584269662921348</v>
      </c>
      <c r="H340" s="14">
        <f t="shared" si="21"/>
        <v>3.1123595505618</v>
      </c>
      <c r="I340" s="17">
        <f t="shared" si="22"/>
        <v>5.32692307692308</v>
      </c>
      <c r="J340" s="4">
        <v>5.39</v>
      </c>
      <c r="K340" s="4">
        <v>6.23362116040104</v>
      </c>
      <c r="Q340" s="4">
        <v>0.95</v>
      </c>
      <c r="R340" s="18">
        <f t="shared" si="23"/>
        <v>-0.0631578947368421</v>
      </c>
    </row>
    <row r="341" s="4" customFormat="1" spans="1:18">
      <c r="A341" s="4">
        <v>382</v>
      </c>
      <c r="B341" s="4">
        <v>1.17</v>
      </c>
      <c r="C341" s="4">
        <v>1.1</v>
      </c>
      <c r="D341" s="4">
        <v>2.37</v>
      </c>
      <c r="E341" s="13">
        <v>3608152155.72</v>
      </c>
      <c r="F341" s="4" t="s">
        <v>426</v>
      </c>
      <c r="G341" s="14">
        <f t="shared" si="20"/>
        <v>0.0598290598290597</v>
      </c>
      <c r="H341" s="14">
        <f t="shared" si="21"/>
        <v>2.02564102564103</v>
      </c>
      <c r="I341" s="17">
        <f t="shared" si="22"/>
        <v>33.8571428571429</v>
      </c>
      <c r="J341" s="4">
        <v>0.81</v>
      </c>
      <c r="K341" s="4">
        <v>0.371878873738268</v>
      </c>
      <c r="L341" s="4">
        <v>5.3188</v>
      </c>
      <c r="M341" s="4">
        <v>5.261</v>
      </c>
      <c r="Q341" s="4">
        <v>1.25</v>
      </c>
      <c r="R341" s="18">
        <f t="shared" si="23"/>
        <v>-0.0640000000000001</v>
      </c>
    </row>
    <row r="342" s="4" customFormat="1" spans="1:18">
      <c r="A342" s="4">
        <v>1336</v>
      </c>
      <c r="B342" s="4">
        <v>24.05</v>
      </c>
      <c r="C342" s="4">
        <v>25.55</v>
      </c>
      <c r="D342" s="4">
        <v>56.55</v>
      </c>
      <c r="E342" s="13">
        <v>27920896020</v>
      </c>
      <c r="F342" s="4" t="s">
        <v>201</v>
      </c>
      <c r="G342" s="14">
        <f t="shared" si="20"/>
        <v>-0.0623700623700623</v>
      </c>
      <c r="H342" s="14">
        <f t="shared" si="21"/>
        <v>2.35135135135135</v>
      </c>
      <c r="I342" s="17">
        <f t="shared" si="22"/>
        <v>-37.7000000000001</v>
      </c>
      <c r="J342" s="4">
        <v>1.17</v>
      </c>
      <c r="K342" s="4">
        <v>3.5</v>
      </c>
      <c r="L342" s="4">
        <v>10.5152</v>
      </c>
      <c r="M342" s="4">
        <v>10.011</v>
      </c>
      <c r="Q342" s="4">
        <v>25.7</v>
      </c>
      <c r="R342" s="18">
        <f t="shared" si="23"/>
        <v>-0.0642023346303502</v>
      </c>
    </row>
    <row r="343" s="4" customFormat="1" spans="1:18">
      <c r="A343" s="4">
        <v>1816</v>
      </c>
      <c r="B343" s="4">
        <v>2.17</v>
      </c>
      <c r="C343" s="4">
        <v>2.3</v>
      </c>
      <c r="D343" s="4">
        <v>5.53</v>
      </c>
      <c r="E343" s="13">
        <v>27350881250</v>
      </c>
      <c r="F343" s="4" t="s">
        <v>694</v>
      </c>
      <c r="G343" s="14">
        <f t="shared" si="20"/>
        <v>-0.0599078341013823</v>
      </c>
      <c r="H343" s="14">
        <f t="shared" si="21"/>
        <v>2.54838709677419</v>
      </c>
      <c r="I343" s="17">
        <f t="shared" si="22"/>
        <v>-42.5384615384617</v>
      </c>
      <c r="J343" s="4">
        <v>1.65</v>
      </c>
      <c r="K343" s="4">
        <v>3.71504540316203</v>
      </c>
      <c r="L343" s="4">
        <v>15.5886</v>
      </c>
      <c r="M343" s="4">
        <v>10.816</v>
      </c>
      <c r="Q343" s="4">
        <v>2.32</v>
      </c>
      <c r="R343" s="18">
        <f t="shared" si="23"/>
        <v>-0.064655172413793</v>
      </c>
    </row>
    <row r="344" s="4" customFormat="1" spans="1:18">
      <c r="A344" s="6">
        <v>1035</v>
      </c>
      <c r="B344" s="6">
        <v>1.59</v>
      </c>
      <c r="C344" s="6">
        <v>1.39</v>
      </c>
      <c r="D344" s="6">
        <v>5.66</v>
      </c>
      <c r="E344" s="15">
        <v>966374064</v>
      </c>
      <c r="F344" s="6" t="s">
        <v>531</v>
      </c>
      <c r="G344" s="16">
        <f t="shared" si="20"/>
        <v>0.125786163522013</v>
      </c>
      <c r="H344" s="16">
        <f t="shared" si="21"/>
        <v>3.55974842767296</v>
      </c>
      <c r="I344" s="16">
        <f t="shared" si="22"/>
        <v>28.3</v>
      </c>
      <c r="J344" s="6">
        <v>1.56</v>
      </c>
      <c r="K344" s="6">
        <v>2.84764564251998</v>
      </c>
      <c r="L344" s="6">
        <v>21.926</v>
      </c>
      <c r="M344" s="6">
        <v>16.098</v>
      </c>
      <c r="N344" s="6"/>
      <c r="O344" s="6"/>
      <c r="Q344" s="6">
        <v>1.7</v>
      </c>
      <c r="R344" s="18">
        <f t="shared" si="23"/>
        <v>-0.0647058823529411</v>
      </c>
    </row>
    <row r="345" s="6" customFormat="1" spans="1:18">
      <c r="A345" s="4">
        <v>35</v>
      </c>
      <c r="B345" s="4">
        <v>2.24</v>
      </c>
      <c r="C345" s="4">
        <v>2.39</v>
      </c>
      <c r="D345" s="4">
        <v>4.1</v>
      </c>
      <c r="E345" s="13">
        <v>5134658954.52</v>
      </c>
      <c r="F345" s="4" t="s">
        <v>165</v>
      </c>
      <c r="G345" s="14">
        <f t="shared" si="20"/>
        <v>-0.0669642857142856</v>
      </c>
      <c r="H345" s="14">
        <f t="shared" si="21"/>
        <v>1.83035714285714</v>
      </c>
      <c r="I345" s="17">
        <f t="shared" si="22"/>
        <v>-27.3333333333334</v>
      </c>
      <c r="J345" s="4">
        <v>0.58</v>
      </c>
      <c r="K345" s="4">
        <v>1.1901205059257</v>
      </c>
      <c r="L345" s="4">
        <v>5.3904</v>
      </c>
      <c r="M345" s="4">
        <v>4.703</v>
      </c>
      <c r="N345" s="4"/>
      <c r="O345" s="4"/>
      <c r="P345" s="4"/>
      <c r="Q345" s="4">
        <v>2.4</v>
      </c>
      <c r="R345" s="18">
        <f t="shared" si="23"/>
        <v>-0.0666666666666665</v>
      </c>
    </row>
    <row r="346" s="4" customFormat="1" spans="1:18">
      <c r="A346" s="4">
        <v>1599</v>
      </c>
      <c r="B346" s="4">
        <v>3.76</v>
      </c>
      <c r="C346" s="4">
        <v>3.28</v>
      </c>
      <c r="D346" s="4">
        <v>7.79</v>
      </c>
      <c r="E346" s="13">
        <v>1598300440</v>
      </c>
      <c r="F346" s="4" t="s">
        <v>124</v>
      </c>
      <c r="G346" s="14">
        <f t="shared" si="20"/>
        <v>0.127659574468085</v>
      </c>
      <c r="H346" s="14">
        <f t="shared" si="21"/>
        <v>2.0718085106383</v>
      </c>
      <c r="I346" s="17">
        <f t="shared" si="22"/>
        <v>16.2291666666667</v>
      </c>
      <c r="J346" s="4">
        <v>1.55</v>
      </c>
      <c r="K346" s="4">
        <v>1.30809063008141</v>
      </c>
      <c r="L346" s="4">
        <v>11.9873</v>
      </c>
      <c r="M346" s="4">
        <v>9.839</v>
      </c>
      <c r="Q346" s="4">
        <v>4.03</v>
      </c>
      <c r="R346" s="18">
        <f t="shared" si="23"/>
        <v>-0.0669975186104219</v>
      </c>
    </row>
    <row r="347" s="4" customFormat="1" spans="1:18">
      <c r="A347" s="4">
        <v>2223</v>
      </c>
      <c r="B347" s="4">
        <v>3.05</v>
      </c>
      <c r="C347" s="4">
        <v>1.03</v>
      </c>
      <c r="D347" s="4">
        <v>11.8</v>
      </c>
      <c r="E347" s="13">
        <v>870915840</v>
      </c>
      <c r="F347" s="4" t="s">
        <v>111</v>
      </c>
      <c r="G347" s="14">
        <f t="shared" si="20"/>
        <v>0.662295081967213</v>
      </c>
      <c r="H347" s="14">
        <f t="shared" si="21"/>
        <v>3.86885245901639</v>
      </c>
      <c r="I347" s="14">
        <f t="shared" si="22"/>
        <v>5.84158415841584</v>
      </c>
      <c r="J347" s="4">
        <v>2.36</v>
      </c>
      <c r="K347" s="4">
        <v>2.33670780751629</v>
      </c>
      <c r="L347" s="4">
        <v>68.2911</v>
      </c>
      <c r="M347" s="4">
        <v>51.496</v>
      </c>
      <c r="Q347" s="4">
        <v>3.27</v>
      </c>
      <c r="R347" s="18">
        <f t="shared" si="23"/>
        <v>-0.0672782874617738</v>
      </c>
    </row>
    <row r="348" s="4" customFormat="1" spans="1:18">
      <c r="A348" s="4">
        <v>307</v>
      </c>
      <c r="B348" s="4">
        <v>0.345</v>
      </c>
      <c r="C348" s="4">
        <v>0.25</v>
      </c>
      <c r="D348" s="4">
        <v>1.17</v>
      </c>
      <c r="E348" s="13">
        <v>1633865547.96</v>
      </c>
      <c r="F348" s="4" t="s">
        <v>323</v>
      </c>
      <c r="G348" s="14">
        <f t="shared" si="20"/>
        <v>0.27536231884058</v>
      </c>
      <c r="H348" s="14">
        <f t="shared" si="21"/>
        <v>3.39130434782609</v>
      </c>
      <c r="I348" s="14">
        <f t="shared" si="22"/>
        <v>12.3157894736842</v>
      </c>
      <c r="J348" s="4">
        <v>0.21</v>
      </c>
      <c r="K348" s="4">
        <v>8.1081081081081</v>
      </c>
      <c r="Q348" s="4">
        <v>0.37</v>
      </c>
      <c r="R348" s="18">
        <f t="shared" si="23"/>
        <v>-0.0675675675675677</v>
      </c>
    </row>
    <row r="349" s="4" customFormat="1" spans="1:18">
      <c r="A349" s="6">
        <v>798</v>
      </c>
      <c r="B349" s="6">
        <v>0.8</v>
      </c>
      <c r="C349" s="6">
        <v>0.4</v>
      </c>
      <c r="D349" s="6">
        <v>1.4</v>
      </c>
      <c r="E349" s="15">
        <v>3440000000</v>
      </c>
      <c r="F349" s="6" t="s">
        <v>310</v>
      </c>
      <c r="G349" s="16">
        <f t="shared" si="20"/>
        <v>0.5</v>
      </c>
      <c r="H349" s="16">
        <f t="shared" si="21"/>
        <v>1.75</v>
      </c>
      <c r="I349" s="16">
        <f t="shared" si="22"/>
        <v>3.5</v>
      </c>
      <c r="J349" s="6">
        <v>1.15</v>
      </c>
      <c r="K349" s="6">
        <v>3.07093722147313</v>
      </c>
      <c r="L349" s="6">
        <v>6.6262</v>
      </c>
      <c r="M349" s="6">
        <v>6.236</v>
      </c>
      <c r="N349" s="6"/>
      <c r="O349" s="6"/>
      <c r="P349" s="6"/>
      <c r="Q349" s="6">
        <v>0.86</v>
      </c>
      <c r="R349" s="19">
        <f t="shared" si="23"/>
        <v>-0.069767441860465</v>
      </c>
    </row>
    <row r="350" s="4" customFormat="1" spans="1:18">
      <c r="A350" s="4">
        <v>1070</v>
      </c>
      <c r="B350" s="4">
        <v>4</v>
      </c>
      <c r="C350" s="4">
        <v>2.55</v>
      </c>
      <c r="D350" s="4">
        <v>8.88</v>
      </c>
      <c r="E350" s="13">
        <v>5948738817.45</v>
      </c>
      <c r="F350" s="4" t="s">
        <v>231</v>
      </c>
      <c r="G350" s="14">
        <f t="shared" si="20"/>
        <v>0.3625</v>
      </c>
      <c r="H350" s="14">
        <f t="shared" si="21"/>
        <v>2.22</v>
      </c>
      <c r="I350" s="17">
        <f t="shared" si="22"/>
        <v>6.12413793103448</v>
      </c>
      <c r="J350" s="4">
        <v>1.47</v>
      </c>
      <c r="K350" s="4">
        <v>0.174685647273438</v>
      </c>
      <c r="L350" s="4">
        <v>25.3679</v>
      </c>
      <c r="M350" s="4">
        <v>24.212</v>
      </c>
      <c r="Q350" s="4">
        <v>4.3</v>
      </c>
      <c r="R350" s="18">
        <f t="shared" si="23"/>
        <v>-0.0697674418604651</v>
      </c>
    </row>
    <row r="351" s="4" customFormat="1" spans="1:18">
      <c r="A351" s="4">
        <v>968</v>
      </c>
      <c r="B351" s="4">
        <v>2.47</v>
      </c>
      <c r="C351" s="4">
        <v>1.97</v>
      </c>
      <c r="D351" s="4">
        <v>3.97</v>
      </c>
      <c r="E351" s="13">
        <v>18356736000</v>
      </c>
      <c r="F351" s="4" t="s">
        <v>101</v>
      </c>
      <c r="G351" s="14">
        <f t="shared" si="20"/>
        <v>0.202429149797571</v>
      </c>
      <c r="H351" s="14">
        <f t="shared" si="21"/>
        <v>1.60728744939271</v>
      </c>
      <c r="I351" s="17">
        <f t="shared" si="22"/>
        <v>7.94</v>
      </c>
      <c r="J351" s="4">
        <v>3.38</v>
      </c>
      <c r="K351" s="4">
        <v>4.1820418204182</v>
      </c>
      <c r="L351" s="4">
        <v>37.2369</v>
      </c>
      <c r="M351" s="4">
        <v>31.591</v>
      </c>
      <c r="Q351" s="4">
        <v>2.66</v>
      </c>
      <c r="R351" s="18">
        <f t="shared" si="23"/>
        <v>-0.0714285714285714</v>
      </c>
    </row>
    <row r="352" s="4" customFormat="1" spans="1:18">
      <c r="A352" s="4">
        <v>1011</v>
      </c>
      <c r="B352" s="4">
        <v>2.08</v>
      </c>
      <c r="C352" s="4">
        <v>0.85</v>
      </c>
      <c r="D352" s="4">
        <v>3.24</v>
      </c>
      <c r="E352" s="13">
        <v>3443175138</v>
      </c>
      <c r="F352" s="4" t="s">
        <v>193</v>
      </c>
      <c r="G352" s="14">
        <f t="shared" si="20"/>
        <v>0.591346153846154</v>
      </c>
      <c r="H352" s="14">
        <f t="shared" si="21"/>
        <v>1.55769230769231</v>
      </c>
      <c r="I352" s="17">
        <f t="shared" si="22"/>
        <v>2.63414634146341</v>
      </c>
      <c r="J352" s="4">
        <v>3.36</v>
      </c>
      <c r="K352" s="4">
        <v>2.98954365847042</v>
      </c>
      <c r="L352" s="4">
        <v>1319.4341</v>
      </c>
      <c r="M352" s="4">
        <v>933.333</v>
      </c>
      <c r="Q352" s="4">
        <v>2.24</v>
      </c>
      <c r="R352" s="18">
        <f t="shared" si="23"/>
        <v>-0.0714285714285715</v>
      </c>
    </row>
    <row r="353" s="4" customFormat="1" spans="1:18">
      <c r="A353" s="4">
        <v>1157</v>
      </c>
      <c r="B353" s="4">
        <v>2.05</v>
      </c>
      <c r="C353" s="4">
        <v>2.2</v>
      </c>
      <c r="D353" s="4">
        <v>6.88</v>
      </c>
      <c r="E353" s="13">
        <v>3165112156.08</v>
      </c>
      <c r="F353" s="4" t="s">
        <v>57</v>
      </c>
      <c r="G353" s="14">
        <f t="shared" si="20"/>
        <v>-0.0731707317073174</v>
      </c>
      <c r="H353" s="14">
        <f t="shared" si="21"/>
        <v>3.35609756097561</v>
      </c>
      <c r="I353" s="14">
        <f t="shared" si="22"/>
        <v>-45.8666666666665</v>
      </c>
      <c r="J353" s="4">
        <v>0.36</v>
      </c>
      <c r="K353" s="4">
        <v>0.660213664948387</v>
      </c>
      <c r="L353" s="4">
        <v>23.5268</v>
      </c>
      <c r="M353" s="4">
        <v>22.925</v>
      </c>
      <c r="Q353" s="4">
        <v>2.21</v>
      </c>
      <c r="R353" s="18">
        <f t="shared" si="23"/>
        <v>-0.0723981900452489</v>
      </c>
    </row>
    <row r="354" s="4" customFormat="1" spans="1:18">
      <c r="A354" s="4">
        <v>337</v>
      </c>
      <c r="B354" s="4">
        <v>2.15</v>
      </c>
      <c r="C354" s="4">
        <v>2.22</v>
      </c>
      <c r="D354" s="4">
        <v>8.6</v>
      </c>
      <c r="E354" s="13">
        <v>6257835769.92</v>
      </c>
      <c r="F354" s="4" t="s">
        <v>86</v>
      </c>
      <c r="G354" s="14">
        <f t="shared" si="20"/>
        <v>-0.032558139534884</v>
      </c>
      <c r="H354" s="14">
        <f t="shared" si="21"/>
        <v>4</v>
      </c>
      <c r="I354" s="14">
        <f t="shared" si="22"/>
        <v>-122.857142857142</v>
      </c>
      <c r="J354" s="4">
        <v>0.73</v>
      </c>
      <c r="K354" s="4">
        <v>2.06513753557844</v>
      </c>
      <c r="L354" s="4">
        <v>106.9099</v>
      </c>
      <c r="M354" s="4">
        <v>43.939</v>
      </c>
      <c r="Q354" s="4">
        <v>2.32</v>
      </c>
      <c r="R354" s="18">
        <f t="shared" si="23"/>
        <v>-0.0732758620689655</v>
      </c>
    </row>
    <row r="355" s="4" customFormat="1" spans="1:18">
      <c r="A355" s="4">
        <v>1478</v>
      </c>
      <c r="B355" s="4">
        <v>1.01</v>
      </c>
      <c r="C355" s="4">
        <v>1.01</v>
      </c>
      <c r="D355" s="4">
        <v>3.89</v>
      </c>
      <c r="E355" s="13">
        <v>1089621700</v>
      </c>
      <c r="F355" s="4" t="s">
        <v>569</v>
      </c>
      <c r="G355" s="14">
        <f t="shared" si="20"/>
        <v>0</v>
      </c>
      <c r="H355" s="14">
        <f t="shared" si="21"/>
        <v>3.85148514851485</v>
      </c>
      <c r="I355" s="14" t="e">
        <f t="shared" si="22"/>
        <v>#DIV/0!</v>
      </c>
      <c r="J355" s="4">
        <v>0.78</v>
      </c>
      <c r="K355" s="4">
        <v>0.487110388202532</v>
      </c>
      <c r="L355" s="4">
        <v>4.5834</v>
      </c>
      <c r="M355" s="4">
        <v>2.746</v>
      </c>
      <c r="Q355" s="4">
        <v>1.09</v>
      </c>
      <c r="R355" s="18">
        <f t="shared" si="23"/>
        <v>-0.0733944954128442</v>
      </c>
    </row>
    <row r="356" s="4" customFormat="1" spans="1:18">
      <c r="A356" s="4">
        <v>138</v>
      </c>
      <c r="B356" s="4">
        <v>0.87</v>
      </c>
      <c r="C356" s="4">
        <v>0.73</v>
      </c>
      <c r="D356" s="4">
        <v>1.36</v>
      </c>
      <c r="E356" s="13">
        <v>815747008.86</v>
      </c>
      <c r="F356" s="4" t="s">
        <v>72</v>
      </c>
      <c r="G356" s="14">
        <f t="shared" si="20"/>
        <v>0.160919540229885</v>
      </c>
      <c r="H356" s="14">
        <f t="shared" si="21"/>
        <v>1.5632183908046</v>
      </c>
      <c r="I356" s="17">
        <f t="shared" si="22"/>
        <v>9.71428571428571</v>
      </c>
      <c r="J356" s="4">
        <v>0.33</v>
      </c>
      <c r="K356" s="4">
        <v>1.23596922688863</v>
      </c>
      <c r="L356" s="4">
        <v>2.2786</v>
      </c>
      <c r="M356" s="4">
        <v>1.827</v>
      </c>
      <c r="Q356" s="4">
        <v>0.94</v>
      </c>
      <c r="R356" s="18">
        <f t="shared" si="23"/>
        <v>-0.0744680851063829</v>
      </c>
    </row>
    <row r="357" s="4" customFormat="1" spans="1:18">
      <c r="A357" s="4">
        <v>8158</v>
      </c>
      <c r="B357" s="4">
        <v>0.31</v>
      </c>
      <c r="C357" s="4">
        <v>0.22</v>
      </c>
      <c r="D357" s="4">
        <v>1</v>
      </c>
      <c r="E357" s="13">
        <v>6333184800</v>
      </c>
      <c r="F357" s="4" t="s">
        <v>50</v>
      </c>
      <c r="G357" s="14">
        <f t="shared" si="20"/>
        <v>0.290322580645161</v>
      </c>
      <c r="H357" s="14">
        <f t="shared" si="21"/>
        <v>3.2258064516129</v>
      </c>
      <c r="I357" s="17">
        <f t="shared" si="22"/>
        <v>11.1111111111111</v>
      </c>
      <c r="J357" s="4">
        <v>2.89</v>
      </c>
      <c r="K357" s="14">
        <v>46.1538461538461</v>
      </c>
      <c r="Q357" s="4">
        <v>0.335</v>
      </c>
      <c r="R357" s="18">
        <f t="shared" si="23"/>
        <v>-0.0746268656716419</v>
      </c>
    </row>
    <row r="358" s="4" customFormat="1" spans="1:18">
      <c r="A358" s="4">
        <v>8239</v>
      </c>
      <c r="B358" s="4">
        <v>0.345</v>
      </c>
      <c r="C358" s="4">
        <v>0.24</v>
      </c>
      <c r="D358" s="4">
        <v>0.85</v>
      </c>
      <c r="E358" s="13">
        <v>421431030.13</v>
      </c>
      <c r="F358" s="4" t="s">
        <v>344</v>
      </c>
      <c r="G358" s="14">
        <f t="shared" si="20"/>
        <v>0.304347826086957</v>
      </c>
      <c r="H358" s="14">
        <f t="shared" si="21"/>
        <v>2.46376811594203</v>
      </c>
      <c r="I358" s="17">
        <f t="shared" si="22"/>
        <v>8.09523809523809</v>
      </c>
      <c r="J358" s="4">
        <v>1.48</v>
      </c>
      <c r="K358" s="14">
        <v>1.78135675939482</v>
      </c>
      <c r="P358" s="6"/>
      <c r="Q358" s="4">
        <v>0.375</v>
      </c>
      <c r="R358" s="18">
        <f t="shared" si="23"/>
        <v>-0.0800000000000001</v>
      </c>
    </row>
    <row r="359" s="6" customFormat="1" spans="1:18">
      <c r="A359" s="6">
        <v>951</v>
      </c>
      <c r="B359" s="6">
        <v>4.2</v>
      </c>
      <c r="C359" s="6">
        <v>3.05</v>
      </c>
      <c r="D359" s="6">
        <v>6.96</v>
      </c>
      <c r="E359" s="15">
        <v>4446709155.42</v>
      </c>
      <c r="F359" s="6" t="s">
        <v>234</v>
      </c>
      <c r="G359" s="16">
        <f t="shared" si="20"/>
        <v>0.273809523809524</v>
      </c>
      <c r="H359" s="16">
        <f t="shared" si="21"/>
        <v>1.65714285714286</v>
      </c>
      <c r="I359" s="16">
        <f t="shared" si="22"/>
        <v>6.05217391304348</v>
      </c>
      <c r="J359" s="6">
        <v>1.45</v>
      </c>
      <c r="K359" s="6">
        <v>0.210063390287187</v>
      </c>
      <c r="Q359" s="6">
        <v>4.57</v>
      </c>
      <c r="R359" s="19">
        <f t="shared" si="23"/>
        <v>-0.0809628008752735</v>
      </c>
    </row>
    <row r="360" s="4" customFormat="1" spans="1:18">
      <c r="A360" s="4">
        <v>1328</v>
      </c>
      <c r="B360" s="4">
        <v>0.204</v>
      </c>
      <c r="C360" s="4">
        <v>0.148</v>
      </c>
      <c r="D360" s="4">
        <v>1.13</v>
      </c>
      <c r="E360" s="13">
        <v>2016528120</v>
      </c>
      <c r="F360" s="4" t="s">
        <v>568</v>
      </c>
      <c r="G360" s="14">
        <f t="shared" si="20"/>
        <v>0.274509803921569</v>
      </c>
      <c r="H360" s="14">
        <f t="shared" si="21"/>
        <v>5.53921568627451</v>
      </c>
      <c r="I360" s="14">
        <f t="shared" si="22"/>
        <v>20.1785714285714</v>
      </c>
      <c r="J360" s="4">
        <v>2.76</v>
      </c>
      <c r="K360" s="4">
        <v>7.18446601941747</v>
      </c>
      <c r="L360" s="4">
        <v>45.302</v>
      </c>
      <c r="M360" s="4">
        <v>45.306</v>
      </c>
      <c r="Q360" s="4">
        <v>0.222</v>
      </c>
      <c r="R360" s="18">
        <f t="shared" si="23"/>
        <v>-0.0810810810810811</v>
      </c>
    </row>
    <row r="361" s="4" customFormat="1" spans="1:18">
      <c r="A361" s="6">
        <v>1250</v>
      </c>
      <c r="B361" s="6">
        <v>0.39</v>
      </c>
      <c r="C361" s="6">
        <v>0.11</v>
      </c>
      <c r="D361" s="6">
        <v>1.92</v>
      </c>
      <c r="E361" s="15">
        <v>7348700135.55</v>
      </c>
      <c r="F361" s="6" t="s">
        <v>360</v>
      </c>
      <c r="G361" s="16">
        <f t="shared" si="20"/>
        <v>0.717948717948718</v>
      </c>
      <c r="H361" s="16">
        <f t="shared" si="21"/>
        <v>4.92307692307692</v>
      </c>
      <c r="I361" s="16">
        <f t="shared" si="22"/>
        <v>6.85714285714286</v>
      </c>
      <c r="J361" s="6">
        <v>5.57</v>
      </c>
      <c r="K361" s="6">
        <v>31.6139893807466</v>
      </c>
      <c r="L361" s="6">
        <v>256.3053</v>
      </c>
      <c r="M361" s="6">
        <v>47.222</v>
      </c>
      <c r="N361" s="6"/>
      <c r="O361" s="6"/>
      <c r="Q361" s="6">
        <v>0.425</v>
      </c>
      <c r="R361" s="18">
        <f t="shared" si="23"/>
        <v>-0.0823529411764705</v>
      </c>
    </row>
    <row r="362" s="4" customFormat="1" spans="1:18">
      <c r="A362" s="4">
        <v>1207</v>
      </c>
      <c r="B362" s="4">
        <v>0.265</v>
      </c>
      <c r="C362" s="4">
        <v>0.19</v>
      </c>
      <c r="D362" s="4">
        <v>0.97</v>
      </c>
      <c r="E362" s="13">
        <v>6169414116.6</v>
      </c>
      <c r="F362" s="4" t="s">
        <v>112</v>
      </c>
      <c r="G362" s="14">
        <f t="shared" si="20"/>
        <v>0.283018867924528</v>
      </c>
      <c r="H362" s="14">
        <f t="shared" si="21"/>
        <v>3.66037735849057</v>
      </c>
      <c r="I362" s="14">
        <f t="shared" si="22"/>
        <v>12.9333333333333</v>
      </c>
      <c r="J362" s="4">
        <v>0.6</v>
      </c>
      <c r="K362" s="4">
        <v>1.49402390438247</v>
      </c>
      <c r="Q362" s="4">
        <v>0.29</v>
      </c>
      <c r="R362" s="18">
        <f t="shared" si="23"/>
        <v>-0.086206896551724</v>
      </c>
    </row>
    <row r="363" s="6" customFormat="1" spans="1:18">
      <c r="A363" s="4">
        <v>1886</v>
      </c>
      <c r="B363" s="4">
        <v>2.7</v>
      </c>
      <c r="C363" s="4">
        <v>2.03</v>
      </c>
      <c r="D363" s="4">
        <v>5.1</v>
      </c>
      <c r="E363" s="13">
        <v>7766497176.85</v>
      </c>
      <c r="F363" s="4" t="s">
        <v>519</v>
      </c>
      <c r="G363" s="14">
        <f t="shared" si="20"/>
        <v>0.248148148148148</v>
      </c>
      <c r="H363" s="14">
        <f t="shared" si="21"/>
        <v>1.88888888888889</v>
      </c>
      <c r="I363" s="17">
        <f t="shared" si="22"/>
        <v>7.61194029850746</v>
      </c>
      <c r="J363" s="4">
        <v>0.62</v>
      </c>
      <c r="K363" s="4">
        <v>1.13904643872163</v>
      </c>
      <c r="L363" s="4"/>
      <c r="M363" s="4"/>
      <c r="N363" s="4"/>
      <c r="O363" s="4"/>
      <c r="P363" s="4"/>
      <c r="Q363" s="4">
        <v>2.97</v>
      </c>
      <c r="R363" s="18">
        <f t="shared" si="23"/>
        <v>-0.0909090909090909</v>
      </c>
    </row>
    <row r="364" s="4" customFormat="1" spans="1:18">
      <c r="A364" s="6">
        <v>1020</v>
      </c>
      <c r="B364" s="6">
        <v>0.25</v>
      </c>
      <c r="C364" s="6">
        <v>0.18</v>
      </c>
      <c r="D364" s="6">
        <v>0.88</v>
      </c>
      <c r="E364" s="15">
        <v>719383840</v>
      </c>
      <c r="F364" s="6" t="s">
        <v>102</v>
      </c>
      <c r="G364" s="16">
        <f t="shared" si="20"/>
        <v>0.28</v>
      </c>
      <c r="H364" s="16">
        <f t="shared" si="21"/>
        <v>3.52</v>
      </c>
      <c r="I364" s="16">
        <f t="shared" si="22"/>
        <v>12.5714285714286</v>
      </c>
      <c r="J364" s="6">
        <v>0.86</v>
      </c>
      <c r="K364" s="6">
        <v>1.66268868399022</v>
      </c>
      <c r="L364" s="6"/>
      <c r="M364" s="6"/>
      <c r="N364" s="6"/>
      <c r="O364" s="6"/>
      <c r="Q364" s="6">
        <v>0.275</v>
      </c>
      <c r="R364" s="18">
        <f t="shared" si="23"/>
        <v>-0.0909090909090909</v>
      </c>
    </row>
    <row r="365" s="6" customFormat="1" spans="1:18">
      <c r="A365" s="4">
        <v>1566</v>
      </c>
      <c r="B365" s="4">
        <v>2.93</v>
      </c>
      <c r="C365" s="4">
        <v>3.19</v>
      </c>
      <c r="D365" s="4">
        <v>12.5</v>
      </c>
      <c r="E365" s="13">
        <v>2840694960</v>
      </c>
      <c r="F365" s="4" t="s">
        <v>476</v>
      </c>
      <c r="G365" s="14">
        <f t="shared" si="20"/>
        <v>-0.0887372013651877</v>
      </c>
      <c r="H365" s="14">
        <f t="shared" si="21"/>
        <v>4.26621160409556</v>
      </c>
      <c r="I365" s="14">
        <f t="shared" si="22"/>
        <v>-48.0769230769231</v>
      </c>
      <c r="J365" s="4">
        <v>4.82</v>
      </c>
      <c r="K365" s="4">
        <v>2.73372976544433</v>
      </c>
      <c r="L365" s="4">
        <v>36.6517</v>
      </c>
      <c r="M365" s="4">
        <v>27.257</v>
      </c>
      <c r="N365" s="4"/>
      <c r="O365" s="4"/>
      <c r="P365" s="4"/>
      <c r="Q365" s="4">
        <v>3.23</v>
      </c>
      <c r="R365" s="18">
        <f t="shared" si="23"/>
        <v>-0.0928792569659442</v>
      </c>
    </row>
    <row r="366" s="4" customFormat="1" spans="1:18">
      <c r="A366" s="6">
        <v>8267</v>
      </c>
      <c r="B366" s="6">
        <v>4.06</v>
      </c>
      <c r="C366" s="6">
        <v>4.07</v>
      </c>
      <c r="D366" s="6">
        <v>16.88</v>
      </c>
      <c r="E366" s="15">
        <v>1611955187.68</v>
      </c>
      <c r="F366" s="6" t="s">
        <v>696</v>
      </c>
      <c r="G366" s="16">
        <f t="shared" si="20"/>
        <v>-0.00246305418719239</v>
      </c>
      <c r="H366" s="16">
        <f t="shared" si="21"/>
        <v>4.1576354679803</v>
      </c>
      <c r="I366" s="16">
        <f t="shared" si="22"/>
        <v>-1687.99999999981</v>
      </c>
      <c r="J366" s="6">
        <v>1.27</v>
      </c>
      <c r="K366" s="16">
        <v>2.75654536967115</v>
      </c>
      <c r="L366" s="6"/>
      <c r="M366" s="6"/>
      <c r="N366" s="6"/>
      <c r="O366" s="6"/>
      <c r="Q366" s="6">
        <v>4.49</v>
      </c>
      <c r="R366" s="18">
        <f t="shared" si="23"/>
        <v>-0.0957683741648108</v>
      </c>
    </row>
    <row r="367" s="4" customFormat="1" spans="1:18">
      <c r="A367" s="4">
        <v>139</v>
      </c>
      <c r="B367" s="4">
        <v>0.37</v>
      </c>
      <c r="C367" s="4">
        <v>0.16</v>
      </c>
      <c r="D367" s="4">
        <v>4.35</v>
      </c>
      <c r="E367" s="13">
        <v>3511756154.13</v>
      </c>
      <c r="F367" s="4" t="s">
        <v>78</v>
      </c>
      <c r="G367" s="14">
        <f t="shared" si="20"/>
        <v>0.567567567567568</v>
      </c>
      <c r="H367" s="14">
        <f t="shared" si="21"/>
        <v>11.7567567567568</v>
      </c>
      <c r="I367" s="14">
        <f t="shared" si="22"/>
        <v>20.7142857142857</v>
      </c>
      <c r="J367" s="4">
        <v>2.71</v>
      </c>
      <c r="K367" s="4">
        <v>23.8505747126436</v>
      </c>
      <c r="Q367" s="4">
        <v>0.41</v>
      </c>
      <c r="R367" s="18">
        <f t="shared" si="23"/>
        <v>-0.0975609756097561</v>
      </c>
    </row>
    <row r="368" s="4" customFormat="1" spans="1:18">
      <c r="A368" s="4">
        <v>8247</v>
      </c>
      <c r="B368" s="4">
        <v>3</v>
      </c>
      <c r="C368" s="4">
        <v>2.11</v>
      </c>
      <c r="D368" s="4">
        <v>7.17</v>
      </c>
      <c r="E368" s="13">
        <v>214072856.19</v>
      </c>
      <c r="F368" s="4" t="s">
        <v>200</v>
      </c>
      <c r="G368" s="14">
        <f t="shared" si="20"/>
        <v>0.296666666666667</v>
      </c>
      <c r="H368" s="14">
        <f t="shared" si="21"/>
        <v>2.39</v>
      </c>
      <c r="I368" s="17">
        <f t="shared" si="22"/>
        <v>8.0561797752809</v>
      </c>
      <c r="J368" s="4">
        <v>1.3</v>
      </c>
      <c r="K368" s="14">
        <v>1.15439238224162</v>
      </c>
      <c r="L368" s="4">
        <v>41.2117</v>
      </c>
      <c r="M368" s="4">
        <v>41.213</v>
      </c>
      <c r="P368" s="6"/>
      <c r="Q368" s="4">
        <v>3.33</v>
      </c>
      <c r="R368" s="18">
        <f t="shared" si="23"/>
        <v>-0.0990990990990991</v>
      </c>
    </row>
    <row r="369" s="4" customFormat="1" spans="1:18">
      <c r="A369" s="4">
        <v>1866</v>
      </c>
      <c r="B369" s="4">
        <v>2.34</v>
      </c>
      <c r="C369" s="4">
        <v>1.91</v>
      </c>
      <c r="D369" s="4">
        <v>5.3</v>
      </c>
      <c r="E369" s="13">
        <v>2650000000</v>
      </c>
      <c r="F369" s="4" t="s">
        <v>460</v>
      </c>
      <c r="G369" s="14">
        <f t="shared" si="20"/>
        <v>0.183760683760684</v>
      </c>
      <c r="H369" s="14">
        <f t="shared" si="21"/>
        <v>2.26495726495726</v>
      </c>
      <c r="I369" s="17">
        <f t="shared" si="22"/>
        <v>12.3255813953488</v>
      </c>
      <c r="J369" s="4">
        <v>0.72</v>
      </c>
      <c r="K369" s="4">
        <v>0.365150278947668</v>
      </c>
      <c r="L369" s="4">
        <v>8.8013</v>
      </c>
      <c r="M369" s="4">
        <v>10.156</v>
      </c>
      <c r="Q369" s="4">
        <v>2.6</v>
      </c>
      <c r="R369" s="18">
        <f t="shared" si="23"/>
        <v>-0.1</v>
      </c>
    </row>
    <row r="370" s="4" customFormat="1" spans="1:18">
      <c r="A370" s="4">
        <v>2014</v>
      </c>
      <c r="B370" s="4">
        <v>1.51</v>
      </c>
      <c r="C370" s="4">
        <v>1.26</v>
      </c>
      <c r="D370" s="4">
        <v>4.7</v>
      </c>
      <c r="E370" s="13">
        <v>2915508960</v>
      </c>
      <c r="F370" s="4" t="s">
        <v>180</v>
      </c>
      <c r="G370" s="14">
        <f t="shared" si="20"/>
        <v>0.165562913907285</v>
      </c>
      <c r="H370" s="14">
        <f t="shared" si="21"/>
        <v>3.11258278145695</v>
      </c>
      <c r="I370" s="17">
        <f t="shared" si="22"/>
        <v>18.8</v>
      </c>
      <c r="J370" s="4">
        <v>1.23</v>
      </c>
      <c r="K370" s="4">
        <v>3.3245546620507</v>
      </c>
      <c r="L370" s="4">
        <v>18.8186</v>
      </c>
      <c r="M370" s="4">
        <v>16.552</v>
      </c>
      <c r="Q370" s="4">
        <v>1.68</v>
      </c>
      <c r="R370" s="18">
        <f t="shared" si="23"/>
        <v>-0.101190476190476</v>
      </c>
    </row>
    <row r="371" s="6" customFormat="1" spans="1:18">
      <c r="A371" s="6">
        <v>2371</v>
      </c>
      <c r="B371" s="6">
        <v>0.14</v>
      </c>
      <c r="C371" s="6">
        <v>0.15</v>
      </c>
      <c r="D371" s="6">
        <v>0.86</v>
      </c>
      <c r="E371" s="15">
        <v>730446044.75</v>
      </c>
      <c r="F371" s="6" t="s">
        <v>279</v>
      </c>
      <c r="G371" s="16">
        <f t="shared" si="20"/>
        <v>-0.0714285714285714</v>
      </c>
      <c r="H371" s="16">
        <f t="shared" si="21"/>
        <v>6.14285714285714</v>
      </c>
      <c r="I371" s="16">
        <f t="shared" si="22"/>
        <v>-86</v>
      </c>
      <c r="J371" s="6">
        <v>0.85</v>
      </c>
      <c r="K371" s="6">
        <v>8.10192949773197</v>
      </c>
      <c r="L371" s="6">
        <v>23.9528</v>
      </c>
      <c r="M371" s="6">
        <v>21.37</v>
      </c>
      <c r="Q371" s="6">
        <v>0.156</v>
      </c>
      <c r="R371" s="19">
        <f t="shared" si="23"/>
        <v>-0.102564102564103</v>
      </c>
    </row>
    <row r="372" s="4" customFormat="1" spans="1:18">
      <c r="A372" s="4">
        <v>1661</v>
      </c>
      <c r="B372" s="4">
        <v>3.49</v>
      </c>
      <c r="C372" s="4">
        <v>2.64</v>
      </c>
      <c r="D372" s="4">
        <v>8.82</v>
      </c>
      <c r="E372" s="13">
        <v>6323546850</v>
      </c>
      <c r="F372" s="4" t="s">
        <v>513</v>
      </c>
      <c r="G372" s="14">
        <f t="shared" si="20"/>
        <v>0.243553008595988</v>
      </c>
      <c r="H372" s="14">
        <f t="shared" si="21"/>
        <v>2.52722063037249</v>
      </c>
      <c r="I372" s="17">
        <f t="shared" si="22"/>
        <v>10.3764705882353</v>
      </c>
      <c r="J372" s="4">
        <v>4.36</v>
      </c>
      <c r="K372" s="4">
        <v>7.98247090013591</v>
      </c>
      <c r="L372" s="4">
        <v>18.1918</v>
      </c>
      <c r="M372" s="4">
        <v>18.056</v>
      </c>
      <c r="Q372" s="4">
        <v>3.9</v>
      </c>
      <c r="R372" s="18">
        <f t="shared" si="23"/>
        <v>-0.105128205128205</v>
      </c>
    </row>
    <row r="373" s="4" customFormat="1" spans="1:18">
      <c r="A373" s="4">
        <v>1532</v>
      </c>
      <c r="B373" s="4">
        <v>0.445</v>
      </c>
      <c r="C373" s="4">
        <v>0.49</v>
      </c>
      <c r="D373" s="4">
        <v>1.26</v>
      </c>
      <c r="E373" s="13">
        <v>385679340</v>
      </c>
      <c r="F373" s="4" t="s">
        <v>290</v>
      </c>
      <c r="G373" s="14">
        <f t="shared" si="20"/>
        <v>-0.101123595505618</v>
      </c>
      <c r="H373" s="14">
        <f t="shared" si="21"/>
        <v>2.8314606741573</v>
      </c>
      <c r="I373" s="17">
        <f t="shared" si="22"/>
        <v>-28</v>
      </c>
      <c r="J373" s="4">
        <v>1.18</v>
      </c>
      <c r="K373" s="4">
        <v>5.2654</v>
      </c>
      <c r="Q373" s="4">
        <v>0.5</v>
      </c>
      <c r="R373" s="18">
        <f t="shared" si="23"/>
        <v>-0.11</v>
      </c>
    </row>
    <row r="374" s="4" customFormat="1" spans="1:18">
      <c r="A374" s="4">
        <v>1327</v>
      </c>
      <c r="B374" s="4">
        <v>0.198</v>
      </c>
      <c r="C374" s="4">
        <v>0.216</v>
      </c>
      <c r="D374" s="4">
        <v>0.96</v>
      </c>
      <c r="E374" s="13">
        <v>253440000</v>
      </c>
      <c r="F374" s="4" t="s">
        <v>319</v>
      </c>
      <c r="G374" s="14">
        <f t="shared" si="20"/>
        <v>-0.0909090909090908</v>
      </c>
      <c r="H374" s="14">
        <f t="shared" si="21"/>
        <v>4.84848484848485</v>
      </c>
      <c r="I374" s="14">
        <f t="shared" si="22"/>
        <v>-53.3333333333334</v>
      </c>
      <c r="J374" s="4">
        <v>0.34</v>
      </c>
      <c r="K374" s="4">
        <v>0.180985132680118</v>
      </c>
      <c r="L374" s="4">
        <v>1.784</v>
      </c>
      <c r="M374" s="4">
        <v>0.997</v>
      </c>
      <c r="Q374" s="4">
        <v>0.223</v>
      </c>
      <c r="R374" s="18">
        <f t="shared" si="23"/>
        <v>-0.112107623318386</v>
      </c>
    </row>
    <row r="375" s="6" customFormat="1" spans="1:18">
      <c r="A375" s="4">
        <v>8143</v>
      </c>
      <c r="B375" s="4">
        <v>0.62</v>
      </c>
      <c r="C375" s="4">
        <v>0.36</v>
      </c>
      <c r="D375" s="4">
        <v>1.96</v>
      </c>
      <c r="E375" s="13">
        <v>1138497462.48</v>
      </c>
      <c r="F375" s="4" t="s">
        <v>478</v>
      </c>
      <c r="G375" s="14">
        <f t="shared" si="20"/>
        <v>0.419354838709677</v>
      </c>
      <c r="H375" s="14">
        <f t="shared" si="21"/>
        <v>3.16129032258064</v>
      </c>
      <c r="I375" s="17">
        <f t="shared" si="22"/>
        <v>7.53846153846154</v>
      </c>
      <c r="J375" s="4">
        <v>4.68</v>
      </c>
      <c r="K375" s="14">
        <v>0.838968194340095</v>
      </c>
      <c r="L375" s="4"/>
      <c r="M375" s="4"/>
      <c r="N375" s="4"/>
      <c r="O375" s="4"/>
      <c r="P375" s="4"/>
      <c r="Q375" s="4">
        <v>0.7</v>
      </c>
      <c r="R375" s="18">
        <f t="shared" si="23"/>
        <v>-0.114285714285714</v>
      </c>
    </row>
    <row r="376" s="4" customFormat="1" spans="1:18">
      <c r="A376" s="4">
        <v>136</v>
      </c>
      <c r="B376" s="4">
        <v>0.385</v>
      </c>
      <c r="C376" s="4">
        <v>0.09</v>
      </c>
      <c r="D376" s="4">
        <v>0.71</v>
      </c>
      <c r="E376" s="13">
        <v>33483192567.37</v>
      </c>
      <c r="F376" s="4" t="s">
        <v>461</v>
      </c>
      <c r="G376" s="14">
        <f t="shared" si="20"/>
        <v>0.766233766233766</v>
      </c>
      <c r="H376" s="14">
        <f t="shared" si="21"/>
        <v>1.84415584415584</v>
      </c>
      <c r="I376" s="17">
        <f t="shared" si="22"/>
        <v>2.40677966101695</v>
      </c>
      <c r="J376" s="4">
        <v>46.91</v>
      </c>
      <c r="K376" s="4">
        <v>108.333333333333</v>
      </c>
      <c r="Q376" s="4">
        <v>0.435</v>
      </c>
      <c r="R376" s="18">
        <f t="shared" si="23"/>
        <v>-0.114942528735632</v>
      </c>
    </row>
    <row r="377" s="4" customFormat="1" spans="1:18">
      <c r="A377" s="4">
        <v>392</v>
      </c>
      <c r="B377" s="4">
        <v>33.95</v>
      </c>
      <c r="C377" s="4">
        <v>37.85</v>
      </c>
      <c r="D377" s="4">
        <v>76.45</v>
      </c>
      <c r="E377" s="13">
        <v>48748310184</v>
      </c>
      <c r="F377" s="4" t="s">
        <v>431</v>
      </c>
      <c r="G377" s="14">
        <f t="shared" si="20"/>
        <v>-0.114874815905744</v>
      </c>
      <c r="H377" s="14">
        <f t="shared" si="21"/>
        <v>2.25184094256259</v>
      </c>
      <c r="I377" s="17">
        <f t="shared" si="22"/>
        <v>-19.6025641025641</v>
      </c>
      <c r="J377" s="4">
        <v>0.82</v>
      </c>
      <c r="K377" s="4">
        <v>0.822929412146871</v>
      </c>
      <c r="L377" s="4">
        <v>10.1955</v>
      </c>
      <c r="M377" s="4">
        <v>10.168</v>
      </c>
      <c r="Q377" s="4">
        <v>38.4</v>
      </c>
      <c r="R377" s="18">
        <f t="shared" si="23"/>
        <v>-0.115885416666667</v>
      </c>
    </row>
    <row r="378" s="4" customFormat="1" spans="1:18">
      <c r="A378" s="6">
        <v>376</v>
      </c>
      <c r="B378" s="6">
        <v>6.2</v>
      </c>
      <c r="C378" s="6">
        <v>2.4</v>
      </c>
      <c r="D378" s="6">
        <v>25</v>
      </c>
      <c r="E378" s="15">
        <v>17515155676.2</v>
      </c>
      <c r="F378" s="6" t="s">
        <v>211</v>
      </c>
      <c r="G378" s="16">
        <f t="shared" si="20"/>
        <v>0.612903225806452</v>
      </c>
      <c r="H378" s="16">
        <f t="shared" si="21"/>
        <v>4.03225806451613</v>
      </c>
      <c r="I378" s="16">
        <f t="shared" si="22"/>
        <v>6.57894736842105</v>
      </c>
      <c r="J378" s="6">
        <v>3.6</v>
      </c>
      <c r="K378" s="6">
        <v>13.5864507723804</v>
      </c>
      <c r="L378" s="6">
        <v>23.081</v>
      </c>
      <c r="M378" s="6">
        <v>4.1</v>
      </c>
      <c r="N378" s="6"/>
      <c r="O378" s="6"/>
      <c r="Q378" s="6">
        <v>7.1</v>
      </c>
      <c r="R378" s="18">
        <f t="shared" si="23"/>
        <v>-0.126760563380282</v>
      </c>
    </row>
    <row r="379" s="4" customFormat="1" spans="1:18">
      <c r="A379" s="4">
        <v>821</v>
      </c>
      <c r="B379" s="4">
        <v>1.36</v>
      </c>
      <c r="C379" s="4">
        <v>0.58</v>
      </c>
      <c r="D379" s="4">
        <v>2.96</v>
      </c>
      <c r="E379" s="13">
        <v>878024758.11</v>
      </c>
      <c r="F379" s="4" t="s">
        <v>458</v>
      </c>
      <c r="G379" s="14">
        <f t="shared" si="20"/>
        <v>0.573529411764706</v>
      </c>
      <c r="H379" s="14">
        <f t="shared" si="21"/>
        <v>2.17647058823529</v>
      </c>
      <c r="I379" s="17">
        <f t="shared" si="22"/>
        <v>3.79487179487179</v>
      </c>
      <c r="J379" s="4">
        <v>1.59</v>
      </c>
      <c r="K379" s="4">
        <v>7.5177304964539</v>
      </c>
      <c r="Q379" s="4">
        <v>1.56</v>
      </c>
      <c r="R379" s="18">
        <f t="shared" si="23"/>
        <v>-0.128205128205128</v>
      </c>
    </row>
    <row r="380" s="4" customFormat="1" spans="1:18">
      <c r="A380" s="4">
        <v>8248</v>
      </c>
      <c r="B380" s="4">
        <v>0.111</v>
      </c>
      <c r="C380" s="4">
        <v>0</v>
      </c>
      <c r="D380" s="4">
        <v>5.6</v>
      </c>
      <c r="E380" s="13">
        <v>155232000</v>
      </c>
      <c r="F380" s="4" t="s">
        <v>291</v>
      </c>
      <c r="G380" s="14">
        <f t="shared" si="20"/>
        <v>1</v>
      </c>
      <c r="H380" s="14">
        <f t="shared" si="21"/>
        <v>50.4504504504504</v>
      </c>
      <c r="I380" s="14">
        <f t="shared" si="22"/>
        <v>50.4504504504504</v>
      </c>
      <c r="J380" s="4">
        <v>2.45</v>
      </c>
      <c r="K380" s="14">
        <v>0.465631929046563</v>
      </c>
      <c r="L380" s="4">
        <v>8.1188</v>
      </c>
      <c r="Q380" s="4">
        <v>0.128</v>
      </c>
      <c r="R380" s="18">
        <f t="shared" si="23"/>
        <v>-0.1328125</v>
      </c>
    </row>
    <row r="381" s="6" customFormat="1" spans="1:18">
      <c r="A381" s="4">
        <v>6865</v>
      </c>
      <c r="B381" s="4">
        <v>1.29</v>
      </c>
      <c r="C381" s="4">
        <v>1.34</v>
      </c>
      <c r="D381" s="4">
        <v>2.18</v>
      </c>
      <c r="E381" s="13">
        <v>666000000</v>
      </c>
      <c r="F381" s="4" t="s">
        <v>23</v>
      </c>
      <c r="G381" s="14">
        <f t="shared" si="20"/>
        <v>-0.0387596899224807</v>
      </c>
      <c r="H381" s="14">
        <f t="shared" si="21"/>
        <v>1.68992248062016</v>
      </c>
      <c r="I381" s="17">
        <f t="shared" si="22"/>
        <v>-43.5999999999999</v>
      </c>
      <c r="J381" s="4">
        <v>0.92</v>
      </c>
      <c r="K381" s="14">
        <v>5.4258</v>
      </c>
      <c r="L381" s="4"/>
      <c r="M381" s="4"/>
      <c r="N381" s="4"/>
      <c r="O381" s="4"/>
      <c r="P381" s="4"/>
      <c r="Q381" s="4">
        <v>1.49</v>
      </c>
      <c r="R381" s="18">
        <f t="shared" si="23"/>
        <v>-0.134228187919463</v>
      </c>
    </row>
    <row r="382" s="4" customFormat="1" spans="1:18">
      <c r="A382" s="4">
        <v>1548</v>
      </c>
      <c r="B382" s="4">
        <v>1.38</v>
      </c>
      <c r="C382" s="4">
        <v>1.23</v>
      </c>
      <c r="D382" s="4">
        <v>1.79</v>
      </c>
      <c r="E382" s="13">
        <v>2464000000</v>
      </c>
      <c r="F382" s="4" t="s">
        <v>30</v>
      </c>
      <c r="G382" s="14">
        <f t="shared" si="20"/>
        <v>0.108695652173913</v>
      </c>
      <c r="H382" s="14">
        <f t="shared" si="21"/>
        <v>1.29710144927536</v>
      </c>
      <c r="I382" s="17">
        <f t="shared" si="22"/>
        <v>11.9333333333333</v>
      </c>
      <c r="J382" s="4">
        <v>2.58</v>
      </c>
      <c r="K382" s="4">
        <v>53.4528</v>
      </c>
      <c r="Q382" s="4">
        <v>1.6</v>
      </c>
      <c r="R382" s="18">
        <f t="shared" si="23"/>
        <v>-0.1375</v>
      </c>
    </row>
    <row r="383" s="4" customFormat="1" spans="1:18">
      <c r="A383" s="4">
        <v>1718</v>
      </c>
      <c r="B383" s="4">
        <v>0.62</v>
      </c>
      <c r="C383" s="4">
        <v>0.46</v>
      </c>
      <c r="D383" s="4">
        <v>1.22</v>
      </c>
      <c r="E383" s="13">
        <v>584000000</v>
      </c>
      <c r="F383" s="4" t="s">
        <v>355</v>
      </c>
      <c r="G383" s="14">
        <f t="shared" si="20"/>
        <v>0.258064516129032</v>
      </c>
      <c r="H383" s="14">
        <f t="shared" si="21"/>
        <v>1.96774193548387</v>
      </c>
      <c r="I383" s="17">
        <f t="shared" si="22"/>
        <v>7.625</v>
      </c>
      <c r="J383" s="4">
        <v>2.23</v>
      </c>
      <c r="K383" s="4">
        <v>1.32654915500636</v>
      </c>
      <c r="L383" s="4">
        <v>9.2903</v>
      </c>
      <c r="Q383" s="4">
        <v>0.72</v>
      </c>
      <c r="R383" s="18">
        <f t="shared" si="23"/>
        <v>-0.138888888888889</v>
      </c>
    </row>
    <row r="384" s="4" customFormat="1" spans="1:18">
      <c r="A384" s="4">
        <v>1561</v>
      </c>
      <c r="B384" s="4">
        <v>0.85</v>
      </c>
      <c r="C384" s="4">
        <v>0.85</v>
      </c>
      <c r="D384" s="4">
        <v>1.27</v>
      </c>
      <c r="E384" s="13">
        <v>552000000</v>
      </c>
      <c r="F384" s="4" t="s">
        <v>25</v>
      </c>
      <c r="G384" s="14">
        <f t="shared" si="20"/>
        <v>0</v>
      </c>
      <c r="H384" s="14">
        <f t="shared" si="21"/>
        <v>1.49411764705882</v>
      </c>
      <c r="I384" s="17" t="e">
        <f t="shared" si="22"/>
        <v>#DIV/0!</v>
      </c>
      <c r="J384" s="4">
        <v>0.92</v>
      </c>
      <c r="K384" s="4">
        <v>14.3371</v>
      </c>
      <c r="Q384" s="4">
        <v>0.99</v>
      </c>
      <c r="R384" s="18">
        <f t="shared" si="23"/>
        <v>-0.141414141414141</v>
      </c>
    </row>
    <row r="385" s="6" customFormat="1" spans="1:18">
      <c r="A385" s="6">
        <v>2333</v>
      </c>
      <c r="B385" s="6">
        <v>5.53</v>
      </c>
      <c r="C385" s="6">
        <v>6.4</v>
      </c>
      <c r="D385" s="6">
        <v>60.7</v>
      </c>
      <c r="E385" s="15">
        <v>21386826000</v>
      </c>
      <c r="F385" s="6" t="s">
        <v>7</v>
      </c>
      <c r="G385" s="16">
        <f t="shared" si="20"/>
        <v>-0.157323688969259</v>
      </c>
      <c r="H385" s="16">
        <f t="shared" si="21"/>
        <v>10.9764918625678</v>
      </c>
      <c r="I385" s="14">
        <f t="shared" si="22"/>
        <v>-69.7701149425287</v>
      </c>
      <c r="J385" s="6">
        <v>1.54</v>
      </c>
      <c r="K385" s="6">
        <v>0.734948650272182</v>
      </c>
      <c r="L385" s="6">
        <v>5.8639</v>
      </c>
      <c r="M385" s="6">
        <v>5.864</v>
      </c>
      <c r="P385" s="4"/>
      <c r="Q385" s="6">
        <v>6.46</v>
      </c>
      <c r="R385" s="18">
        <f t="shared" si="23"/>
        <v>-0.143962848297214</v>
      </c>
    </row>
    <row r="386" s="4" customFormat="1" spans="1:18">
      <c r="A386" s="4">
        <v>815</v>
      </c>
      <c r="B386" s="4">
        <v>1.63</v>
      </c>
      <c r="C386" s="4">
        <v>1.06</v>
      </c>
      <c r="D386" s="4">
        <v>6.4</v>
      </c>
      <c r="E386" s="13">
        <v>2456774655.54</v>
      </c>
      <c r="F386" s="4" t="s">
        <v>187</v>
      </c>
      <c r="G386" s="14">
        <f t="shared" ref="G386:G410" si="24">1-C386/B386</f>
        <v>0.349693251533742</v>
      </c>
      <c r="H386" s="14">
        <f t="shared" ref="H386:H410" si="25">D386/B386</f>
        <v>3.92638036809816</v>
      </c>
      <c r="I386" s="14">
        <f t="shared" ref="I386:I410" si="26">H386/G386</f>
        <v>11.2280701754386</v>
      </c>
      <c r="J386" s="4">
        <v>1.41</v>
      </c>
      <c r="K386" s="4">
        <v>1.75485015108127</v>
      </c>
      <c r="L386" s="4">
        <v>7.9117</v>
      </c>
      <c r="M386" s="4">
        <v>5.719</v>
      </c>
      <c r="Q386" s="4">
        <v>1.96</v>
      </c>
      <c r="R386" s="18">
        <f t="shared" ref="R386:R410" si="27">B386/Q386-1</f>
        <v>-0.168367346938776</v>
      </c>
    </row>
    <row r="387" s="4" customFormat="1" spans="1:18">
      <c r="A387" s="4">
        <v>1538</v>
      </c>
      <c r="B387" s="4">
        <v>1.02</v>
      </c>
      <c r="C387" s="4">
        <v>1.15</v>
      </c>
      <c r="D387" s="4">
        <v>2.1</v>
      </c>
      <c r="E387" s="13">
        <v>1000000000</v>
      </c>
      <c r="F387" s="4" t="s">
        <v>175</v>
      </c>
      <c r="G387" s="14">
        <f t="shared" si="24"/>
        <v>-0.127450980392157</v>
      </c>
      <c r="H387" s="14">
        <f t="shared" si="25"/>
        <v>2.05882352941176</v>
      </c>
      <c r="I387" s="17">
        <f t="shared" si="26"/>
        <v>-16.1538461538462</v>
      </c>
      <c r="J387" s="4">
        <v>2.42</v>
      </c>
      <c r="K387" s="4">
        <v>14.2732</v>
      </c>
      <c r="Q387" s="4">
        <v>1.23</v>
      </c>
      <c r="R387" s="18">
        <f t="shared" si="27"/>
        <v>-0.170731707317073</v>
      </c>
    </row>
    <row r="388" s="4" customFormat="1" spans="1:18">
      <c r="A388" s="4">
        <v>1528</v>
      </c>
      <c r="B388" s="4">
        <v>6.5</v>
      </c>
      <c r="C388" s="4">
        <v>7.7</v>
      </c>
      <c r="D388" s="4">
        <v>12.98</v>
      </c>
      <c r="E388" s="13">
        <v>8289941938.2</v>
      </c>
      <c r="F388" s="4" t="s">
        <v>428</v>
      </c>
      <c r="G388" s="14">
        <f t="shared" si="24"/>
        <v>-0.184615384615385</v>
      </c>
      <c r="H388" s="14">
        <f t="shared" si="25"/>
        <v>1.99692307692308</v>
      </c>
      <c r="I388" s="17">
        <f t="shared" si="26"/>
        <v>-10.8166666666667</v>
      </c>
      <c r="J388" s="4">
        <v>0.57</v>
      </c>
      <c r="K388" s="4">
        <v>2.61593365187356</v>
      </c>
      <c r="L388" s="4">
        <v>6.2226</v>
      </c>
      <c r="Q388" s="4">
        <v>7.99</v>
      </c>
      <c r="R388" s="18">
        <f t="shared" si="27"/>
        <v>-0.18648310387985</v>
      </c>
    </row>
    <row r="389" s="4" customFormat="1" spans="1:18">
      <c r="A389" s="4">
        <v>2323</v>
      </c>
      <c r="B389" s="4">
        <v>1.09</v>
      </c>
      <c r="C389" s="4">
        <v>0.21</v>
      </c>
      <c r="D389" s="4">
        <v>1.78</v>
      </c>
      <c r="E389" s="13">
        <v>1690000000</v>
      </c>
      <c r="F389" s="4" t="s">
        <v>18</v>
      </c>
      <c r="G389" s="14">
        <f t="shared" si="24"/>
        <v>0.807339449541284</v>
      </c>
      <c r="H389" s="14">
        <f t="shared" si="25"/>
        <v>1.63302752293578</v>
      </c>
      <c r="I389" s="17">
        <f t="shared" si="26"/>
        <v>2.02272727272727</v>
      </c>
      <c r="J389" s="4">
        <v>3.96</v>
      </c>
      <c r="K389" s="4">
        <v>2.82845188284518</v>
      </c>
      <c r="Q389" s="4">
        <v>1.34</v>
      </c>
      <c r="R389" s="18">
        <f t="shared" si="27"/>
        <v>-0.186567164179104</v>
      </c>
    </row>
    <row r="390" s="4" customFormat="1" spans="1:18">
      <c r="A390" s="4">
        <v>3389</v>
      </c>
      <c r="B390" s="4">
        <v>0.75</v>
      </c>
      <c r="C390" s="4">
        <v>0.88</v>
      </c>
      <c r="D390" s="4">
        <v>2.09</v>
      </c>
      <c r="E390" s="13">
        <v>4254031753.51</v>
      </c>
      <c r="F390" s="4" t="s">
        <v>483</v>
      </c>
      <c r="G390" s="14">
        <f t="shared" si="24"/>
        <v>-0.173333333333333</v>
      </c>
      <c r="H390" s="14">
        <f t="shared" si="25"/>
        <v>2.78666666666667</v>
      </c>
      <c r="I390" s="17">
        <f t="shared" si="26"/>
        <v>-16.0769230769231</v>
      </c>
      <c r="J390" s="4">
        <v>0.55</v>
      </c>
      <c r="K390" s="14">
        <v>0.249469476529395</v>
      </c>
      <c r="L390" s="4">
        <v>6.7473</v>
      </c>
      <c r="M390" s="4">
        <v>7.078</v>
      </c>
      <c r="Q390" s="4">
        <v>0.93</v>
      </c>
      <c r="R390" s="18">
        <f t="shared" si="27"/>
        <v>-0.193548387096774</v>
      </c>
    </row>
    <row r="391" s="4" customFormat="1" spans="1:18">
      <c r="A391" s="6">
        <v>2188</v>
      </c>
      <c r="B391" s="6">
        <v>1.05</v>
      </c>
      <c r="C391" s="6">
        <v>0.45</v>
      </c>
      <c r="D391" s="6">
        <v>2.16</v>
      </c>
      <c r="E391" s="15">
        <v>1239575040</v>
      </c>
      <c r="F391" s="6" t="s">
        <v>667</v>
      </c>
      <c r="G391" s="16">
        <f t="shared" si="24"/>
        <v>0.571428571428571</v>
      </c>
      <c r="H391" s="16">
        <f t="shared" si="25"/>
        <v>2.05714285714286</v>
      </c>
      <c r="I391" s="16">
        <f t="shared" si="26"/>
        <v>3.6</v>
      </c>
      <c r="J391" s="6">
        <v>2.07</v>
      </c>
      <c r="K391" s="6">
        <v>6.15993395079775</v>
      </c>
      <c r="L391" s="6"/>
      <c r="M391" s="6"/>
      <c r="N391" s="6"/>
      <c r="O391" s="6"/>
      <c r="P391" s="6"/>
      <c r="Q391" s="6">
        <v>1.31</v>
      </c>
      <c r="R391" s="19">
        <f t="shared" si="27"/>
        <v>-0.198473282442748</v>
      </c>
    </row>
    <row r="392" s="4" customFormat="1" spans="1:18">
      <c r="A392" s="6">
        <v>530</v>
      </c>
      <c r="B392" s="6">
        <v>7.96</v>
      </c>
      <c r="C392" s="6">
        <v>2.83</v>
      </c>
      <c r="D392" s="6">
        <v>35.4</v>
      </c>
      <c r="E392" s="15">
        <v>70574578119.2</v>
      </c>
      <c r="F392" s="6" t="s">
        <v>379</v>
      </c>
      <c r="G392" s="16">
        <f t="shared" si="24"/>
        <v>0.644472361809045</v>
      </c>
      <c r="H392" s="16">
        <f t="shared" si="25"/>
        <v>4.44723618090452</v>
      </c>
      <c r="I392" s="16">
        <f t="shared" si="26"/>
        <v>6.90058479532164</v>
      </c>
      <c r="J392" s="6">
        <v>7.2</v>
      </c>
      <c r="K392" s="6">
        <v>120.095124851367</v>
      </c>
      <c r="L392" s="6">
        <v>58.1319</v>
      </c>
      <c r="M392" s="6">
        <v>58.079</v>
      </c>
      <c r="N392" s="6"/>
      <c r="O392" s="6"/>
      <c r="Q392" s="6">
        <v>10.1</v>
      </c>
      <c r="R392" s="18">
        <f t="shared" si="27"/>
        <v>-0.211881188118812</v>
      </c>
    </row>
    <row r="393" s="4" customFormat="1" spans="1:18">
      <c r="A393" s="4">
        <v>471</v>
      </c>
      <c r="B393" s="4">
        <v>0.061</v>
      </c>
      <c r="C393" s="4">
        <v>0.076</v>
      </c>
      <c r="D393" s="4">
        <v>0.55</v>
      </c>
      <c r="E393" s="13">
        <v>500255142.16</v>
      </c>
      <c r="F393" s="4" t="s">
        <v>380</v>
      </c>
      <c r="G393" s="14">
        <f t="shared" si="24"/>
        <v>-0.245901639344262</v>
      </c>
      <c r="H393" s="14">
        <f t="shared" si="25"/>
        <v>9.01639344262295</v>
      </c>
      <c r="I393" s="14">
        <f t="shared" si="26"/>
        <v>-36.6666666666667</v>
      </c>
      <c r="J393" s="4">
        <v>1.15</v>
      </c>
      <c r="K393" s="4">
        <v>34.3988373192986</v>
      </c>
      <c r="Q393" s="4">
        <v>0.078</v>
      </c>
      <c r="R393" s="18">
        <f t="shared" si="27"/>
        <v>-0.217948717948718</v>
      </c>
    </row>
    <row r="394" s="6" customFormat="1" spans="1:18">
      <c r="A394" s="6">
        <v>1280</v>
      </c>
      <c r="B394" s="6">
        <v>0.6</v>
      </c>
      <c r="C394" s="6">
        <v>0.36</v>
      </c>
      <c r="D394" s="6">
        <v>2.7</v>
      </c>
      <c r="E394" s="15">
        <v>1107213612.92</v>
      </c>
      <c r="F394" s="6" t="s">
        <v>652</v>
      </c>
      <c r="G394" s="16">
        <f t="shared" si="24"/>
        <v>0.4</v>
      </c>
      <c r="H394" s="16">
        <f t="shared" si="25"/>
        <v>4.5</v>
      </c>
      <c r="I394" s="16">
        <f t="shared" si="26"/>
        <v>11.25</v>
      </c>
      <c r="J394" s="6">
        <v>0.8</v>
      </c>
      <c r="K394" s="6">
        <v>0.305632345682408</v>
      </c>
      <c r="L394" s="6">
        <v>17.9413</v>
      </c>
      <c r="M394" s="6">
        <v>13.14</v>
      </c>
      <c r="P394" s="4"/>
      <c r="Q394" s="6">
        <v>0.77</v>
      </c>
      <c r="R394" s="18">
        <f t="shared" si="27"/>
        <v>-0.220779220779221</v>
      </c>
    </row>
    <row r="395" s="6" customFormat="1" spans="1:18">
      <c r="A395" s="4">
        <v>1459</v>
      </c>
      <c r="B395" s="4">
        <v>4.9</v>
      </c>
      <c r="C395" s="4">
        <v>1.42</v>
      </c>
      <c r="D395" s="4">
        <v>7.99</v>
      </c>
      <c r="E395" s="13">
        <v>749483200</v>
      </c>
      <c r="F395" s="4" t="s">
        <v>41</v>
      </c>
      <c r="G395" s="14">
        <f t="shared" si="24"/>
        <v>0.710204081632653</v>
      </c>
      <c r="H395" s="14">
        <f t="shared" si="25"/>
        <v>1.63061224489796</v>
      </c>
      <c r="I395" s="17">
        <f t="shared" si="26"/>
        <v>2.29597701149425</v>
      </c>
      <c r="J395" s="4">
        <v>3.08</v>
      </c>
      <c r="K395" s="4">
        <v>29.0748</v>
      </c>
      <c r="L395" s="4"/>
      <c r="M395" s="4"/>
      <c r="N395" s="4"/>
      <c r="O395" s="4"/>
      <c r="P395" s="4"/>
      <c r="Q395" s="4">
        <v>6.35</v>
      </c>
      <c r="R395" s="18">
        <f t="shared" si="27"/>
        <v>-0.228346456692913</v>
      </c>
    </row>
    <row r="396" s="6" customFormat="1" spans="1:18">
      <c r="A396" s="4">
        <v>1447</v>
      </c>
      <c r="B396" s="4">
        <v>1.01</v>
      </c>
      <c r="C396" s="4">
        <v>0.98</v>
      </c>
      <c r="D396" s="4">
        <v>1.75</v>
      </c>
      <c r="E396" s="13">
        <v>484000000</v>
      </c>
      <c r="F396" s="4" t="s">
        <v>24</v>
      </c>
      <c r="G396" s="14">
        <f t="shared" si="24"/>
        <v>0.0297029702970297</v>
      </c>
      <c r="H396" s="14">
        <f t="shared" si="25"/>
        <v>1.73267326732673</v>
      </c>
      <c r="I396" s="17">
        <f t="shared" si="26"/>
        <v>58.3333333333333</v>
      </c>
      <c r="J396" s="4">
        <v>1.23</v>
      </c>
      <c r="K396" s="4">
        <v>6.6777</v>
      </c>
      <c r="L396" s="4"/>
      <c r="M396" s="4"/>
      <c r="N396" s="4"/>
      <c r="O396" s="4"/>
      <c r="P396" s="4"/>
      <c r="Q396" s="4">
        <v>1.31</v>
      </c>
      <c r="R396" s="18">
        <f t="shared" si="27"/>
        <v>-0.229007633587786</v>
      </c>
    </row>
    <row r="397" s="4" customFormat="1" spans="1:18">
      <c r="A397" s="4">
        <v>3326</v>
      </c>
      <c r="B397" s="4">
        <v>2.06</v>
      </c>
      <c r="C397" s="4">
        <v>1.12</v>
      </c>
      <c r="D397" s="4">
        <v>3.2</v>
      </c>
      <c r="E397" s="13">
        <v>1080000000</v>
      </c>
      <c r="F397" s="4" t="s">
        <v>47</v>
      </c>
      <c r="G397" s="14">
        <f t="shared" si="24"/>
        <v>0.45631067961165</v>
      </c>
      <c r="H397" s="14">
        <f t="shared" si="25"/>
        <v>1.55339805825243</v>
      </c>
      <c r="I397" s="17">
        <f t="shared" si="26"/>
        <v>3.40425531914894</v>
      </c>
      <c r="J397" s="4">
        <v>2.44</v>
      </c>
      <c r="K397" s="14">
        <v>13.8325</v>
      </c>
      <c r="Q397" s="4">
        <v>2.78</v>
      </c>
      <c r="R397" s="18">
        <f t="shared" si="27"/>
        <v>-0.258992805755396</v>
      </c>
    </row>
    <row r="398" s="6" customFormat="1" spans="1:18">
      <c r="A398" s="4">
        <v>8041</v>
      </c>
      <c r="B398" s="4">
        <v>0.108</v>
      </c>
      <c r="C398" s="4">
        <v>0.03</v>
      </c>
      <c r="D398" s="4">
        <v>0.8</v>
      </c>
      <c r="E398" s="13">
        <v>754621480.92</v>
      </c>
      <c r="F398" s="4" t="s">
        <v>437</v>
      </c>
      <c r="G398" s="14">
        <f t="shared" si="24"/>
        <v>0.722222222222222</v>
      </c>
      <c r="H398" s="14">
        <f t="shared" si="25"/>
        <v>7.40740740740741</v>
      </c>
      <c r="I398" s="14">
        <f t="shared" si="26"/>
        <v>10.2564102564103</v>
      </c>
      <c r="J398" s="4">
        <v>3.86</v>
      </c>
      <c r="K398" s="14">
        <v>7.55102040816326</v>
      </c>
      <c r="L398" s="4"/>
      <c r="M398" s="4"/>
      <c r="N398" s="4"/>
      <c r="O398" s="4"/>
      <c r="P398" s="4"/>
      <c r="Q398" s="4">
        <v>0.149</v>
      </c>
      <c r="R398" s="18">
        <f t="shared" si="27"/>
        <v>-0.275167785234899</v>
      </c>
    </row>
    <row r="399" s="6" customFormat="1" spans="1:18">
      <c r="A399" s="4">
        <v>3882</v>
      </c>
      <c r="B399" s="4">
        <v>0.78</v>
      </c>
      <c r="C399" s="4">
        <v>1.1</v>
      </c>
      <c r="D399" s="4">
        <v>3.74</v>
      </c>
      <c r="E399" s="13">
        <v>920366850</v>
      </c>
      <c r="F399" s="4" t="s">
        <v>161</v>
      </c>
      <c r="G399" s="14">
        <f t="shared" si="24"/>
        <v>-0.41025641025641</v>
      </c>
      <c r="H399" s="14">
        <f t="shared" si="25"/>
        <v>4.79487179487179</v>
      </c>
      <c r="I399" s="14">
        <f t="shared" si="26"/>
        <v>-11.6875</v>
      </c>
      <c r="J399" s="4">
        <v>0.99</v>
      </c>
      <c r="K399" s="14">
        <v>0.350673903762883</v>
      </c>
      <c r="L399" s="4">
        <v>4.5584</v>
      </c>
      <c r="M399" s="4"/>
      <c r="N399" s="4"/>
      <c r="O399" s="4"/>
      <c r="P399" s="4"/>
      <c r="Q399" s="4">
        <v>1.16</v>
      </c>
      <c r="R399" s="18">
        <f t="shared" si="27"/>
        <v>-0.327586206896552</v>
      </c>
    </row>
    <row r="400" s="4" customFormat="1" spans="1:18">
      <c r="A400" s="4">
        <v>8156</v>
      </c>
      <c r="B400" s="4">
        <v>0.58</v>
      </c>
      <c r="C400" s="4">
        <v>0.55</v>
      </c>
      <c r="D400" s="4">
        <v>1.65</v>
      </c>
      <c r="E400" s="13">
        <v>2961144262.56</v>
      </c>
      <c r="F400" s="4" t="s">
        <v>235</v>
      </c>
      <c r="G400" s="14">
        <f t="shared" si="24"/>
        <v>0.0517241379310344</v>
      </c>
      <c r="H400" s="14">
        <f t="shared" si="25"/>
        <v>2.8448275862069</v>
      </c>
      <c r="I400" s="17">
        <f t="shared" si="26"/>
        <v>55.0000000000001</v>
      </c>
      <c r="J400" s="4">
        <v>8.57</v>
      </c>
      <c r="K400" s="14">
        <v>39.3162393162393</v>
      </c>
      <c r="L400" s="4">
        <v>154.9769</v>
      </c>
      <c r="M400" s="4">
        <v>146.667</v>
      </c>
      <c r="Q400" s="4">
        <v>0.88</v>
      </c>
      <c r="R400" s="18">
        <f t="shared" si="27"/>
        <v>-0.340909090909091</v>
      </c>
    </row>
    <row r="401" s="4" customFormat="1" spans="1:18">
      <c r="A401" s="4">
        <v>209</v>
      </c>
      <c r="B401" s="4">
        <v>0.29</v>
      </c>
      <c r="C401" s="4">
        <v>0.18</v>
      </c>
      <c r="D401" s="4">
        <v>2.4</v>
      </c>
      <c r="E401" s="13">
        <v>1217595477.21</v>
      </c>
      <c r="F401" s="4" t="s">
        <v>146</v>
      </c>
      <c r="G401" s="14">
        <f t="shared" si="24"/>
        <v>0.379310344827586</v>
      </c>
      <c r="H401" s="14">
        <f t="shared" si="25"/>
        <v>8.27586206896552</v>
      </c>
      <c r="I401" s="14">
        <f t="shared" si="26"/>
        <v>21.8181818181818</v>
      </c>
      <c r="J401" s="4">
        <v>2.76</v>
      </c>
      <c r="K401" s="4">
        <v>8.04597701149425</v>
      </c>
      <c r="Q401" s="4">
        <v>0.48</v>
      </c>
      <c r="R401" s="18">
        <f t="shared" si="27"/>
        <v>-0.395833333333333</v>
      </c>
    </row>
    <row r="402" s="4" customFormat="1" spans="1:18">
      <c r="A402" s="4">
        <v>3773</v>
      </c>
      <c r="B402" s="4">
        <v>1.29</v>
      </c>
      <c r="C402" s="4">
        <v>1.04</v>
      </c>
      <c r="D402" s="4">
        <v>2.49</v>
      </c>
      <c r="E402" s="13">
        <v>700000000</v>
      </c>
      <c r="F402" s="4" t="s">
        <v>40</v>
      </c>
      <c r="G402" s="14">
        <f t="shared" si="24"/>
        <v>0.193798449612403</v>
      </c>
      <c r="H402" s="14">
        <f t="shared" si="25"/>
        <v>1.93023255813953</v>
      </c>
      <c r="I402" s="17">
        <f t="shared" si="26"/>
        <v>9.96</v>
      </c>
      <c r="J402" s="4">
        <v>4.42</v>
      </c>
      <c r="K402" s="14">
        <v>24.7329</v>
      </c>
      <c r="P402" s="6"/>
      <c r="Q402" s="4">
        <v>2.2</v>
      </c>
      <c r="R402" s="18">
        <f t="shared" si="27"/>
        <v>-0.413636363636364</v>
      </c>
    </row>
    <row r="403" s="4" customFormat="1" spans="1:18">
      <c r="A403" s="4">
        <v>3393</v>
      </c>
      <c r="B403" s="4">
        <v>3.48</v>
      </c>
      <c r="C403" s="4">
        <v>5.58</v>
      </c>
      <c r="D403" s="4">
        <v>12.86</v>
      </c>
      <c r="E403" s="13">
        <v>6428279285.5</v>
      </c>
      <c r="F403" s="4" t="s">
        <v>482</v>
      </c>
      <c r="G403" s="14">
        <f t="shared" si="24"/>
        <v>-0.603448275862069</v>
      </c>
      <c r="H403" s="14">
        <f t="shared" si="25"/>
        <v>3.69540229885057</v>
      </c>
      <c r="I403" s="17">
        <f t="shared" si="26"/>
        <v>-6.12380952380952</v>
      </c>
      <c r="J403" s="4">
        <v>1.29</v>
      </c>
      <c r="K403" s="14">
        <v>1.54395450284736</v>
      </c>
      <c r="L403" s="4">
        <v>10.6562</v>
      </c>
      <c r="M403" s="4">
        <v>9.383</v>
      </c>
      <c r="Q403" s="4">
        <v>5.99</v>
      </c>
      <c r="R403" s="18">
        <f t="shared" si="27"/>
        <v>-0.419031719532554</v>
      </c>
    </row>
    <row r="404" s="6" customFormat="1" spans="1:18">
      <c r="A404" s="4">
        <v>283</v>
      </c>
      <c r="B404" s="4">
        <v>3.59</v>
      </c>
      <c r="C404" s="4">
        <v>3.93</v>
      </c>
      <c r="D404" s="4">
        <v>29.5</v>
      </c>
      <c r="E404" s="13">
        <v>21579503698.52</v>
      </c>
      <c r="F404" s="4" t="s">
        <v>381</v>
      </c>
      <c r="G404" s="14">
        <f t="shared" si="24"/>
        <v>-0.094707520891365</v>
      </c>
      <c r="H404" s="14">
        <f t="shared" si="25"/>
        <v>8.21727019498607</v>
      </c>
      <c r="I404" s="14">
        <f t="shared" si="26"/>
        <v>-86.7647058823528</v>
      </c>
      <c r="J404" s="4">
        <v>1.3</v>
      </c>
      <c r="K404" s="4">
        <v>148.402948402948</v>
      </c>
      <c r="L404" s="4">
        <v>32.9525</v>
      </c>
      <c r="M404" s="4">
        <v>33.66</v>
      </c>
      <c r="N404" s="4"/>
      <c r="O404" s="4"/>
      <c r="P404" s="4"/>
      <c r="Q404" s="4">
        <v>6.18</v>
      </c>
      <c r="R404" s="18">
        <f t="shared" si="27"/>
        <v>-0.419093851132686</v>
      </c>
    </row>
    <row r="405" s="4" customFormat="1" spans="1:18">
      <c r="A405" s="6">
        <v>6108</v>
      </c>
      <c r="B405" s="6">
        <v>0.091</v>
      </c>
      <c r="C405" s="6">
        <v>0.168</v>
      </c>
      <c r="D405" s="6">
        <v>1</v>
      </c>
      <c r="E405" s="15">
        <v>245820000</v>
      </c>
      <c r="F405" s="6" t="s">
        <v>435</v>
      </c>
      <c r="G405" s="16">
        <f t="shared" si="24"/>
        <v>-0.846153846153846</v>
      </c>
      <c r="H405" s="16">
        <f t="shared" si="25"/>
        <v>10.989010989011</v>
      </c>
      <c r="I405" s="16">
        <f t="shared" si="26"/>
        <v>-12.987012987013</v>
      </c>
      <c r="J405" s="6">
        <v>0.49</v>
      </c>
      <c r="K405" s="16">
        <v>0.777676120768527</v>
      </c>
      <c r="L405" s="6">
        <v>8.2821</v>
      </c>
      <c r="M405" s="6">
        <v>4.778</v>
      </c>
      <c r="N405" s="6"/>
      <c r="O405" s="6"/>
      <c r="P405" s="6"/>
      <c r="Q405" s="6">
        <v>0.172</v>
      </c>
      <c r="R405" s="19">
        <f t="shared" si="27"/>
        <v>-0.470930232558139</v>
      </c>
    </row>
    <row r="406" s="4" customFormat="1" spans="1:18">
      <c r="A406" s="4">
        <v>1082</v>
      </c>
      <c r="B406" s="4">
        <v>0.065</v>
      </c>
      <c r="C406" s="4">
        <v>0.08</v>
      </c>
      <c r="D406" s="4">
        <v>0.909</v>
      </c>
      <c r="E406" s="13">
        <v>292041523.2</v>
      </c>
      <c r="F406" s="4" t="s">
        <v>283</v>
      </c>
      <c r="G406" s="14">
        <f t="shared" si="24"/>
        <v>-0.230769230769231</v>
      </c>
      <c r="H406" s="14">
        <f t="shared" si="25"/>
        <v>13.9846153846154</v>
      </c>
      <c r="I406" s="14">
        <f t="shared" si="26"/>
        <v>-60.6</v>
      </c>
      <c r="J406" s="4">
        <v>0.41</v>
      </c>
      <c r="K406" s="4">
        <v>0.192221054212344</v>
      </c>
      <c r="L406" s="4">
        <v>8.7041</v>
      </c>
      <c r="M406" s="4">
        <v>1.915</v>
      </c>
      <c r="Q406" s="4">
        <v>0.126</v>
      </c>
      <c r="R406" s="18">
        <f t="shared" si="27"/>
        <v>-0.484126984126984</v>
      </c>
    </row>
    <row r="407" s="4" customFormat="1" spans="1:18">
      <c r="A407" s="4">
        <v>967</v>
      </c>
      <c r="B407" s="4">
        <v>3.03</v>
      </c>
      <c r="C407" s="4">
        <v>5.1</v>
      </c>
      <c r="D407" s="4">
        <v>9.47</v>
      </c>
      <c r="E407" s="13">
        <v>10543437947</v>
      </c>
      <c r="F407" s="4" t="s">
        <v>100</v>
      </c>
      <c r="G407" s="14">
        <f t="shared" si="24"/>
        <v>-0.683168316831683</v>
      </c>
      <c r="H407" s="14">
        <f t="shared" si="25"/>
        <v>3.12541254125413</v>
      </c>
      <c r="I407" s="17">
        <f t="shared" si="26"/>
        <v>-4.57487922705314</v>
      </c>
      <c r="J407" s="4">
        <v>1.82</v>
      </c>
      <c r="K407" s="4">
        <v>2.16960675139964</v>
      </c>
      <c r="L407" s="4">
        <v>16.7654</v>
      </c>
      <c r="M407" s="4">
        <v>15.909</v>
      </c>
      <c r="Q407" s="4">
        <v>7</v>
      </c>
      <c r="R407" s="18">
        <f t="shared" si="27"/>
        <v>-0.567142857142857</v>
      </c>
    </row>
    <row r="408" s="4" customFormat="1" spans="1:18">
      <c r="A408" s="4">
        <v>2211</v>
      </c>
      <c r="B408" s="4">
        <v>0.81</v>
      </c>
      <c r="C408" s="4">
        <v>2.31</v>
      </c>
      <c r="D408" s="4">
        <v>5.58</v>
      </c>
      <c r="E408" s="13">
        <v>4940000000</v>
      </c>
      <c r="F408" s="4" t="s">
        <v>496</v>
      </c>
      <c r="G408" s="14">
        <f t="shared" si="24"/>
        <v>-1.85185185185185</v>
      </c>
      <c r="H408" s="14">
        <f t="shared" si="25"/>
        <v>6.88888888888889</v>
      </c>
      <c r="I408" s="17">
        <f t="shared" si="26"/>
        <v>-3.72</v>
      </c>
      <c r="J408" s="4">
        <v>1.45</v>
      </c>
      <c r="K408" s="4">
        <v>0.766987806427853</v>
      </c>
      <c r="L408" s="4">
        <v>8.3574</v>
      </c>
      <c r="M408" s="4">
        <v>8.311</v>
      </c>
      <c r="Q408" s="4">
        <v>2.47</v>
      </c>
      <c r="R408" s="18">
        <f t="shared" si="27"/>
        <v>-0.672064777327935</v>
      </c>
    </row>
    <row r="409" s="4" customFormat="1" spans="1:18">
      <c r="A409" s="6">
        <v>911</v>
      </c>
      <c r="B409" s="6">
        <v>0.056</v>
      </c>
      <c r="C409" s="6">
        <v>0.15</v>
      </c>
      <c r="D409" s="6">
        <v>1.02</v>
      </c>
      <c r="E409" s="15">
        <v>9908019000</v>
      </c>
      <c r="F409" s="6" t="s">
        <v>687</v>
      </c>
      <c r="G409" s="16">
        <f t="shared" si="24"/>
        <v>-1.67857142857143</v>
      </c>
      <c r="H409" s="16">
        <f t="shared" si="25"/>
        <v>18.2142857142857</v>
      </c>
      <c r="I409" s="16">
        <f t="shared" si="26"/>
        <v>-10.8510638297872</v>
      </c>
      <c r="J409" s="6">
        <v>6.64</v>
      </c>
      <c r="K409" s="6">
        <v>3.82848392036753</v>
      </c>
      <c r="L409" s="6">
        <v>49.7108</v>
      </c>
      <c r="M409" s="6">
        <v>43.59</v>
      </c>
      <c r="N409" s="6"/>
      <c r="O409" s="6"/>
      <c r="P409" s="6"/>
      <c r="Q409" s="6">
        <v>0.51</v>
      </c>
      <c r="R409" s="19">
        <f t="shared" si="27"/>
        <v>-0.890196078431372</v>
      </c>
    </row>
    <row r="410" s="4" customFormat="1" spans="1:18">
      <c r="A410" s="4">
        <v>2964</v>
      </c>
      <c r="B410" s="4">
        <v>0</v>
      </c>
      <c r="C410" s="4">
        <v>0.37</v>
      </c>
      <c r="D410" s="4">
        <v>14.6</v>
      </c>
      <c r="E410" s="13">
        <v>5048825751.8</v>
      </c>
      <c r="F410" s="4" t="s">
        <v>184</v>
      </c>
      <c r="G410" s="14" t="e">
        <f t="shared" si="24"/>
        <v>#DIV/0!</v>
      </c>
      <c r="H410" s="14" t="e">
        <f t="shared" si="25"/>
        <v>#DIV/0!</v>
      </c>
      <c r="I410" s="17" t="e">
        <f t="shared" si="26"/>
        <v>#DIV/0!</v>
      </c>
      <c r="J410" s="4">
        <v>0</v>
      </c>
      <c r="P410" s="6"/>
      <c r="Q410" s="4">
        <v>14.7</v>
      </c>
      <c r="R410" s="18">
        <f t="shared" si="27"/>
        <v>-1</v>
      </c>
    </row>
  </sheetData>
  <autoFilter ref="A1:R410">
    <sortState ref="A1:R410">
      <sortCondition ref="R1" descending="1"/>
    </sortState>
  </autoFilter>
  <pageMargins left="0.699305555555556" right="0.699305555555556" top="0.75" bottom="0.75" header="0.3" footer="0.3"/>
  <pageSetup paperSize="9" orientation="portrait" horizontalDpi="1200" verticalDpi="12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18</xdr:col>
                    <xdr:colOff>371475</xdr:colOff>
                    <xdr:row>1</xdr:row>
                    <xdr:rowOff>85725</xdr:rowOff>
                  </from>
                  <to>
                    <xdr:col>19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C3"/>
  <sheetViews>
    <sheetView topLeftCell="A3" workbookViewId="0">
      <selection activeCell="B3" sqref="B3"/>
    </sheetView>
  </sheetViews>
  <sheetFormatPr defaultColWidth="9" defaultRowHeight="13.5" outlineLevelRow="2" outlineLevelCol="2"/>
  <cols>
    <col min="1" max="1" width="12.5" customWidth="1"/>
    <col min="2" max="2" width="72.375" customWidth="1"/>
  </cols>
  <sheetData>
    <row r="1" spans="1:3">
      <c r="A1" t="s">
        <v>1433</v>
      </c>
      <c r="B1" t="s">
        <v>1434</v>
      </c>
      <c r="C1" t="s">
        <v>1435</v>
      </c>
    </row>
    <row r="3" ht="40.5" spans="1:2">
      <c r="A3" s="7">
        <v>42456</v>
      </c>
      <c r="B3" s="9" t="s">
        <v>1436</v>
      </c>
    </row>
  </sheetData>
  <pageMargins left="0.699305555555556" right="0.699305555555556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E10"/>
  <sheetViews>
    <sheetView workbookViewId="0">
      <selection activeCell="E3" sqref="E3"/>
    </sheetView>
  </sheetViews>
  <sheetFormatPr defaultColWidth="9" defaultRowHeight="13.5" outlineLevelCol="4"/>
  <sheetData>
    <row r="1" spans="1:5">
      <c r="A1" t="s">
        <v>1437</v>
      </c>
      <c r="B1">
        <v>1</v>
      </c>
      <c r="D1" t="s">
        <v>1438</v>
      </c>
      <c r="E1">
        <v>2.4</v>
      </c>
    </row>
    <row r="2" spans="1:5">
      <c r="A2" t="s">
        <v>1439</v>
      </c>
      <c r="B2">
        <v>2.2</v>
      </c>
      <c r="D2" t="s">
        <v>1440</v>
      </c>
      <c r="E2">
        <v>0.030972</v>
      </c>
    </row>
    <row r="3" spans="1:2">
      <c r="A3" t="s">
        <v>1441</v>
      </c>
      <c r="B3">
        <v>6.1</v>
      </c>
    </row>
    <row r="4" spans="1:2">
      <c r="A4" t="s">
        <v>1442</v>
      </c>
      <c r="B4">
        <v>3</v>
      </c>
    </row>
    <row r="5" spans="1:2">
      <c r="A5" t="s">
        <v>1443</v>
      </c>
      <c r="B5">
        <v>0.84446</v>
      </c>
    </row>
    <row r="6" spans="1:2">
      <c r="A6" t="s">
        <v>1444</v>
      </c>
      <c r="B6">
        <v>7</v>
      </c>
    </row>
    <row r="7" spans="1:2">
      <c r="A7" t="s">
        <v>1445</v>
      </c>
      <c r="B7">
        <v>5</v>
      </c>
    </row>
    <row r="8" spans="1:2">
      <c r="A8" t="s">
        <v>1440</v>
      </c>
      <c r="B8">
        <v>0.22</v>
      </c>
    </row>
    <row r="9" spans="1:2">
      <c r="A9" t="s">
        <v>1446</v>
      </c>
      <c r="B9">
        <v>0.5</v>
      </c>
    </row>
    <row r="10" spans="2:2">
      <c r="B10">
        <f>SUM(B1:B9)</f>
        <v>25.86446</v>
      </c>
    </row>
  </sheetData>
  <pageMargins left="0.699305555555556" right="0.699305555555556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A1:N11"/>
  <sheetViews>
    <sheetView workbookViewId="0">
      <selection activeCell="N11" sqref="N11"/>
    </sheetView>
  </sheetViews>
  <sheetFormatPr defaultColWidth="9" defaultRowHeight="13.5"/>
  <cols>
    <col min="1" max="1" width="11.625" customWidth="1"/>
    <col min="2" max="2" width="31.375" customWidth="1"/>
    <col min="14" max="14" width="11.125" customWidth="1"/>
  </cols>
  <sheetData>
    <row r="1" spans="1:4">
      <c r="A1" t="s">
        <v>1433</v>
      </c>
      <c r="B1" t="s">
        <v>1447</v>
      </c>
      <c r="C1" t="s">
        <v>1448</v>
      </c>
      <c r="D1" t="s">
        <v>1449</v>
      </c>
    </row>
    <row r="2" spans="2:2">
      <c r="B2" t="s">
        <v>1450</v>
      </c>
    </row>
    <row r="3" spans="2:2">
      <c r="B3" t="s">
        <v>1451</v>
      </c>
    </row>
    <row r="4" spans="1:2">
      <c r="A4" t="s">
        <v>1452</v>
      </c>
      <c r="B4" t="s">
        <v>1453</v>
      </c>
    </row>
    <row r="5" spans="2:2">
      <c r="B5" t="s">
        <v>1454</v>
      </c>
    </row>
    <row r="6" spans="2:2">
      <c r="B6" t="s">
        <v>1455</v>
      </c>
    </row>
    <row r="7" ht="27" spans="2:2">
      <c r="B7" s="8" t="s">
        <v>1456</v>
      </c>
    </row>
    <row r="8" ht="27" spans="2:2">
      <c r="B8" s="8" t="s">
        <v>1457</v>
      </c>
    </row>
    <row r="9" ht="27" spans="2:2">
      <c r="B9" s="8" t="s">
        <v>1458</v>
      </c>
    </row>
    <row r="10" spans="1:14">
      <c r="A10" t="s">
        <v>1459</v>
      </c>
      <c r="N10" t="s">
        <v>1460</v>
      </c>
    </row>
    <row r="11" spans="14:14">
      <c r="N11" t="s">
        <v>1461</v>
      </c>
    </row>
  </sheetData>
  <hyperlinks>
    <hyperlink ref="B7" r:id="rId1" display="《盈利预喜》晨讯(02000.HK)料全年纯利倍增"/>
    <hyperlink ref="B8" r:id="rId2" display="意马国际(00585.HK)发新股交换恒腾(00136.HK)4.5亿股"/>
    <hyperlink ref="B9" r:id="rId3" display="中国9号健康(00419.HK)更名为「华谊腾讯娱乐」"/>
  </hyperlinks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/>
  <dimension ref="A1:K12"/>
  <sheetViews>
    <sheetView workbookViewId="0">
      <selection activeCell="H11" sqref="H11"/>
    </sheetView>
  </sheetViews>
  <sheetFormatPr defaultColWidth="9" defaultRowHeight="13.5"/>
  <cols>
    <col min="2" max="2" width="9.375"/>
    <col min="4" max="4" width="3.375" customWidth="1"/>
    <col min="6" max="6" width="13.75"/>
    <col min="8" max="8" width="12.625"/>
  </cols>
  <sheetData>
    <row r="1" spans="1:11">
      <c r="A1" s="4">
        <v>1</v>
      </c>
      <c r="B1" s="4">
        <v>500</v>
      </c>
      <c r="C1" s="4">
        <v>42</v>
      </c>
      <c r="D1" s="5" t="s">
        <v>541</v>
      </c>
      <c r="F1">
        <v>30</v>
      </c>
      <c r="G1">
        <v>1</v>
      </c>
      <c r="H1">
        <v>1</v>
      </c>
      <c r="K1">
        <v>48</v>
      </c>
    </row>
    <row r="2" spans="1:11">
      <c r="A2" s="4">
        <v>1</v>
      </c>
      <c r="B2" s="4">
        <v>1000</v>
      </c>
      <c r="C2" s="4">
        <v>16</v>
      </c>
      <c r="D2" s="5" t="s">
        <v>559</v>
      </c>
      <c r="F2">
        <v>15</v>
      </c>
      <c r="G2">
        <v>1</v>
      </c>
      <c r="H2">
        <v>1</v>
      </c>
      <c r="K2">
        <v>15.8</v>
      </c>
    </row>
    <row r="3" spans="1:11">
      <c r="A3" s="6">
        <v>1</v>
      </c>
      <c r="B3" s="4">
        <v>0</v>
      </c>
      <c r="C3" s="4">
        <v>32</v>
      </c>
      <c r="D3" s="5" t="s">
        <v>678</v>
      </c>
      <c r="F3">
        <v>14</v>
      </c>
      <c r="K3">
        <v>2.5</v>
      </c>
    </row>
    <row r="4" spans="1:11">
      <c r="A4" s="4">
        <v>1</v>
      </c>
      <c r="B4" s="4">
        <v>2000</v>
      </c>
      <c r="C4" s="4">
        <v>8</v>
      </c>
      <c r="D4" s="5" t="s">
        <v>500</v>
      </c>
      <c r="F4">
        <v>6</v>
      </c>
      <c r="G4">
        <v>1</v>
      </c>
      <c r="K4">
        <v>7.4</v>
      </c>
    </row>
    <row r="5" spans="1:11">
      <c r="A5" s="4">
        <v>1</v>
      </c>
      <c r="B5" s="4">
        <v>6000</v>
      </c>
      <c r="C5" s="4">
        <v>5.7</v>
      </c>
      <c r="D5" s="5" t="s">
        <v>682</v>
      </c>
      <c r="F5">
        <v>4</v>
      </c>
      <c r="G5">
        <v>1</v>
      </c>
      <c r="H5">
        <v>1</v>
      </c>
      <c r="K5">
        <v>3</v>
      </c>
    </row>
    <row r="6" spans="1:11">
      <c r="A6" s="4">
        <v>1</v>
      </c>
      <c r="B6" s="4">
        <v>13000</v>
      </c>
      <c r="C6" s="4">
        <v>3.3</v>
      </c>
      <c r="D6" s="5" t="s">
        <v>686</v>
      </c>
      <c r="F6">
        <v>2.2</v>
      </c>
      <c r="K6">
        <v>3.6</v>
      </c>
    </row>
    <row r="7" spans="1:11">
      <c r="A7" s="6">
        <v>1</v>
      </c>
      <c r="B7" s="4">
        <v>80000</v>
      </c>
      <c r="C7" s="4">
        <v>3.3</v>
      </c>
      <c r="D7" s="5" t="s">
        <v>336</v>
      </c>
      <c r="F7">
        <v>0.8</v>
      </c>
      <c r="G7">
        <v>1</v>
      </c>
      <c r="K7">
        <f>SUM(K2:K6)</f>
        <v>32.3</v>
      </c>
    </row>
    <row r="8" spans="1:11">
      <c r="A8" s="6">
        <v>1</v>
      </c>
      <c r="B8" s="4">
        <v>90000</v>
      </c>
      <c r="C8" s="4">
        <v>1.9</v>
      </c>
      <c r="D8" s="5" t="s">
        <v>251</v>
      </c>
      <c r="F8">
        <v>0.6</v>
      </c>
      <c r="G8">
        <v>1</v>
      </c>
      <c r="K8">
        <v>16</v>
      </c>
    </row>
    <row r="9" spans="1:6">
      <c r="A9" s="6">
        <v>1</v>
      </c>
      <c r="B9" s="4">
        <v>88000</v>
      </c>
      <c r="C9" s="4">
        <v>0.6</v>
      </c>
      <c r="D9" s="5" t="s">
        <v>338</v>
      </c>
      <c r="F9">
        <v>0.45</v>
      </c>
    </row>
    <row r="10" spans="2:8">
      <c r="B10" t="s">
        <v>1462</v>
      </c>
      <c r="C10">
        <f>SUMPRODUCT(A1:A9,B1:B9,C1:C9)</f>
        <v>617900</v>
      </c>
      <c r="E10" t="s">
        <v>1463</v>
      </c>
      <c r="F10">
        <f>SUMPRODUCT(B1:B9,F1:F9)</f>
        <v>252200</v>
      </c>
      <c r="H10">
        <v>432000</v>
      </c>
    </row>
    <row r="11" spans="6:8">
      <c r="F11">
        <f>(F10-H10)/H10</f>
        <v>-0.416203703703704</v>
      </c>
      <c r="H11">
        <f>(C10-H10)/H10</f>
        <v>0.430324074074074</v>
      </c>
    </row>
    <row r="12" spans="1:2">
      <c r="A12" t="s">
        <v>1464</v>
      </c>
      <c r="B12" s="7">
        <v>42829</v>
      </c>
    </row>
  </sheetData>
  <hyperlinks>
    <hyperlink ref="D4" r:id="rId1" display="天鸽互动"/>
    <hyperlink ref="D2" r:id="rId2" display="科通芯城"/>
    <hyperlink ref="D9" r:id="rId3" display="天马影视"/>
    <hyperlink ref="D8" r:id="rId4" display="中国9号健康"/>
    <hyperlink ref="D3" r:id="rId5" display="元征科技"/>
    <hyperlink ref="D5" r:id="rId6" display="中国软件国际"/>
    <hyperlink ref="D1" r:id="rId7" display="网龙"/>
    <hyperlink ref="D7" r:id="rId8" display="数字王国"/>
    <hyperlink ref="D6" r:id="rId9" display="北大青鸟环宇"/>
  </hyperlinks>
  <pageMargins left="0.75" right="0.75" top="1" bottom="1" header="0.511805555555556" footer="0.511805555555556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2:K69"/>
  <sheetViews>
    <sheetView topLeftCell="A37" workbookViewId="0">
      <selection activeCell="F18" sqref="F18"/>
    </sheetView>
  </sheetViews>
  <sheetFormatPr defaultColWidth="9" defaultRowHeight="13.5"/>
  <cols>
    <col min="1" max="1" width="9.5" customWidth="1"/>
    <col min="2" max="4" width="7.5" customWidth="1"/>
    <col min="5" max="5" width="9.5" customWidth="1"/>
    <col min="6" max="6" width="17.25" customWidth="1"/>
    <col min="7" max="7" width="7.5" customWidth="1"/>
    <col min="8" max="8" width="13.875" customWidth="1"/>
    <col min="9" max="9" width="12.75" customWidth="1"/>
    <col min="10" max="10" width="8.5" customWidth="1"/>
    <col min="11" max="11" width="6.5" customWidth="1"/>
  </cols>
  <sheetData>
    <row r="2" spans="1:10">
      <c r="A2">
        <v>29</v>
      </c>
      <c r="B2">
        <v>2.76</v>
      </c>
      <c r="C2">
        <v>2.4</v>
      </c>
      <c r="D2">
        <v>4.67</v>
      </c>
      <c r="E2" s="2">
        <v>619243696.37</v>
      </c>
      <c r="F2" t="s">
        <v>885</v>
      </c>
      <c r="G2">
        <v>0.31</v>
      </c>
      <c r="H2">
        <v>4.78245856353591</v>
      </c>
      <c r="I2">
        <v>6.0958</v>
      </c>
      <c r="J2">
        <v>5.94</v>
      </c>
    </row>
    <row r="3" spans="1:10">
      <c r="A3">
        <v>144</v>
      </c>
      <c r="B3">
        <v>22.35</v>
      </c>
      <c r="C3">
        <v>19.8</v>
      </c>
      <c r="D3">
        <v>37</v>
      </c>
      <c r="E3" s="2">
        <v>57041796291.35</v>
      </c>
      <c r="F3" t="s">
        <v>1066</v>
      </c>
      <c r="G3">
        <v>0.8</v>
      </c>
      <c r="H3">
        <v>6.51702740417446</v>
      </c>
      <c r="I3">
        <v>12.6031</v>
      </c>
      <c r="J3">
        <v>12.923</v>
      </c>
    </row>
    <row r="4" spans="1:10">
      <c r="A4">
        <v>172</v>
      </c>
      <c r="B4">
        <v>0.285</v>
      </c>
      <c r="C4">
        <v>0.233</v>
      </c>
      <c r="D4">
        <v>0.79</v>
      </c>
      <c r="E4" s="2">
        <v>787145160.25</v>
      </c>
      <c r="F4" t="s">
        <v>1030</v>
      </c>
      <c r="G4">
        <v>0.34</v>
      </c>
      <c r="H4">
        <v>10.7142857142857</v>
      </c>
      <c r="I4">
        <v>6.6589</v>
      </c>
      <c r="J4">
        <v>6.032</v>
      </c>
    </row>
    <row r="5" spans="1:8">
      <c r="A5">
        <v>205</v>
      </c>
      <c r="B5">
        <v>0.117</v>
      </c>
      <c r="C5">
        <v>0.081</v>
      </c>
      <c r="D5">
        <v>1.31</v>
      </c>
      <c r="E5" s="2">
        <v>713837097.79</v>
      </c>
      <c r="F5" t="s">
        <v>976</v>
      </c>
      <c r="G5">
        <v>0.63</v>
      </c>
      <c r="H5">
        <v>0.772413793103448</v>
      </c>
    </row>
    <row r="6" spans="1:8">
      <c r="A6">
        <v>269</v>
      </c>
      <c r="B6">
        <v>0.127</v>
      </c>
      <c r="C6">
        <v>0.028</v>
      </c>
      <c r="D6">
        <v>0.345</v>
      </c>
      <c r="E6" s="2">
        <v>837297100.28</v>
      </c>
      <c r="F6" t="s">
        <v>1029</v>
      </c>
      <c r="G6">
        <v>0.31</v>
      </c>
      <c r="H6">
        <v>1.11111111111111</v>
      </c>
    </row>
    <row r="7" spans="1:10">
      <c r="A7">
        <v>279</v>
      </c>
      <c r="B7">
        <v>0.255</v>
      </c>
      <c r="C7">
        <v>0.09</v>
      </c>
      <c r="D7">
        <v>0.92</v>
      </c>
      <c r="E7" s="2">
        <v>3097241190</v>
      </c>
      <c r="F7" t="s">
        <v>882</v>
      </c>
      <c r="G7">
        <v>0.94</v>
      </c>
      <c r="H7">
        <v>-6.47948164146868</v>
      </c>
      <c r="I7">
        <v>5.8107</v>
      </c>
      <c r="J7">
        <v>8.14</v>
      </c>
    </row>
    <row r="8" spans="1:10">
      <c r="A8">
        <v>285</v>
      </c>
      <c r="B8">
        <v>3.78</v>
      </c>
      <c r="C8">
        <v>2.93</v>
      </c>
      <c r="D8">
        <v>13.94</v>
      </c>
      <c r="E8" s="2">
        <v>8900157775</v>
      </c>
      <c r="F8" t="s">
        <v>886</v>
      </c>
      <c r="G8">
        <v>0.69</v>
      </c>
      <c r="H8">
        <v>0.369337130268637</v>
      </c>
      <c r="I8">
        <v>7.8938</v>
      </c>
      <c r="J8">
        <v>6.355</v>
      </c>
    </row>
    <row r="9" spans="1:10">
      <c r="A9">
        <v>296</v>
      </c>
      <c r="B9">
        <v>1.4</v>
      </c>
      <c r="C9">
        <v>1.16</v>
      </c>
      <c r="D9">
        <v>2.78</v>
      </c>
      <c r="E9" s="2">
        <v>1797513456.54</v>
      </c>
      <c r="F9" t="s">
        <v>933</v>
      </c>
      <c r="G9">
        <v>0.54</v>
      </c>
      <c r="H9">
        <v>0.978307103360272</v>
      </c>
      <c r="I9">
        <v>3.5645</v>
      </c>
      <c r="J9">
        <v>3.513</v>
      </c>
    </row>
    <row r="10" spans="1:10">
      <c r="A10">
        <v>410</v>
      </c>
      <c r="B10">
        <v>3.59</v>
      </c>
      <c r="C10">
        <v>2.91</v>
      </c>
      <c r="D10">
        <v>6.72</v>
      </c>
      <c r="E10" s="2">
        <v>18874272232.53</v>
      </c>
      <c r="F10" t="s">
        <v>994</v>
      </c>
      <c r="G10">
        <v>0.4</v>
      </c>
      <c r="H10">
        <v>9.80261794169651</v>
      </c>
      <c r="I10">
        <v>3.6998</v>
      </c>
      <c r="J10">
        <v>3.4</v>
      </c>
    </row>
    <row r="11" spans="1:8">
      <c r="A11">
        <v>426</v>
      </c>
      <c r="B11">
        <v>1.3</v>
      </c>
      <c r="C11">
        <v>0.5</v>
      </c>
      <c r="D11">
        <v>1.78</v>
      </c>
      <c r="E11" s="2">
        <v>537206000</v>
      </c>
      <c r="F11" t="s">
        <v>983</v>
      </c>
      <c r="G11">
        <v>3.32</v>
      </c>
      <c r="H11">
        <v>3.77571146801916</v>
      </c>
    </row>
    <row r="12" spans="1:10">
      <c r="A12">
        <v>572</v>
      </c>
      <c r="B12">
        <v>0.17</v>
      </c>
      <c r="C12">
        <v>0.052</v>
      </c>
      <c r="D12">
        <v>1.38</v>
      </c>
      <c r="E12" s="2">
        <v>993745135.66</v>
      </c>
      <c r="F12" t="s">
        <v>852</v>
      </c>
      <c r="G12">
        <v>3.26</v>
      </c>
      <c r="H12">
        <v>6.96356275303643</v>
      </c>
      <c r="I12">
        <v>366.0203</v>
      </c>
      <c r="J12">
        <v>145</v>
      </c>
    </row>
    <row r="13" spans="1:10">
      <c r="A13">
        <v>583</v>
      </c>
      <c r="B13">
        <v>1.77</v>
      </c>
      <c r="C13">
        <v>1.77</v>
      </c>
      <c r="D13">
        <v>2</v>
      </c>
      <c r="E13" s="2">
        <v>2764133944.92</v>
      </c>
      <c r="F13" t="s">
        <v>996</v>
      </c>
      <c r="G13">
        <v>0.84</v>
      </c>
      <c r="H13">
        <v>2.49295774647887</v>
      </c>
      <c r="I13">
        <v>20.2104</v>
      </c>
      <c r="J13">
        <v>20.205</v>
      </c>
    </row>
    <row r="14" spans="1:8">
      <c r="A14">
        <v>648</v>
      </c>
      <c r="B14">
        <v>0.112</v>
      </c>
      <c r="C14">
        <v>0.08</v>
      </c>
      <c r="D14">
        <v>0.574</v>
      </c>
      <c r="E14" s="2">
        <v>300442942.49</v>
      </c>
      <c r="F14" t="s">
        <v>1129</v>
      </c>
      <c r="G14">
        <v>0.4</v>
      </c>
      <c r="H14">
        <v>2.11397058823529</v>
      </c>
    </row>
    <row r="15" spans="1:8">
      <c r="A15">
        <v>660</v>
      </c>
      <c r="B15">
        <v>0.101</v>
      </c>
      <c r="C15">
        <v>0.036</v>
      </c>
      <c r="D15">
        <v>0.27</v>
      </c>
      <c r="E15" s="2">
        <v>1659609908.35</v>
      </c>
      <c r="F15" t="s">
        <v>1056</v>
      </c>
      <c r="G15">
        <v>990</v>
      </c>
      <c r="H15">
        <v>4.95145631067961</v>
      </c>
    </row>
    <row r="16" spans="1:10">
      <c r="A16">
        <v>683</v>
      </c>
      <c r="B16">
        <v>18.56</v>
      </c>
      <c r="C16">
        <v>16.66</v>
      </c>
      <c r="D16">
        <v>34.4</v>
      </c>
      <c r="E16" s="2">
        <v>27160040240.96</v>
      </c>
      <c r="F16" t="s">
        <v>990</v>
      </c>
      <c r="G16">
        <v>0.33</v>
      </c>
      <c r="H16">
        <v>3.03074222587242</v>
      </c>
      <c r="I16">
        <v>4.0097</v>
      </c>
      <c r="J16">
        <v>3.685</v>
      </c>
    </row>
    <row r="17" spans="1:8">
      <c r="A17">
        <v>689</v>
      </c>
      <c r="B17">
        <v>0.168</v>
      </c>
      <c r="C17">
        <v>0.142</v>
      </c>
      <c r="D17">
        <v>1.77</v>
      </c>
      <c r="E17" s="2">
        <v>799183293.43</v>
      </c>
      <c r="F17" t="s">
        <v>917</v>
      </c>
      <c r="G17">
        <v>1.24</v>
      </c>
      <c r="H17">
        <v>2.00218818380744</v>
      </c>
    </row>
    <row r="18" spans="1:8">
      <c r="A18">
        <v>692</v>
      </c>
      <c r="B18">
        <v>0.103</v>
      </c>
      <c r="C18">
        <v>0.07</v>
      </c>
      <c r="D18">
        <v>1.01</v>
      </c>
      <c r="E18" s="2">
        <v>407900715.3</v>
      </c>
      <c r="F18" t="s">
        <v>865</v>
      </c>
      <c r="G18">
        <v>0.22</v>
      </c>
      <c r="H18">
        <v>0.207382828701783</v>
      </c>
    </row>
    <row r="19" spans="1:8">
      <c r="A19">
        <v>722</v>
      </c>
      <c r="B19">
        <v>1.16</v>
      </c>
      <c r="C19">
        <v>0.98</v>
      </c>
      <c r="D19">
        <v>1.97</v>
      </c>
      <c r="E19" s="2">
        <v>890560000</v>
      </c>
      <c r="F19" t="s">
        <v>1011</v>
      </c>
      <c r="G19">
        <v>2.22</v>
      </c>
      <c r="H19">
        <v>21.5153</v>
      </c>
    </row>
    <row r="20" spans="1:8">
      <c r="A20">
        <v>729</v>
      </c>
      <c r="B20">
        <v>0.355</v>
      </c>
      <c r="C20">
        <v>0.3</v>
      </c>
      <c r="D20">
        <v>0.88</v>
      </c>
      <c r="E20" s="2">
        <v>7263750275.25</v>
      </c>
      <c r="F20" t="s">
        <v>1002</v>
      </c>
      <c r="G20">
        <v>2.87</v>
      </c>
      <c r="H20">
        <v>22.5903614457831</v>
      </c>
    </row>
    <row r="21" spans="1:8">
      <c r="A21">
        <v>758</v>
      </c>
      <c r="B21">
        <v>0.36</v>
      </c>
      <c r="C21">
        <v>0.23</v>
      </c>
      <c r="D21">
        <v>0.83</v>
      </c>
      <c r="E21" s="2">
        <v>418159986.8</v>
      </c>
      <c r="F21" t="s">
        <v>989</v>
      </c>
      <c r="G21">
        <v>0.73</v>
      </c>
      <c r="H21">
        <v>1.05792118487172</v>
      </c>
    </row>
    <row r="22" spans="1:8">
      <c r="A22">
        <v>835</v>
      </c>
      <c r="B22">
        <v>0.085</v>
      </c>
      <c r="C22">
        <v>0.054</v>
      </c>
      <c r="D22">
        <v>0.223</v>
      </c>
      <c r="E22" s="2">
        <v>787835807.66</v>
      </c>
      <c r="F22" t="s">
        <v>869</v>
      </c>
      <c r="G22">
        <v>30.37</v>
      </c>
      <c r="H22">
        <v>58.5714285714285</v>
      </c>
    </row>
    <row r="23" spans="1:10">
      <c r="A23">
        <v>837</v>
      </c>
      <c r="B23">
        <v>3.95</v>
      </c>
      <c r="C23">
        <v>3.65</v>
      </c>
      <c r="D23">
        <v>6.12</v>
      </c>
      <c r="E23" s="2">
        <v>985000000</v>
      </c>
      <c r="F23" t="s">
        <v>1035</v>
      </c>
      <c r="G23">
        <v>1.34</v>
      </c>
      <c r="H23">
        <v>2.5343753604168</v>
      </c>
      <c r="I23">
        <v>6.1179</v>
      </c>
      <c r="J23">
        <v>6.18</v>
      </c>
    </row>
    <row r="24" spans="1:10">
      <c r="A24">
        <v>848</v>
      </c>
      <c r="B24">
        <v>0.84</v>
      </c>
      <c r="C24">
        <v>0.77</v>
      </c>
      <c r="D24">
        <v>2</v>
      </c>
      <c r="E24" s="2">
        <v>4370389750</v>
      </c>
      <c r="F24" t="s">
        <v>1151</v>
      </c>
      <c r="G24">
        <v>0.45</v>
      </c>
      <c r="H24">
        <v>0.792414006299784</v>
      </c>
      <c r="I24">
        <v>2.5612</v>
      </c>
      <c r="J24">
        <v>2.406</v>
      </c>
    </row>
    <row r="25" spans="1:10">
      <c r="A25">
        <v>958</v>
      </c>
      <c r="B25">
        <v>1.89</v>
      </c>
      <c r="C25">
        <v>1.39</v>
      </c>
      <c r="D25">
        <v>3.8</v>
      </c>
      <c r="E25" s="2">
        <v>8049955184.64</v>
      </c>
      <c r="F25" t="s">
        <v>945</v>
      </c>
      <c r="G25">
        <v>0.86</v>
      </c>
      <c r="H25">
        <v>1.82545379688019</v>
      </c>
      <c r="I25">
        <v>13.3247</v>
      </c>
      <c r="J25">
        <v>10.387</v>
      </c>
    </row>
    <row r="26" spans="1:10">
      <c r="A26">
        <v>1019</v>
      </c>
      <c r="B26">
        <v>0.335</v>
      </c>
      <c r="C26">
        <v>0.23</v>
      </c>
      <c r="D26">
        <v>1.89</v>
      </c>
      <c r="E26" s="2">
        <v>5004530160</v>
      </c>
      <c r="F26" t="s">
        <v>1107</v>
      </c>
      <c r="G26">
        <v>1.73</v>
      </c>
      <c r="H26">
        <v>1.10415293342122</v>
      </c>
      <c r="I26">
        <v>20.3293</v>
      </c>
      <c r="J26">
        <v>1.691</v>
      </c>
    </row>
    <row r="27" spans="1:10">
      <c r="A27">
        <v>1033</v>
      </c>
      <c r="B27">
        <v>1.65</v>
      </c>
      <c r="C27">
        <v>1.49</v>
      </c>
      <c r="D27">
        <v>4.96</v>
      </c>
      <c r="E27" s="2">
        <v>3465000000</v>
      </c>
      <c r="F27" t="s">
        <v>1051</v>
      </c>
      <c r="G27">
        <v>0.79</v>
      </c>
      <c r="H27">
        <v>0.400944446269889</v>
      </c>
      <c r="I27">
        <v>14.8431</v>
      </c>
      <c r="J27">
        <v>15.682</v>
      </c>
    </row>
    <row r="28" spans="1:10">
      <c r="A28">
        <v>1046</v>
      </c>
      <c r="B28">
        <v>0.087</v>
      </c>
      <c r="C28">
        <v>0.053</v>
      </c>
      <c r="D28">
        <v>2.13</v>
      </c>
      <c r="E28" s="2">
        <v>177778910.52</v>
      </c>
      <c r="F28" t="s">
        <v>847</v>
      </c>
      <c r="G28">
        <v>0.26</v>
      </c>
      <c r="H28">
        <v>0.495662949194547</v>
      </c>
      <c r="I28">
        <v>1.0977</v>
      </c>
      <c r="J28">
        <v>0.19</v>
      </c>
    </row>
    <row r="29" spans="1:10">
      <c r="A29">
        <v>1053</v>
      </c>
      <c r="B29">
        <v>0.91</v>
      </c>
      <c r="C29">
        <v>0.81</v>
      </c>
      <c r="D29">
        <v>2.94</v>
      </c>
      <c r="E29" s="2">
        <v>484314480</v>
      </c>
      <c r="F29" t="s">
        <v>860</v>
      </c>
      <c r="G29">
        <v>0.48</v>
      </c>
      <c r="H29">
        <v>0.365397707553246</v>
      </c>
      <c r="I29">
        <v>62.0815</v>
      </c>
      <c r="J29">
        <v>66.207</v>
      </c>
    </row>
    <row r="30" spans="1:10">
      <c r="A30">
        <v>1057</v>
      </c>
      <c r="B30">
        <v>7</v>
      </c>
      <c r="C30">
        <v>5.1</v>
      </c>
      <c r="D30">
        <v>16.56</v>
      </c>
      <c r="E30" s="2">
        <v>600928020</v>
      </c>
      <c r="F30" t="s">
        <v>890</v>
      </c>
      <c r="G30">
        <v>1.25</v>
      </c>
      <c r="H30">
        <v>2.13326879882255</v>
      </c>
      <c r="I30">
        <v>40.3586</v>
      </c>
      <c r="J30">
        <v>34.306</v>
      </c>
    </row>
    <row r="31" spans="1:10">
      <c r="A31">
        <v>1068</v>
      </c>
      <c r="B31">
        <v>1.11</v>
      </c>
      <c r="C31">
        <v>0.9</v>
      </c>
      <c r="D31">
        <v>4.19</v>
      </c>
      <c r="E31" s="2">
        <v>2406037458</v>
      </c>
      <c r="F31" t="s">
        <v>955</v>
      </c>
      <c r="G31">
        <v>0.16</v>
      </c>
      <c r="H31">
        <v>0.124721266865716</v>
      </c>
      <c r="I31">
        <v>42.3792</v>
      </c>
      <c r="J31">
        <v>32.154</v>
      </c>
    </row>
    <row r="32" spans="1:10">
      <c r="A32">
        <v>1108</v>
      </c>
      <c r="B32">
        <v>4.43</v>
      </c>
      <c r="C32">
        <v>2</v>
      </c>
      <c r="D32">
        <v>9</v>
      </c>
      <c r="E32" s="2">
        <v>1110000000</v>
      </c>
      <c r="F32" t="s">
        <v>950</v>
      </c>
      <c r="G32">
        <v>124.6</v>
      </c>
      <c r="H32">
        <v>3.39298584542592</v>
      </c>
      <c r="I32">
        <v>116.8683</v>
      </c>
      <c r="J32">
        <v>112</v>
      </c>
    </row>
    <row r="33" spans="1:8">
      <c r="A33">
        <v>1137</v>
      </c>
      <c r="B33">
        <v>1.51</v>
      </c>
      <c r="C33">
        <v>1.14</v>
      </c>
      <c r="D33">
        <v>5</v>
      </c>
      <c r="E33" s="2">
        <v>1197344631.64</v>
      </c>
      <c r="F33" t="s">
        <v>1088</v>
      </c>
      <c r="G33">
        <v>0.42</v>
      </c>
      <c r="H33">
        <v>5.05464480874316</v>
      </c>
    </row>
    <row r="34" spans="1:10">
      <c r="A34">
        <v>1171</v>
      </c>
      <c r="B34">
        <v>3.21</v>
      </c>
      <c r="C34">
        <v>2.88</v>
      </c>
      <c r="D34">
        <v>10.46</v>
      </c>
      <c r="E34" s="2">
        <v>6286464000</v>
      </c>
      <c r="F34" t="s">
        <v>889</v>
      </c>
      <c r="G34">
        <v>0.27</v>
      </c>
      <c r="H34">
        <v>0.326092761529411</v>
      </c>
      <c r="I34">
        <v>16.4802</v>
      </c>
      <c r="J34">
        <v>15.349</v>
      </c>
    </row>
    <row r="35" spans="1:10">
      <c r="A35">
        <v>1270</v>
      </c>
      <c r="B35">
        <v>2.4</v>
      </c>
      <c r="C35">
        <v>2.39</v>
      </c>
      <c r="D35">
        <v>3.72</v>
      </c>
      <c r="E35" s="2">
        <v>5045977664.39</v>
      </c>
      <c r="F35" t="s">
        <v>941</v>
      </c>
      <c r="G35">
        <v>0.48</v>
      </c>
      <c r="H35">
        <v>7.29689807976366</v>
      </c>
      <c r="I35">
        <v>3.4988</v>
      </c>
      <c r="J35">
        <v>8.87</v>
      </c>
    </row>
    <row r="36" spans="1:10">
      <c r="A36">
        <v>1300</v>
      </c>
      <c r="B36">
        <v>1.4</v>
      </c>
      <c r="C36">
        <v>1.22</v>
      </c>
      <c r="D36">
        <v>2.8</v>
      </c>
      <c r="E36" s="2">
        <v>2188900000</v>
      </c>
      <c r="F36" t="s">
        <v>1067</v>
      </c>
      <c r="G36">
        <v>0.72</v>
      </c>
      <c r="H36">
        <v>0.486878621159744</v>
      </c>
      <c r="I36">
        <v>4.7432</v>
      </c>
      <c r="J36">
        <v>3.265</v>
      </c>
    </row>
    <row r="37" spans="1:10">
      <c r="A37">
        <v>1381</v>
      </c>
      <c r="B37">
        <v>3.05</v>
      </c>
      <c r="C37">
        <v>2.22</v>
      </c>
      <c r="D37">
        <v>4.85</v>
      </c>
      <c r="E37" s="2">
        <v>6160000000</v>
      </c>
      <c r="F37" t="s">
        <v>968</v>
      </c>
      <c r="G37">
        <v>2.54</v>
      </c>
      <c r="H37">
        <v>6.02032838154808</v>
      </c>
      <c r="I37">
        <v>32.2449</v>
      </c>
      <c r="J37">
        <v>23.802</v>
      </c>
    </row>
    <row r="38" spans="1:10">
      <c r="A38">
        <v>1395</v>
      </c>
      <c r="B38">
        <v>0.46</v>
      </c>
      <c r="C38">
        <v>0.37</v>
      </c>
      <c r="D38">
        <v>1.52</v>
      </c>
      <c r="E38" s="2">
        <v>418880000</v>
      </c>
      <c r="F38" t="s">
        <v>1149</v>
      </c>
      <c r="G38">
        <v>0.83</v>
      </c>
      <c r="H38">
        <v>2.54188330444829</v>
      </c>
      <c r="I38">
        <v>45.2013</v>
      </c>
      <c r="J38">
        <v>26.761</v>
      </c>
    </row>
    <row r="39" spans="1:10">
      <c r="A39">
        <v>1638</v>
      </c>
      <c r="B39">
        <v>1.56</v>
      </c>
      <c r="C39">
        <v>1.38</v>
      </c>
      <c r="D39">
        <v>3.26</v>
      </c>
      <c r="E39" s="2">
        <v>8011267539.6</v>
      </c>
      <c r="F39" t="s">
        <v>1147</v>
      </c>
      <c r="G39">
        <v>0.33</v>
      </c>
      <c r="H39">
        <v>0.452584426796166</v>
      </c>
      <c r="I39">
        <v>2.1893</v>
      </c>
      <c r="J39">
        <v>2.096</v>
      </c>
    </row>
    <row r="40" spans="1:10">
      <c r="A40">
        <v>1898</v>
      </c>
      <c r="B40">
        <v>2.63</v>
      </c>
      <c r="C40">
        <v>2.31</v>
      </c>
      <c r="D40">
        <v>5.6</v>
      </c>
      <c r="E40" s="2">
        <v>10923723580</v>
      </c>
      <c r="F40" t="s">
        <v>902</v>
      </c>
      <c r="G40">
        <v>0.33</v>
      </c>
      <c r="H40">
        <v>0.465917657440565</v>
      </c>
      <c r="I40">
        <v>199.9008</v>
      </c>
      <c r="J40">
        <v>184.962</v>
      </c>
    </row>
    <row r="41" spans="1:10">
      <c r="A41">
        <v>1919</v>
      </c>
      <c r="B41">
        <v>2.76</v>
      </c>
      <c r="C41">
        <v>2.56</v>
      </c>
      <c r="D41">
        <v>8.16</v>
      </c>
      <c r="E41" s="2">
        <v>7174068000</v>
      </c>
      <c r="F41" t="s">
        <v>985</v>
      </c>
      <c r="G41">
        <v>0.86</v>
      </c>
      <c r="H41">
        <v>0.372382392223815</v>
      </c>
      <c r="I41">
        <v>62.6535</v>
      </c>
      <c r="J41">
        <v>60.811</v>
      </c>
    </row>
    <row r="42" spans="1:10">
      <c r="A42">
        <v>1929</v>
      </c>
      <c r="B42">
        <v>4.53</v>
      </c>
      <c r="C42">
        <v>4.2</v>
      </c>
      <c r="D42">
        <v>11.78</v>
      </c>
      <c r="E42" s="2">
        <v>44800000000</v>
      </c>
      <c r="F42" t="s">
        <v>943</v>
      </c>
      <c r="G42">
        <v>1.15</v>
      </c>
      <c r="H42">
        <v>0.789552528154244</v>
      </c>
      <c r="I42">
        <v>8.2111</v>
      </c>
      <c r="J42">
        <v>7.845</v>
      </c>
    </row>
    <row r="43" spans="1:10">
      <c r="A43">
        <v>2322</v>
      </c>
      <c r="B43">
        <v>5.59</v>
      </c>
      <c r="C43">
        <v>0.48</v>
      </c>
      <c r="D43">
        <v>5.85</v>
      </c>
      <c r="E43" s="2">
        <v>2770884000</v>
      </c>
      <c r="F43" t="s">
        <v>1145</v>
      </c>
      <c r="G43">
        <v>6.63</v>
      </c>
      <c r="H43">
        <v>2.00281096275474</v>
      </c>
      <c r="I43">
        <v>347.0981</v>
      </c>
      <c r="J43">
        <v>168.354</v>
      </c>
    </row>
    <row r="44" spans="1:8">
      <c r="A44">
        <v>2366</v>
      </c>
      <c r="B44">
        <v>0.7</v>
      </c>
      <c r="C44">
        <v>0.3</v>
      </c>
      <c r="D44">
        <v>1.56</v>
      </c>
      <c r="E44" s="2">
        <v>567040378.8</v>
      </c>
      <c r="F44" t="s">
        <v>975</v>
      </c>
      <c r="G44">
        <v>1.24</v>
      </c>
      <c r="H44">
        <v>3.97501419647927</v>
      </c>
    </row>
    <row r="45" spans="1:8">
      <c r="A45">
        <v>2799</v>
      </c>
      <c r="B45">
        <v>2.79</v>
      </c>
      <c r="C45">
        <v>2.34</v>
      </c>
      <c r="D45">
        <v>3.15</v>
      </c>
      <c r="E45" s="2">
        <v>72627173462.2</v>
      </c>
      <c r="F45" t="s">
        <v>992</v>
      </c>
      <c r="G45">
        <v>1.1</v>
      </c>
      <c r="H45">
        <v>8.5034</v>
      </c>
    </row>
    <row r="46" spans="1:10">
      <c r="A46">
        <v>2866</v>
      </c>
      <c r="B46">
        <v>1.58</v>
      </c>
      <c r="C46">
        <v>1.34</v>
      </c>
      <c r="D46">
        <v>4.97</v>
      </c>
      <c r="E46" s="2">
        <v>5926580000</v>
      </c>
      <c r="F46" t="s">
        <v>988</v>
      </c>
      <c r="G46">
        <v>0.59</v>
      </c>
      <c r="H46">
        <v>0.45596485635286</v>
      </c>
      <c r="I46">
        <v>14.1401</v>
      </c>
      <c r="J46">
        <v>12.802</v>
      </c>
    </row>
    <row r="47" spans="1:10">
      <c r="A47">
        <v>2883</v>
      </c>
      <c r="B47">
        <v>5.87</v>
      </c>
      <c r="C47">
        <v>4.79</v>
      </c>
      <c r="D47">
        <v>23.4</v>
      </c>
      <c r="E47" s="2">
        <v>10830521520</v>
      </c>
      <c r="F47" t="s">
        <v>954</v>
      </c>
      <c r="G47">
        <v>0.49</v>
      </c>
      <c r="H47">
        <v>0.931696114542708</v>
      </c>
      <c r="I47">
        <v>3.0459</v>
      </c>
      <c r="J47">
        <v>2.495</v>
      </c>
    </row>
    <row r="48" spans="1:9">
      <c r="A48">
        <v>3396</v>
      </c>
      <c r="B48">
        <v>22.8</v>
      </c>
      <c r="C48">
        <v>21.05</v>
      </c>
      <c r="D48">
        <v>43.95</v>
      </c>
      <c r="E48" s="2">
        <v>8855900174</v>
      </c>
      <c r="F48" t="s">
        <v>1089</v>
      </c>
      <c r="G48">
        <v>0.87</v>
      </c>
      <c r="H48">
        <v>0.147918521026315</v>
      </c>
      <c r="I48">
        <v>10.2363</v>
      </c>
    </row>
    <row r="49" spans="1:10">
      <c r="A49">
        <v>3836</v>
      </c>
      <c r="B49">
        <v>4.88</v>
      </c>
      <c r="C49">
        <v>2.96</v>
      </c>
      <c r="D49">
        <v>11.76</v>
      </c>
      <c r="E49" s="2">
        <v>7547606242.83</v>
      </c>
      <c r="F49" t="s">
        <v>1110</v>
      </c>
      <c r="G49">
        <v>1.08</v>
      </c>
      <c r="H49">
        <v>0.574222828422508</v>
      </c>
      <c r="I49">
        <v>11.0884</v>
      </c>
      <c r="J49">
        <v>6.966</v>
      </c>
    </row>
    <row r="50" spans="1:8">
      <c r="A50">
        <v>3889</v>
      </c>
      <c r="B50">
        <v>0.31</v>
      </c>
      <c r="C50">
        <v>0.153</v>
      </c>
      <c r="D50">
        <v>0.94</v>
      </c>
      <c r="E50" s="2">
        <v>496465450</v>
      </c>
      <c r="F50" t="s">
        <v>1095</v>
      </c>
      <c r="G50">
        <v>0.64</v>
      </c>
      <c r="H50">
        <v>0.26502487156487</v>
      </c>
    </row>
    <row r="51" spans="1:8">
      <c r="A51">
        <v>3963</v>
      </c>
      <c r="B51">
        <v>2.11</v>
      </c>
      <c r="C51">
        <v>2</v>
      </c>
      <c r="D51">
        <v>3.08</v>
      </c>
      <c r="E51" s="2">
        <v>844000000</v>
      </c>
      <c r="F51" t="s">
        <v>1102</v>
      </c>
      <c r="G51">
        <v>1.08</v>
      </c>
      <c r="H51">
        <v>12.8731</v>
      </c>
    </row>
    <row r="52" spans="1:8">
      <c r="A52">
        <v>3969</v>
      </c>
      <c r="B52">
        <v>3.77</v>
      </c>
      <c r="C52">
        <v>3.4</v>
      </c>
      <c r="D52">
        <v>6.77</v>
      </c>
      <c r="E52" s="2">
        <v>7540507830</v>
      </c>
      <c r="F52" t="s">
        <v>898</v>
      </c>
      <c r="G52">
        <v>1.6</v>
      </c>
      <c r="H52">
        <v>13.2401</v>
      </c>
    </row>
    <row r="53" spans="1:8">
      <c r="A53">
        <v>8007</v>
      </c>
      <c r="B53">
        <v>0.33</v>
      </c>
      <c r="C53">
        <v>0.047</v>
      </c>
      <c r="D53">
        <v>1.3</v>
      </c>
      <c r="E53" s="2">
        <v>1049400000</v>
      </c>
      <c r="F53" t="s">
        <v>1120</v>
      </c>
      <c r="G53">
        <v>10.31</v>
      </c>
      <c r="H53">
        <v>4.17322834645669</v>
      </c>
    </row>
    <row r="54" spans="1:8">
      <c r="A54">
        <v>8037</v>
      </c>
      <c r="B54">
        <v>0.107</v>
      </c>
      <c r="C54">
        <v>0.062</v>
      </c>
      <c r="D54">
        <v>1.11</v>
      </c>
      <c r="E54" s="2">
        <v>135339270.5</v>
      </c>
      <c r="F54" t="s">
        <v>863</v>
      </c>
      <c r="G54">
        <v>0.67</v>
      </c>
      <c r="H54">
        <v>1.12568306010928</v>
      </c>
    </row>
    <row r="55" spans="1:8">
      <c r="A55">
        <v>8090</v>
      </c>
      <c r="B55">
        <v>0.75</v>
      </c>
      <c r="C55">
        <v>0.65</v>
      </c>
      <c r="D55">
        <v>3.25</v>
      </c>
      <c r="E55" s="2">
        <v>1276465600</v>
      </c>
      <c r="F55" t="s">
        <v>923</v>
      </c>
      <c r="G55">
        <v>2.99</v>
      </c>
      <c r="H55">
        <v>49.0874577024357</v>
      </c>
    </row>
    <row r="56" spans="1:10">
      <c r="A56">
        <v>8121</v>
      </c>
      <c r="B56">
        <v>0.215</v>
      </c>
      <c r="C56">
        <v>0.16</v>
      </c>
      <c r="D56">
        <v>3.59</v>
      </c>
      <c r="E56" s="2">
        <v>416800000</v>
      </c>
      <c r="F56" t="s">
        <v>1106</v>
      </c>
      <c r="G56">
        <v>2.79</v>
      </c>
      <c r="H56">
        <v>2.1079258010118</v>
      </c>
      <c r="I56">
        <v>45.7118</v>
      </c>
      <c r="J56">
        <v>35.455</v>
      </c>
    </row>
    <row r="57" spans="1:10">
      <c r="A57">
        <v>8175</v>
      </c>
      <c r="B57">
        <v>0.43</v>
      </c>
      <c r="C57">
        <v>0.08</v>
      </c>
      <c r="D57">
        <v>0.48</v>
      </c>
      <c r="E57" s="2">
        <v>584798868.28</v>
      </c>
      <c r="F57" t="s">
        <v>1034</v>
      </c>
      <c r="G57">
        <v>1.25</v>
      </c>
      <c r="H57">
        <v>23.7837837837837</v>
      </c>
      <c r="I57">
        <v>23.4953</v>
      </c>
      <c r="J57">
        <v>13.87</v>
      </c>
    </row>
    <row r="58" spans="1:8">
      <c r="A58">
        <v>8220</v>
      </c>
      <c r="B58">
        <v>0.295</v>
      </c>
      <c r="C58">
        <v>0.178</v>
      </c>
      <c r="D58">
        <v>0.475</v>
      </c>
      <c r="E58" s="2">
        <v>958030830.12</v>
      </c>
      <c r="F58" t="s">
        <v>1132</v>
      </c>
      <c r="G58">
        <v>6.5</v>
      </c>
      <c r="H58">
        <v>14.9732620320855</v>
      </c>
    </row>
    <row r="59" spans="1:8">
      <c r="A59">
        <v>8340</v>
      </c>
      <c r="B59">
        <v>0.52</v>
      </c>
      <c r="C59">
        <v>0.16</v>
      </c>
      <c r="D59">
        <v>0.88</v>
      </c>
      <c r="E59" s="2">
        <v>316800000</v>
      </c>
      <c r="F59" t="s">
        <v>856</v>
      </c>
      <c r="G59">
        <v>12.92</v>
      </c>
      <c r="H59">
        <v>12.9533678756476</v>
      </c>
    </row>
    <row r="60" spans="1:8">
      <c r="A60">
        <v>8345</v>
      </c>
      <c r="B60">
        <v>3.74</v>
      </c>
      <c r="C60">
        <v>3</v>
      </c>
      <c r="D60">
        <v>5.5</v>
      </c>
      <c r="E60" s="2">
        <v>641600000</v>
      </c>
      <c r="F60" t="s">
        <v>1064</v>
      </c>
      <c r="G60">
        <v>12.15</v>
      </c>
      <c r="H60">
        <v>53.2167</v>
      </c>
    </row>
    <row r="61" spans="1:8">
      <c r="A61" t="s">
        <v>1384</v>
      </c>
      <c r="B61">
        <v>0.65</v>
      </c>
      <c r="C61">
        <v>0.4968</v>
      </c>
      <c r="D61">
        <v>1.52</v>
      </c>
      <c r="E61" s="2">
        <v>36410717.35</v>
      </c>
      <c r="F61" t="s">
        <v>1385</v>
      </c>
      <c r="G61">
        <v>0.12</v>
      </c>
      <c r="H61">
        <v>0.43</v>
      </c>
    </row>
    <row r="62" spans="1:7">
      <c r="A62" t="s">
        <v>1465</v>
      </c>
      <c r="B62">
        <v>118.29</v>
      </c>
      <c r="C62">
        <v>100.23</v>
      </c>
      <c r="D62">
        <v>120.84</v>
      </c>
      <c r="E62" s="2">
        <v>28310000000</v>
      </c>
      <c r="F62" t="s">
        <v>1466</v>
      </c>
      <c r="G62">
        <v>0</v>
      </c>
    </row>
    <row r="63" spans="1:10">
      <c r="A63" t="s">
        <v>1467</v>
      </c>
      <c r="B63">
        <v>3.84</v>
      </c>
      <c r="C63">
        <v>2.15</v>
      </c>
      <c r="D63">
        <v>8.37</v>
      </c>
      <c r="E63" s="2">
        <v>2512448341.32</v>
      </c>
      <c r="F63" t="s">
        <v>1468</v>
      </c>
      <c r="G63">
        <v>5.18</v>
      </c>
      <c r="H63">
        <v>0.72</v>
      </c>
      <c r="I63">
        <v>147.8</v>
      </c>
      <c r="J63">
        <v>37.1818</v>
      </c>
    </row>
    <row r="64" spans="1:9">
      <c r="A64" t="s">
        <v>1201</v>
      </c>
      <c r="B64">
        <v>5.21</v>
      </c>
      <c r="C64">
        <v>3.12</v>
      </c>
      <c r="D64">
        <v>5.48</v>
      </c>
      <c r="E64" s="2">
        <v>86361078.56</v>
      </c>
      <c r="F64" t="s">
        <v>1202</v>
      </c>
      <c r="G64">
        <v>0.38</v>
      </c>
      <c r="H64">
        <v>0.32</v>
      </c>
      <c r="I64">
        <v>5.3131</v>
      </c>
    </row>
    <row r="65" spans="1:11">
      <c r="A65" t="s">
        <v>1469</v>
      </c>
      <c r="B65">
        <v>17.89</v>
      </c>
      <c r="C65">
        <v>11.2</v>
      </c>
      <c r="D65">
        <v>44.71</v>
      </c>
      <c r="E65" s="2">
        <v>38762110350</v>
      </c>
      <c r="F65" t="s">
        <v>1470</v>
      </c>
      <c r="G65" t="s">
        <v>1471</v>
      </c>
      <c r="H65">
        <v>1.1</v>
      </c>
      <c r="I65">
        <v>2.77</v>
      </c>
      <c r="J65">
        <v>45.01</v>
      </c>
      <c r="K65">
        <v>173.7</v>
      </c>
    </row>
    <row r="66" spans="1:10">
      <c r="A66" t="s">
        <v>1472</v>
      </c>
      <c r="B66">
        <v>19.81</v>
      </c>
      <c r="C66">
        <v>18.31</v>
      </c>
      <c r="D66">
        <v>26.16</v>
      </c>
      <c r="E66" s="2">
        <v>13599835293.35</v>
      </c>
      <c r="F66" t="s">
        <v>1473</v>
      </c>
      <c r="G66">
        <v>2.43</v>
      </c>
      <c r="H66">
        <v>2.09</v>
      </c>
      <c r="I66">
        <v>13.11</v>
      </c>
      <c r="J66">
        <v>15.8175</v>
      </c>
    </row>
    <row r="67" spans="1:9">
      <c r="A67" t="s">
        <v>1474</v>
      </c>
      <c r="B67">
        <v>81.16</v>
      </c>
      <c r="C67">
        <v>61.61</v>
      </c>
      <c r="D67">
        <v>98.15</v>
      </c>
      <c r="E67" s="2">
        <v>37172601000</v>
      </c>
      <c r="F67" t="s">
        <v>1475</v>
      </c>
      <c r="G67">
        <v>4.42</v>
      </c>
      <c r="H67">
        <v>2.78</v>
      </c>
      <c r="I67">
        <v>27.931</v>
      </c>
    </row>
    <row r="68" spans="1:10">
      <c r="A68" t="s">
        <v>1476</v>
      </c>
      <c r="B68">
        <v>34.78</v>
      </c>
      <c r="C68">
        <v>20.91</v>
      </c>
      <c r="D68">
        <v>82.5</v>
      </c>
      <c r="E68" s="2">
        <v>45650971115.7</v>
      </c>
      <c r="F68" t="s">
        <v>1477</v>
      </c>
      <c r="G68">
        <v>15.69</v>
      </c>
      <c r="H68">
        <v>17.5498</v>
      </c>
      <c r="I68">
        <v>106.6579</v>
      </c>
      <c r="J68">
        <v>87.8358</v>
      </c>
    </row>
    <row r="69" spans="1:9">
      <c r="A69" t="s">
        <v>1155</v>
      </c>
      <c r="B69">
        <v>166.77</v>
      </c>
      <c r="C69">
        <v>141.05</v>
      </c>
      <c r="D69">
        <v>286.65</v>
      </c>
      <c r="E69" s="2">
        <v>21813870719.02</v>
      </c>
      <c r="F69" t="s">
        <v>1156</v>
      </c>
      <c r="G69">
        <v>20.05</v>
      </c>
      <c r="H69">
        <v>5.4</v>
      </c>
      <c r="I69">
        <v>381.33</v>
      </c>
    </row>
  </sheetData>
  <autoFilter ref="A1:K69"/>
  <pageMargins left="0.699305555555556" right="0.699305555555556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J25"/>
  <sheetViews>
    <sheetView workbookViewId="0">
      <selection activeCell="H3" sqref="H3"/>
    </sheetView>
  </sheetViews>
  <sheetFormatPr defaultColWidth="9" defaultRowHeight="13.5"/>
  <cols>
    <col min="1" max="1" width="5.5" customWidth="1"/>
    <col min="2" max="3" width="6.5" customWidth="1"/>
    <col min="4" max="4" width="7.5" customWidth="1"/>
    <col min="5" max="5" width="9.5" customWidth="1"/>
    <col min="6" max="6" width="17.25" customWidth="1"/>
    <col min="7" max="7" width="6.5" customWidth="1"/>
    <col min="8" max="8" width="12.75" customWidth="1"/>
    <col min="9" max="10" width="8.5" customWidth="1"/>
  </cols>
  <sheetData>
    <row r="1" spans="1:10">
      <c r="A1">
        <v>895</v>
      </c>
      <c r="B1">
        <v>9.89</v>
      </c>
      <c r="C1">
        <v>8.6</v>
      </c>
      <c r="D1">
        <v>19.3</v>
      </c>
      <c r="E1" s="2">
        <v>2013383250</v>
      </c>
      <c r="F1" t="s">
        <v>927</v>
      </c>
      <c r="G1">
        <v>2.72</v>
      </c>
      <c r="H1">
        <v>3.0731376330777</v>
      </c>
      <c r="I1">
        <v>27.7991</v>
      </c>
      <c r="J1">
        <v>25.102</v>
      </c>
    </row>
    <row r="2" spans="1:8">
      <c r="A2">
        <v>1281</v>
      </c>
      <c r="B2">
        <v>2.01</v>
      </c>
      <c r="C2">
        <v>1.2</v>
      </c>
      <c r="D2">
        <v>5.8</v>
      </c>
      <c r="E2" s="2">
        <v>1391037600</v>
      </c>
      <c r="F2" t="s">
        <v>1038</v>
      </c>
      <c r="G2">
        <v>19.26</v>
      </c>
      <c r="H2">
        <v>24.3254571964368</v>
      </c>
    </row>
    <row r="3" spans="1:10">
      <c r="A3">
        <v>2868</v>
      </c>
      <c r="B3">
        <v>2.7</v>
      </c>
      <c r="C3">
        <v>2.6</v>
      </c>
      <c r="D3">
        <v>7.39</v>
      </c>
      <c r="E3" s="2">
        <v>2837701680</v>
      </c>
      <c r="F3" t="s">
        <v>1001</v>
      </c>
      <c r="G3">
        <v>0.77</v>
      </c>
      <c r="H3">
        <v>0.403792372646187</v>
      </c>
      <c r="I3">
        <v>3.9841</v>
      </c>
      <c r="J3">
        <v>2.659</v>
      </c>
    </row>
    <row r="4" spans="1:8">
      <c r="A4">
        <v>769</v>
      </c>
      <c r="B4">
        <v>0.5</v>
      </c>
      <c r="C4">
        <v>0.41</v>
      </c>
      <c r="D4">
        <v>1.64</v>
      </c>
      <c r="E4" s="2">
        <v>1334769160.17</v>
      </c>
      <c r="F4" t="s">
        <v>978</v>
      </c>
      <c r="G4">
        <v>0.4</v>
      </c>
      <c r="H4">
        <v>1.00299137779341</v>
      </c>
    </row>
    <row r="5" spans="1:8">
      <c r="A5">
        <v>8063</v>
      </c>
      <c r="B5">
        <v>0.1</v>
      </c>
      <c r="C5">
        <v>0.09</v>
      </c>
      <c r="D5">
        <v>0.66</v>
      </c>
      <c r="E5" s="2">
        <v>263777460.75</v>
      </c>
      <c r="F5" t="s">
        <v>903</v>
      </c>
      <c r="G5">
        <v>0.5</v>
      </c>
      <c r="H5">
        <v>2.22007722007722</v>
      </c>
    </row>
    <row r="6" spans="1:8">
      <c r="A6">
        <v>745</v>
      </c>
      <c r="B6">
        <v>0.059</v>
      </c>
      <c r="C6">
        <v>0.038</v>
      </c>
      <c r="D6">
        <v>0.405</v>
      </c>
      <c r="E6" s="2">
        <v>667379880</v>
      </c>
      <c r="F6" t="s">
        <v>1111</v>
      </c>
      <c r="G6">
        <v>0.52</v>
      </c>
      <c r="H6">
        <v>32.3809523809523</v>
      </c>
    </row>
    <row r="7" spans="1:8">
      <c r="A7">
        <v>862</v>
      </c>
      <c r="B7">
        <v>0.37</v>
      </c>
      <c r="C7">
        <v>0.26</v>
      </c>
      <c r="D7">
        <v>2.12</v>
      </c>
      <c r="E7" s="2">
        <v>1127449918.02</v>
      </c>
      <c r="F7" t="s">
        <v>1036</v>
      </c>
      <c r="G7">
        <v>3.46</v>
      </c>
      <c r="H7">
        <v>48.876404494382</v>
      </c>
    </row>
    <row r="8" spans="1:8">
      <c r="A8">
        <v>8230</v>
      </c>
      <c r="B8">
        <v>0.48</v>
      </c>
      <c r="C8">
        <v>0.36</v>
      </c>
      <c r="D8">
        <v>2.7</v>
      </c>
      <c r="E8" s="2">
        <v>477900000</v>
      </c>
      <c r="F8" t="s">
        <v>1093</v>
      </c>
      <c r="G8">
        <v>1.6</v>
      </c>
      <c r="H8">
        <v>11.5005</v>
      </c>
    </row>
    <row r="9" spans="1:8">
      <c r="A9">
        <v>904</v>
      </c>
      <c r="B9">
        <v>0.285</v>
      </c>
      <c r="C9">
        <v>0.103</v>
      </c>
      <c r="D9">
        <v>0.545</v>
      </c>
      <c r="E9" s="2">
        <v>309994120.02</v>
      </c>
      <c r="F9" t="s">
        <v>1087</v>
      </c>
      <c r="G9">
        <v>0.06</v>
      </c>
      <c r="H9">
        <v>0.691576066212131</v>
      </c>
    </row>
    <row r="10" spans="1:10">
      <c r="A10">
        <v>874</v>
      </c>
      <c r="B10">
        <v>15.92</v>
      </c>
      <c r="C10">
        <v>15.6</v>
      </c>
      <c r="D10">
        <v>34.1</v>
      </c>
      <c r="E10" s="2">
        <v>3597564000</v>
      </c>
      <c r="F10" t="s">
        <v>969</v>
      </c>
      <c r="G10">
        <v>2.14</v>
      </c>
      <c r="H10">
        <v>0.862107378212043</v>
      </c>
      <c r="I10">
        <v>14.1657</v>
      </c>
      <c r="J10">
        <v>14.584</v>
      </c>
    </row>
    <row r="11" spans="1:10">
      <c r="A11">
        <v>2382</v>
      </c>
      <c r="B11">
        <v>16.88</v>
      </c>
      <c r="C11">
        <v>9.32</v>
      </c>
      <c r="D11">
        <v>19.94</v>
      </c>
      <c r="E11" s="2">
        <v>19482720000</v>
      </c>
      <c r="F11" t="s">
        <v>866</v>
      </c>
      <c r="G11">
        <v>4.52</v>
      </c>
      <c r="H11">
        <v>1.66166345974039</v>
      </c>
      <c r="I11">
        <v>27.5239</v>
      </c>
      <c r="J11">
        <v>23.942</v>
      </c>
    </row>
    <row r="12" spans="1:10">
      <c r="A12">
        <v>54</v>
      </c>
      <c r="B12">
        <v>23.8</v>
      </c>
      <c r="C12">
        <v>21.45</v>
      </c>
      <c r="D12">
        <v>31</v>
      </c>
      <c r="E12" s="2">
        <v>20886638904</v>
      </c>
      <c r="F12" t="s">
        <v>971</v>
      </c>
      <c r="G12">
        <v>0.45</v>
      </c>
      <c r="H12">
        <v>10.616650446784</v>
      </c>
      <c r="I12">
        <v>7.3685</v>
      </c>
      <c r="J12">
        <v>7.345</v>
      </c>
    </row>
    <row r="13" spans="1:10">
      <c r="A13">
        <v>1038</v>
      </c>
      <c r="B13">
        <v>76.65</v>
      </c>
      <c r="C13">
        <v>52.9</v>
      </c>
      <c r="D13">
        <v>81</v>
      </c>
      <c r="E13" s="2">
        <v>199049264655</v>
      </c>
      <c r="F13" t="s">
        <v>1077</v>
      </c>
      <c r="G13">
        <v>1.85</v>
      </c>
      <c r="H13">
        <v>30.7177852088031</v>
      </c>
      <c r="I13">
        <v>6.263</v>
      </c>
      <c r="J13">
        <v>5.454</v>
      </c>
    </row>
    <row r="14" spans="1:10">
      <c r="A14" t="s">
        <v>1478</v>
      </c>
      <c r="B14">
        <v>96.76</v>
      </c>
      <c r="C14">
        <v>92</v>
      </c>
      <c r="D14">
        <v>134.54</v>
      </c>
      <c r="E14" s="2">
        <v>552650789020</v>
      </c>
      <c r="F14" t="s">
        <v>1046</v>
      </c>
      <c r="G14">
        <v>4.19</v>
      </c>
      <c r="H14">
        <v>2.28</v>
      </c>
      <c r="I14">
        <v>13.88</v>
      </c>
      <c r="J14">
        <v>10.5108</v>
      </c>
    </row>
    <row r="15" spans="1:10">
      <c r="A15">
        <v>308</v>
      </c>
      <c r="B15">
        <v>2.68</v>
      </c>
      <c r="C15">
        <v>1.57</v>
      </c>
      <c r="D15">
        <v>4.09</v>
      </c>
      <c r="E15" s="2">
        <v>15094105218.5</v>
      </c>
      <c r="F15" t="s">
        <v>1078</v>
      </c>
      <c r="G15">
        <v>0.94</v>
      </c>
      <c r="H15">
        <v>3.48157560355781</v>
      </c>
      <c r="I15">
        <v>8.6803</v>
      </c>
      <c r="J15">
        <v>8.503</v>
      </c>
    </row>
    <row r="16" spans="1:9">
      <c r="A16" t="s">
        <v>1479</v>
      </c>
      <c r="B16">
        <v>13.58</v>
      </c>
      <c r="C16">
        <v>5.91</v>
      </c>
      <c r="D16">
        <v>14.45</v>
      </c>
      <c r="E16" s="2">
        <v>15763545930</v>
      </c>
      <c r="F16" t="s">
        <v>1480</v>
      </c>
      <c r="G16">
        <v>2.2</v>
      </c>
      <c r="H16">
        <v>1.75</v>
      </c>
      <c r="I16">
        <v>18.95</v>
      </c>
    </row>
    <row r="17" spans="1:10">
      <c r="A17">
        <v>272</v>
      </c>
      <c r="B17">
        <v>1.89</v>
      </c>
      <c r="C17">
        <v>1.43</v>
      </c>
      <c r="D17">
        <v>2.75</v>
      </c>
      <c r="E17" s="2">
        <v>15651928868.55</v>
      </c>
      <c r="F17" t="s">
        <v>1048</v>
      </c>
      <c r="G17">
        <v>0.28</v>
      </c>
      <c r="H17">
        <v>2.81594229992708</v>
      </c>
      <c r="I17">
        <v>7.0402</v>
      </c>
      <c r="J17">
        <v>6.335</v>
      </c>
    </row>
    <row r="18" spans="1:8">
      <c r="A18">
        <v>1341</v>
      </c>
      <c r="B18">
        <v>1.24</v>
      </c>
      <c r="C18">
        <v>0.48</v>
      </c>
      <c r="D18">
        <v>1.42</v>
      </c>
      <c r="E18" s="2">
        <v>1180000000</v>
      </c>
      <c r="F18" t="s">
        <v>1117</v>
      </c>
      <c r="G18">
        <v>3.96</v>
      </c>
      <c r="H18">
        <v>48.5118</v>
      </c>
    </row>
    <row r="19" spans="1:10">
      <c r="A19">
        <v>604</v>
      </c>
      <c r="B19">
        <v>2.8</v>
      </c>
      <c r="C19">
        <v>2.08</v>
      </c>
      <c r="D19">
        <v>4.66</v>
      </c>
      <c r="E19" s="2">
        <v>20822927906.16</v>
      </c>
      <c r="F19" t="s">
        <v>970</v>
      </c>
      <c r="G19">
        <v>0.62</v>
      </c>
      <c r="H19">
        <v>1.60418681381193</v>
      </c>
      <c r="I19">
        <v>6.6499</v>
      </c>
      <c r="J19">
        <v>5.185</v>
      </c>
    </row>
    <row r="20" spans="1:10">
      <c r="A20">
        <v>622</v>
      </c>
      <c r="B20">
        <v>0.405</v>
      </c>
      <c r="C20">
        <v>0.19</v>
      </c>
      <c r="D20">
        <v>1.01</v>
      </c>
      <c r="E20" s="2">
        <v>2949477132.24</v>
      </c>
      <c r="F20" t="s">
        <v>958</v>
      </c>
      <c r="G20">
        <v>0.49</v>
      </c>
      <c r="H20">
        <v>23.1638418079096</v>
      </c>
      <c r="I20">
        <v>5.7689</v>
      </c>
      <c r="J20">
        <v>4.712</v>
      </c>
    </row>
    <row r="21" spans="1:10">
      <c r="A21">
        <v>8181</v>
      </c>
      <c r="B21">
        <v>0.26</v>
      </c>
      <c r="C21">
        <v>0.115</v>
      </c>
      <c r="D21">
        <v>1.82</v>
      </c>
      <c r="E21" s="2">
        <v>136166666.63</v>
      </c>
      <c r="F21" t="s">
        <v>1018</v>
      </c>
      <c r="G21">
        <v>1.42</v>
      </c>
      <c r="H21">
        <v>0.365740125016624</v>
      </c>
      <c r="I21">
        <v>27.3757</v>
      </c>
      <c r="J21">
        <v>11.129</v>
      </c>
    </row>
    <row r="22" spans="1:8">
      <c r="A22">
        <v>1063</v>
      </c>
      <c r="B22">
        <v>0.135</v>
      </c>
      <c r="C22">
        <v>0.065</v>
      </c>
      <c r="D22">
        <v>1.56</v>
      </c>
      <c r="E22" s="2">
        <v>2251928235.36</v>
      </c>
      <c r="F22" t="s">
        <v>1126</v>
      </c>
      <c r="G22">
        <v>4.1</v>
      </c>
      <c r="H22">
        <v>7.47474747474747</v>
      </c>
    </row>
    <row r="23" spans="1:8">
      <c r="A23">
        <v>1182</v>
      </c>
      <c r="B23">
        <v>0.57</v>
      </c>
      <c r="C23">
        <v>0.19</v>
      </c>
      <c r="D23">
        <v>1.49</v>
      </c>
      <c r="E23" s="2">
        <v>1022709660.54</v>
      </c>
      <c r="F23" t="s">
        <v>1128</v>
      </c>
      <c r="G23">
        <v>5.05</v>
      </c>
      <c r="H23">
        <v>5.41259982253771</v>
      </c>
    </row>
    <row r="24" spans="1:8">
      <c r="A24">
        <v>704</v>
      </c>
      <c r="B24">
        <v>0.059</v>
      </c>
      <c r="C24">
        <v>0.04</v>
      </c>
      <c r="D24">
        <v>0.21</v>
      </c>
      <c r="E24" s="2">
        <v>267017851.23</v>
      </c>
      <c r="F24" t="s">
        <v>853</v>
      </c>
      <c r="G24">
        <v>1.74</v>
      </c>
      <c r="H24">
        <v>0.403005464480874</v>
      </c>
    </row>
    <row r="25" spans="1:10">
      <c r="A25">
        <v>27</v>
      </c>
      <c r="B25">
        <v>25.45</v>
      </c>
      <c r="C25">
        <v>19.02</v>
      </c>
      <c r="D25">
        <v>66.8</v>
      </c>
      <c r="E25" s="2">
        <v>111206097652.5</v>
      </c>
      <c r="F25" t="s">
        <v>925</v>
      </c>
      <c r="G25">
        <v>2.82</v>
      </c>
      <c r="H25">
        <v>2.18088839867642</v>
      </c>
      <c r="I25">
        <v>26.7255</v>
      </c>
      <c r="J25">
        <v>9.203</v>
      </c>
    </row>
  </sheetData>
  <pageMargins left="0.699305555555556" right="0.699305555555556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2:L33"/>
  <sheetViews>
    <sheetView workbookViewId="0">
      <selection activeCell="F15" sqref="F15"/>
    </sheetView>
  </sheetViews>
  <sheetFormatPr defaultColWidth="9" defaultRowHeight="13.5"/>
  <cols>
    <col min="1" max="1" width="5.5" customWidth="1"/>
    <col min="2" max="4" width="6.5" customWidth="1"/>
    <col min="5" max="5" width="9.5" customWidth="1"/>
    <col min="6" max="6" width="17.25" customWidth="1"/>
    <col min="7" max="7" width="6.5" customWidth="1"/>
    <col min="8" max="9" width="12.75" customWidth="1"/>
    <col min="10" max="10" width="8.5" customWidth="1"/>
    <col min="11" max="11" width="7.5" customWidth="1"/>
  </cols>
  <sheetData>
    <row r="2" spans="1:10">
      <c r="A2">
        <v>39</v>
      </c>
      <c r="B2">
        <v>0.56</v>
      </c>
      <c r="C2">
        <v>0.43</v>
      </c>
      <c r="D2">
        <v>3.48</v>
      </c>
      <c r="E2" s="2">
        <v>2523576466.08</v>
      </c>
      <c r="F2" t="s">
        <v>1099</v>
      </c>
      <c r="G2">
        <v>3.91</v>
      </c>
      <c r="H2">
        <v>2.45454545454545</v>
      </c>
      <c r="I2">
        <v>21.4207</v>
      </c>
      <c r="J2">
        <v>11.886</v>
      </c>
    </row>
    <row r="3" spans="1:10">
      <c r="A3">
        <v>237</v>
      </c>
      <c r="B3">
        <v>18.98</v>
      </c>
      <c r="C3">
        <v>9.55</v>
      </c>
      <c r="D3">
        <v>19.48</v>
      </c>
      <c r="E3" s="2">
        <v>2556900000</v>
      </c>
      <c r="F3" t="s">
        <v>1031</v>
      </c>
      <c r="G3">
        <v>0.66</v>
      </c>
      <c r="H3">
        <v>15.6451346439781</v>
      </c>
      <c r="I3">
        <v>4.2667</v>
      </c>
      <c r="J3">
        <v>3.794</v>
      </c>
    </row>
    <row r="4" spans="1:8">
      <c r="A4">
        <v>291</v>
      </c>
      <c r="B4">
        <v>15.68</v>
      </c>
      <c r="C4">
        <v>11.74</v>
      </c>
      <c r="D4">
        <v>26.15</v>
      </c>
      <c r="E4" s="2">
        <v>36740303452.9</v>
      </c>
      <c r="F4" t="s">
        <v>1014</v>
      </c>
      <c r="G4">
        <v>0.83</v>
      </c>
      <c r="H4">
        <v>0.912695534440656</v>
      </c>
    </row>
    <row r="5" spans="1:10">
      <c r="A5">
        <v>403</v>
      </c>
      <c r="B5">
        <v>0.62</v>
      </c>
      <c r="C5">
        <v>0.35</v>
      </c>
      <c r="D5">
        <v>0.84</v>
      </c>
      <c r="E5" s="2">
        <v>309829819.92</v>
      </c>
      <c r="F5" t="s">
        <v>1049</v>
      </c>
      <c r="G5">
        <v>0.56</v>
      </c>
      <c r="H5">
        <v>0.160082483177772</v>
      </c>
      <c r="I5">
        <v>116.8728</v>
      </c>
      <c r="J5">
        <v>92</v>
      </c>
    </row>
    <row r="6" spans="1:10">
      <c r="A6">
        <v>460</v>
      </c>
      <c r="B6">
        <v>1.87</v>
      </c>
      <c r="C6">
        <v>1.41</v>
      </c>
      <c r="D6">
        <v>6.68</v>
      </c>
      <c r="E6" s="2">
        <v>21039289878.18</v>
      </c>
      <c r="F6" t="s">
        <v>1021</v>
      </c>
      <c r="G6">
        <v>1.63</v>
      </c>
      <c r="H6">
        <v>4.35202412642119</v>
      </c>
      <c r="I6">
        <v>10.0678</v>
      </c>
      <c r="J6">
        <v>21.711</v>
      </c>
    </row>
    <row r="7" spans="1:10">
      <c r="A7">
        <v>556</v>
      </c>
      <c r="B7">
        <v>0.99</v>
      </c>
      <c r="C7">
        <v>0.67</v>
      </c>
      <c r="D7">
        <v>2.27</v>
      </c>
      <c r="E7" s="2">
        <v>814800000</v>
      </c>
      <c r="F7" t="s">
        <v>876</v>
      </c>
      <c r="G7">
        <v>0.5</v>
      </c>
      <c r="H7">
        <v>0.684495685807165</v>
      </c>
      <c r="I7">
        <v>22.9796</v>
      </c>
      <c r="J7">
        <v>18.433</v>
      </c>
    </row>
    <row r="8" spans="1:8">
      <c r="A8">
        <v>612</v>
      </c>
      <c r="B8">
        <v>0.43</v>
      </c>
      <c r="C8">
        <v>0.203</v>
      </c>
      <c r="D8">
        <v>1.47</v>
      </c>
      <c r="E8" s="2">
        <v>487088800</v>
      </c>
      <c r="F8" t="s">
        <v>891</v>
      </c>
      <c r="G8">
        <v>1.61</v>
      </c>
      <c r="H8">
        <v>4400</v>
      </c>
    </row>
    <row r="9" spans="1:10">
      <c r="A9">
        <v>710</v>
      </c>
      <c r="B9">
        <v>5.46</v>
      </c>
      <c r="C9">
        <v>4.73</v>
      </c>
      <c r="D9">
        <v>8.06</v>
      </c>
      <c r="E9" s="2">
        <v>1818536169.96</v>
      </c>
      <c r="F9" t="s">
        <v>1121</v>
      </c>
      <c r="G9">
        <v>0.95</v>
      </c>
      <c r="H9">
        <v>0.722606120434353</v>
      </c>
      <c r="I9">
        <v>6.0496</v>
      </c>
      <c r="J9">
        <v>6.808</v>
      </c>
    </row>
    <row r="10" spans="1:10">
      <c r="A10">
        <v>716</v>
      </c>
      <c r="B10">
        <v>0.76</v>
      </c>
      <c r="C10">
        <v>0.66</v>
      </c>
      <c r="D10">
        <v>1.68</v>
      </c>
      <c r="E10" s="2">
        <v>1836859137.68</v>
      </c>
      <c r="F10" t="s">
        <v>956</v>
      </c>
      <c r="G10">
        <v>0.38</v>
      </c>
      <c r="H10">
        <v>0.1650171458677</v>
      </c>
      <c r="I10">
        <v>8.452</v>
      </c>
      <c r="J10">
        <v>8.018</v>
      </c>
    </row>
    <row r="11" spans="1:10">
      <c r="A11">
        <v>746</v>
      </c>
      <c r="B11">
        <v>2.28</v>
      </c>
      <c r="C11">
        <v>1.76</v>
      </c>
      <c r="D11">
        <v>5</v>
      </c>
      <c r="E11" s="2">
        <v>1996500000</v>
      </c>
      <c r="F11" t="s">
        <v>1015</v>
      </c>
      <c r="G11">
        <v>0.85</v>
      </c>
      <c r="H11">
        <v>1.11495047224141</v>
      </c>
      <c r="I11">
        <v>7.4033</v>
      </c>
      <c r="J11">
        <v>4.974</v>
      </c>
    </row>
    <row r="12" spans="1:10">
      <c r="A12">
        <v>765</v>
      </c>
      <c r="B12">
        <v>1.66</v>
      </c>
      <c r="C12">
        <v>0.71</v>
      </c>
      <c r="D12">
        <v>2.3</v>
      </c>
      <c r="E12" s="2">
        <v>500193118.71</v>
      </c>
      <c r="F12" t="s">
        <v>962</v>
      </c>
      <c r="G12">
        <v>2.67</v>
      </c>
      <c r="H12">
        <v>3.0934088152042</v>
      </c>
      <c r="I12">
        <v>65.1548</v>
      </c>
      <c r="J12">
        <v>45.977</v>
      </c>
    </row>
    <row r="13" spans="1:9">
      <c r="A13">
        <v>802</v>
      </c>
      <c r="B13">
        <v>0.42</v>
      </c>
      <c r="C13">
        <v>0.13</v>
      </c>
      <c r="D13">
        <v>0.47</v>
      </c>
      <c r="E13" s="2">
        <v>646603789.92</v>
      </c>
      <c r="F13" t="s">
        <v>884</v>
      </c>
      <c r="G13">
        <v>0.97</v>
      </c>
      <c r="H13">
        <v>18.3760683760683</v>
      </c>
      <c r="I13">
        <v>4.1317</v>
      </c>
    </row>
    <row r="14" spans="1:12">
      <c r="A14">
        <v>921</v>
      </c>
      <c r="B14">
        <v>2.64</v>
      </c>
      <c r="C14">
        <v>2.51</v>
      </c>
      <c r="D14">
        <v>10.7</v>
      </c>
      <c r="E14" s="2">
        <v>1263871972</v>
      </c>
      <c r="F14" t="s">
        <v>861</v>
      </c>
      <c r="G14">
        <v>0.75</v>
      </c>
      <c r="H14">
        <v>0.108658936963336</v>
      </c>
      <c r="I14">
        <v>4.4567</v>
      </c>
      <c r="J14">
        <v>4.921</v>
      </c>
      <c r="L14">
        <v>1</v>
      </c>
    </row>
    <row r="15" spans="1:8">
      <c r="A15">
        <v>943</v>
      </c>
      <c r="B15">
        <v>0.152</v>
      </c>
      <c r="C15">
        <v>0.071</v>
      </c>
      <c r="D15">
        <v>1.8</v>
      </c>
      <c r="E15" s="2">
        <v>181552645.4</v>
      </c>
      <c r="F15" t="s">
        <v>1116</v>
      </c>
      <c r="G15">
        <v>0.27</v>
      </c>
      <c r="H15">
        <v>0.886150234741784</v>
      </c>
    </row>
    <row r="16" spans="1:8">
      <c r="A16">
        <v>1029</v>
      </c>
      <c r="B16">
        <v>0.149</v>
      </c>
      <c r="C16">
        <v>0.12</v>
      </c>
      <c r="D16">
        <v>0.71</v>
      </c>
      <c r="E16" s="2">
        <v>1120371321.34</v>
      </c>
      <c r="F16" t="s">
        <v>883</v>
      </c>
      <c r="G16">
        <v>0.33</v>
      </c>
      <c r="H16">
        <v>1.28995639947369</v>
      </c>
    </row>
    <row r="17" spans="1:10">
      <c r="A17">
        <v>1031</v>
      </c>
      <c r="B17">
        <v>3.05</v>
      </c>
      <c r="C17">
        <v>0.8</v>
      </c>
      <c r="D17">
        <v>4.05</v>
      </c>
      <c r="E17" s="2">
        <v>42613324484.58</v>
      </c>
      <c r="F17" t="s">
        <v>966</v>
      </c>
      <c r="G17">
        <v>2.34</v>
      </c>
      <c r="H17">
        <v>12.6006441223832</v>
      </c>
      <c r="I17">
        <v>33.8299</v>
      </c>
      <c r="J17">
        <v>32.414</v>
      </c>
    </row>
    <row r="18" spans="1:8">
      <c r="A18">
        <v>1076</v>
      </c>
      <c r="B18">
        <v>0.144</v>
      </c>
      <c r="C18">
        <v>0.074</v>
      </c>
      <c r="D18">
        <v>0.65</v>
      </c>
      <c r="E18" s="2">
        <v>21941629997.82</v>
      </c>
      <c r="F18" t="s">
        <v>1082</v>
      </c>
      <c r="G18">
        <v>14.86</v>
      </c>
      <c r="H18">
        <v>74.2857142857142</v>
      </c>
    </row>
    <row r="19" spans="1:8">
      <c r="A19">
        <v>1217</v>
      </c>
      <c r="B19">
        <v>0.099</v>
      </c>
      <c r="C19">
        <v>0.031</v>
      </c>
      <c r="D19">
        <v>0.2</v>
      </c>
      <c r="E19" s="2">
        <v>834409803.79</v>
      </c>
      <c r="F19" t="s">
        <v>1136</v>
      </c>
      <c r="G19">
        <v>1.73</v>
      </c>
      <c r="H19">
        <v>326.666666666666</v>
      </c>
    </row>
    <row r="20" spans="1:8">
      <c r="A20">
        <v>1236</v>
      </c>
      <c r="B20">
        <v>2.35</v>
      </c>
      <c r="C20">
        <v>1.18</v>
      </c>
      <c r="D20">
        <v>6.03</v>
      </c>
      <c r="E20" s="2">
        <v>4904729371.08</v>
      </c>
      <c r="F20" t="s">
        <v>1113</v>
      </c>
      <c r="G20">
        <v>1.88</v>
      </c>
      <c r="H20">
        <v>11.7463723286791</v>
      </c>
    </row>
    <row r="21" spans="1:10">
      <c r="A21">
        <v>1466</v>
      </c>
      <c r="B21">
        <v>1.7</v>
      </c>
      <c r="C21">
        <v>0.69</v>
      </c>
      <c r="D21">
        <v>3.5</v>
      </c>
      <c r="E21" s="2">
        <v>460735611.99</v>
      </c>
      <c r="F21" t="s">
        <v>871</v>
      </c>
      <c r="G21">
        <v>1.73</v>
      </c>
      <c r="H21">
        <v>2.08458850463911</v>
      </c>
      <c r="I21">
        <v>45.817</v>
      </c>
      <c r="J21">
        <v>33.862</v>
      </c>
    </row>
    <row r="22" spans="1:8">
      <c r="A22">
        <v>1979</v>
      </c>
      <c r="B22">
        <v>0.53</v>
      </c>
      <c r="C22">
        <v>0.33</v>
      </c>
      <c r="D22">
        <v>1.42</v>
      </c>
      <c r="E22" s="2">
        <v>500000000</v>
      </c>
      <c r="F22" t="s">
        <v>858</v>
      </c>
      <c r="G22">
        <v>1.08</v>
      </c>
      <c r="H22">
        <v>9.1379</v>
      </c>
    </row>
    <row r="23" spans="1:8">
      <c r="A23">
        <v>1991</v>
      </c>
      <c r="B23">
        <v>1.47</v>
      </c>
      <c r="C23">
        <v>0.41</v>
      </c>
      <c r="D23">
        <v>1.9</v>
      </c>
      <c r="E23" s="2">
        <v>1185776320</v>
      </c>
      <c r="F23" t="s">
        <v>1108</v>
      </c>
      <c r="G23">
        <v>2.49</v>
      </c>
      <c r="H23">
        <v>2.71186440677966</v>
      </c>
    </row>
    <row r="24" spans="1:10">
      <c r="A24">
        <v>2086</v>
      </c>
      <c r="B24">
        <v>1.76</v>
      </c>
      <c r="C24">
        <v>0.95</v>
      </c>
      <c r="D24">
        <v>2.2</v>
      </c>
      <c r="E24" s="2">
        <v>511303827.6</v>
      </c>
      <c r="F24" t="s">
        <v>1057</v>
      </c>
      <c r="G24">
        <v>4.24</v>
      </c>
      <c r="H24">
        <v>2.17970452894163</v>
      </c>
      <c r="I24">
        <v>21.5522</v>
      </c>
      <c r="J24">
        <v>19.042</v>
      </c>
    </row>
    <row r="25" spans="1:8">
      <c r="A25">
        <v>2343</v>
      </c>
      <c r="B25">
        <v>1.15</v>
      </c>
      <c r="C25">
        <v>0.99</v>
      </c>
      <c r="D25">
        <v>4.89</v>
      </c>
      <c r="E25" s="2">
        <v>2238846586.85</v>
      </c>
      <c r="F25" t="s">
        <v>980</v>
      </c>
      <c r="G25">
        <v>0.3</v>
      </c>
      <c r="H25">
        <v>0.22282828199412</v>
      </c>
    </row>
    <row r="26" spans="1:8">
      <c r="A26">
        <v>2600</v>
      </c>
      <c r="B26">
        <v>2.85</v>
      </c>
      <c r="C26">
        <v>2.13</v>
      </c>
      <c r="D26">
        <v>5.62</v>
      </c>
      <c r="E26" s="2">
        <v>11358621987.84</v>
      </c>
      <c r="F26" t="s">
        <v>974</v>
      </c>
      <c r="G26">
        <v>0.94</v>
      </c>
      <c r="H26">
        <v>0.252270294249963</v>
      </c>
    </row>
    <row r="27" spans="1:10">
      <c r="A27">
        <v>3377</v>
      </c>
      <c r="B27">
        <v>3.91</v>
      </c>
      <c r="C27">
        <v>3.36</v>
      </c>
      <c r="D27">
        <v>6.76</v>
      </c>
      <c r="E27" s="2">
        <v>29378135558.87</v>
      </c>
      <c r="F27" t="s">
        <v>1081</v>
      </c>
      <c r="G27">
        <v>0.56</v>
      </c>
      <c r="H27">
        <v>0.756092157447052</v>
      </c>
      <c r="I27">
        <v>5.4073</v>
      </c>
      <c r="J27">
        <v>5.027</v>
      </c>
    </row>
    <row r="28" spans="1:10">
      <c r="A28">
        <v>3816</v>
      </c>
      <c r="B28">
        <v>1.13</v>
      </c>
      <c r="C28">
        <v>0.72</v>
      </c>
      <c r="D28">
        <v>2.56</v>
      </c>
      <c r="E28" s="2">
        <v>678000000</v>
      </c>
      <c r="F28" t="s">
        <v>1079</v>
      </c>
      <c r="G28">
        <v>1.32</v>
      </c>
      <c r="H28">
        <v>0.744547670817684</v>
      </c>
      <c r="I28">
        <v>21.5423</v>
      </c>
      <c r="J28">
        <v>23.619</v>
      </c>
    </row>
    <row r="29" spans="1:8">
      <c r="A29">
        <v>8022</v>
      </c>
      <c r="B29">
        <v>0.35</v>
      </c>
      <c r="C29">
        <v>0.152</v>
      </c>
      <c r="D29">
        <v>0.55</v>
      </c>
      <c r="E29" s="2">
        <v>503057974.88</v>
      </c>
      <c r="F29" t="s">
        <v>912</v>
      </c>
      <c r="G29">
        <v>2.5</v>
      </c>
      <c r="H29">
        <v>17.6744186046511</v>
      </c>
    </row>
    <row r="30" spans="1:8">
      <c r="A30">
        <v>8070</v>
      </c>
      <c r="B30">
        <v>0.92</v>
      </c>
      <c r="C30">
        <v>0</v>
      </c>
      <c r="D30">
        <v>3.08</v>
      </c>
      <c r="E30" s="2">
        <v>2144556531.4</v>
      </c>
      <c r="F30" t="s">
        <v>964</v>
      </c>
      <c r="G30">
        <v>1.87</v>
      </c>
      <c r="H30">
        <v>23.56</v>
      </c>
    </row>
    <row r="31" spans="1:8">
      <c r="A31">
        <v>8295</v>
      </c>
      <c r="B31">
        <v>0.75</v>
      </c>
      <c r="C31">
        <v>0.17</v>
      </c>
      <c r="D31">
        <v>1.15</v>
      </c>
      <c r="E31" s="2">
        <v>2638797627</v>
      </c>
      <c r="F31" t="s">
        <v>1063</v>
      </c>
      <c r="G31">
        <v>9</v>
      </c>
      <c r="H31">
        <v>30.2419354838709</v>
      </c>
    </row>
    <row r="32" spans="1:9">
      <c r="A32" t="s">
        <v>1481</v>
      </c>
      <c r="B32">
        <v>1.48</v>
      </c>
      <c r="C32">
        <v>0.88</v>
      </c>
      <c r="D32">
        <v>30.69</v>
      </c>
      <c r="E32" s="2">
        <v>72562920</v>
      </c>
      <c r="F32" t="s">
        <v>1482</v>
      </c>
      <c r="G32">
        <v>0.35</v>
      </c>
      <c r="H32">
        <v>0.19</v>
      </c>
      <c r="I32">
        <v>17.1</v>
      </c>
    </row>
    <row r="33" spans="1:9">
      <c r="A33" t="s">
        <v>1483</v>
      </c>
      <c r="B33">
        <v>9.56</v>
      </c>
      <c r="C33">
        <v>6.34</v>
      </c>
      <c r="D33">
        <v>21.15</v>
      </c>
      <c r="E33" s="2">
        <v>3393213134.44</v>
      </c>
      <c r="F33" t="s">
        <v>1484</v>
      </c>
      <c r="G33">
        <v>3.28</v>
      </c>
      <c r="H33">
        <v>8.48</v>
      </c>
      <c r="I33">
        <v>1021.5</v>
      </c>
    </row>
  </sheetData>
  <autoFilter ref="A1:K33"/>
  <pageMargins left="0.699305555555556" right="0.699305555555556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A2:L733"/>
  <sheetViews>
    <sheetView topLeftCell="A2" workbookViewId="0">
      <selection activeCell="A2" sqref="A2"/>
    </sheetView>
  </sheetViews>
  <sheetFormatPr defaultColWidth="9" defaultRowHeight="13.5"/>
  <cols>
    <col min="1" max="1" width="13.875" customWidth="1"/>
    <col min="2" max="3" width="9.5" customWidth="1"/>
    <col min="4" max="4" width="10.5" customWidth="1"/>
    <col min="5" max="5" width="11.625" customWidth="1"/>
    <col min="6" max="6" width="33" customWidth="1"/>
    <col min="7" max="7" width="15.5" customWidth="1"/>
    <col min="8" max="8" width="13.875" customWidth="1"/>
    <col min="9" max="9" width="13" customWidth="1"/>
    <col min="10" max="10" width="12.75" customWidth="1"/>
    <col min="11" max="11" width="10.5" customWidth="1"/>
    <col min="12" max="12" width="9.5" customWidth="1"/>
  </cols>
  <sheetData>
    <row r="2" spans="1:8">
      <c r="A2" t="b">
        <v>1</v>
      </c>
      <c r="B2">
        <v>5.96</v>
      </c>
      <c r="C2">
        <v>4.01</v>
      </c>
      <c r="D2">
        <v>19.56</v>
      </c>
      <c r="E2" s="2">
        <v>495292057.13</v>
      </c>
      <c r="F2" t="s">
        <v>734</v>
      </c>
      <c r="G2">
        <v>2.13</v>
      </c>
      <c r="H2">
        <v>1.9</v>
      </c>
    </row>
    <row r="3" spans="1:10">
      <c r="A3" t="s">
        <v>152</v>
      </c>
      <c r="B3">
        <v>1.03</v>
      </c>
      <c r="C3">
        <v>0.43</v>
      </c>
      <c r="D3">
        <v>1.46</v>
      </c>
      <c r="E3" s="2">
        <v>52657500</v>
      </c>
      <c r="F3" t="s">
        <v>153</v>
      </c>
      <c r="G3">
        <v>0.13</v>
      </c>
      <c r="H3">
        <v>0.1312</v>
      </c>
      <c r="I3">
        <v>1.4114</v>
      </c>
      <c r="J3">
        <v>11.3333</v>
      </c>
    </row>
    <row r="4" spans="1:9">
      <c r="A4" t="s">
        <v>573</v>
      </c>
      <c r="B4">
        <v>1.4</v>
      </c>
      <c r="C4">
        <v>1.23</v>
      </c>
      <c r="D4">
        <v>4.96</v>
      </c>
      <c r="E4" s="2">
        <v>38946639.2</v>
      </c>
      <c r="F4" t="s">
        <v>574</v>
      </c>
      <c r="G4">
        <v>0.04</v>
      </c>
      <c r="H4">
        <v>1.3898</v>
      </c>
      <c r="I4">
        <v>0.8642</v>
      </c>
    </row>
    <row r="5" spans="1:10">
      <c r="A5" t="s">
        <v>703</v>
      </c>
      <c r="B5">
        <v>52.01</v>
      </c>
      <c r="C5">
        <v>42.35</v>
      </c>
      <c r="D5">
        <v>81.7</v>
      </c>
      <c r="E5" s="2">
        <v>3185775553.73</v>
      </c>
      <c r="F5" t="s">
        <v>704</v>
      </c>
      <c r="G5">
        <v>7.11</v>
      </c>
      <c r="H5">
        <v>3.59</v>
      </c>
      <c r="I5">
        <v>41.6217</v>
      </c>
      <c r="J5">
        <v>18.8624</v>
      </c>
    </row>
    <row r="6" spans="1:9">
      <c r="A6" t="s">
        <v>212</v>
      </c>
      <c r="B6">
        <v>5.98</v>
      </c>
      <c r="C6">
        <v>3.35</v>
      </c>
      <c r="D6">
        <v>10.39</v>
      </c>
      <c r="E6" s="2">
        <v>268500000</v>
      </c>
      <c r="F6" t="s">
        <v>213</v>
      </c>
      <c r="G6">
        <v>4.1</v>
      </c>
      <c r="H6">
        <v>1.91</v>
      </c>
      <c r="I6">
        <v>7.2177</v>
      </c>
    </row>
    <row r="7" spans="1:8">
      <c r="A7" t="s">
        <v>798</v>
      </c>
      <c r="B7">
        <v>27.44</v>
      </c>
      <c r="C7">
        <v>11.85</v>
      </c>
      <c r="D7">
        <v>31.5</v>
      </c>
      <c r="E7" s="2">
        <v>5368804262.08</v>
      </c>
      <c r="F7" t="s">
        <v>799</v>
      </c>
      <c r="G7">
        <v>2.6</v>
      </c>
      <c r="H7">
        <v>5.95</v>
      </c>
    </row>
    <row r="8" spans="1:10">
      <c r="A8" t="s">
        <v>739</v>
      </c>
      <c r="B8">
        <v>32.88</v>
      </c>
      <c r="C8">
        <v>26.15</v>
      </c>
      <c r="D8">
        <v>46.17</v>
      </c>
      <c r="E8" s="2">
        <v>31975865175.84</v>
      </c>
      <c r="F8" t="s">
        <v>740</v>
      </c>
      <c r="G8">
        <v>1.1</v>
      </c>
      <c r="H8">
        <v>6.24</v>
      </c>
      <c r="I8">
        <v>47.71</v>
      </c>
      <c r="J8">
        <v>135.44</v>
      </c>
    </row>
    <row r="9" spans="1:8">
      <c r="A9" t="s">
        <v>658</v>
      </c>
      <c r="B9">
        <v>4.5</v>
      </c>
      <c r="C9">
        <v>2.93</v>
      </c>
      <c r="D9">
        <v>24.7</v>
      </c>
      <c r="E9" s="2">
        <v>82702515.35</v>
      </c>
      <c r="F9" t="s">
        <v>659</v>
      </c>
      <c r="G9">
        <v>-0.12</v>
      </c>
      <c r="H9">
        <v>0.05</v>
      </c>
    </row>
    <row r="10" spans="1:10">
      <c r="A10" t="s">
        <v>737</v>
      </c>
      <c r="B10">
        <v>21.75</v>
      </c>
      <c r="C10">
        <v>14.53</v>
      </c>
      <c r="D10">
        <v>52.51</v>
      </c>
      <c r="E10" s="2">
        <v>1631808783.54</v>
      </c>
      <c r="F10" t="s">
        <v>738</v>
      </c>
      <c r="G10">
        <v>2.37</v>
      </c>
      <c r="H10">
        <v>3.01</v>
      </c>
      <c r="I10">
        <v>225.55</v>
      </c>
      <c r="J10">
        <v>80.0741</v>
      </c>
    </row>
    <row r="11" spans="1:8">
      <c r="A11" t="s">
        <v>397</v>
      </c>
      <c r="B11">
        <v>116.8</v>
      </c>
      <c r="C11">
        <v>48.8</v>
      </c>
      <c r="D11">
        <v>179.64</v>
      </c>
      <c r="E11" s="2">
        <v>10950000</v>
      </c>
      <c r="F11" t="s">
        <v>398</v>
      </c>
      <c r="G11" t="s">
        <v>401</v>
      </c>
      <c r="H11">
        <v>0</v>
      </c>
    </row>
    <row r="12" spans="1:9">
      <c r="A12" t="s">
        <v>609</v>
      </c>
      <c r="B12">
        <v>5.4</v>
      </c>
      <c r="C12">
        <v>2.46</v>
      </c>
      <c r="D12">
        <v>5.45</v>
      </c>
      <c r="E12" s="2">
        <v>337193782.11</v>
      </c>
      <c r="F12" t="s">
        <v>610</v>
      </c>
      <c r="G12">
        <v>2.96</v>
      </c>
      <c r="H12">
        <v>0.98</v>
      </c>
      <c r="I12">
        <v>42</v>
      </c>
    </row>
    <row r="13" spans="1:10">
      <c r="A13" t="s">
        <v>751</v>
      </c>
      <c r="B13">
        <v>50.2</v>
      </c>
      <c r="C13">
        <v>26.48</v>
      </c>
      <c r="D13">
        <v>52.66</v>
      </c>
      <c r="E13" s="2">
        <v>3995696900</v>
      </c>
      <c r="F13" t="s">
        <v>752</v>
      </c>
      <c r="G13">
        <v>9.51</v>
      </c>
      <c r="H13">
        <v>7.07</v>
      </c>
      <c r="I13">
        <v>30.37</v>
      </c>
      <c r="J13">
        <v>39.0625</v>
      </c>
    </row>
    <row r="14" spans="1:7">
      <c r="A14" t="s">
        <v>331</v>
      </c>
      <c r="B14">
        <v>27.87</v>
      </c>
      <c r="C14">
        <v>22.06</v>
      </c>
      <c r="D14">
        <v>56.18</v>
      </c>
      <c r="E14" s="2">
        <v>1800000000</v>
      </c>
      <c r="F14" t="s">
        <v>332</v>
      </c>
      <c r="G14">
        <v>0</v>
      </c>
    </row>
    <row r="15" spans="1:9">
      <c r="A15" t="s">
        <v>744</v>
      </c>
      <c r="B15">
        <v>5.8</v>
      </c>
      <c r="C15">
        <v>5.14</v>
      </c>
      <c r="D15">
        <v>14.34</v>
      </c>
      <c r="E15" s="2">
        <v>385470114.71</v>
      </c>
      <c r="F15" t="s">
        <v>745</v>
      </c>
      <c r="G15">
        <v>0.85</v>
      </c>
      <c r="H15">
        <v>2.52</v>
      </c>
      <c r="I15">
        <v>63.92</v>
      </c>
    </row>
    <row r="16" spans="1:7">
      <c r="A16" t="s">
        <v>402</v>
      </c>
      <c r="B16">
        <v>18.76</v>
      </c>
      <c r="C16">
        <v>11.38</v>
      </c>
      <c r="D16">
        <v>29.57</v>
      </c>
      <c r="E16" s="2">
        <v>385160000</v>
      </c>
      <c r="F16" t="s">
        <v>403</v>
      </c>
      <c r="G16">
        <v>0</v>
      </c>
    </row>
    <row r="17" spans="1:9">
      <c r="A17" t="s">
        <v>722</v>
      </c>
      <c r="B17">
        <v>54.25</v>
      </c>
      <c r="C17">
        <v>37.72</v>
      </c>
      <c r="D17">
        <v>83.71</v>
      </c>
      <c r="E17" s="2">
        <v>7754602236.2</v>
      </c>
      <c r="F17" t="s">
        <v>723</v>
      </c>
      <c r="G17">
        <v>2.85</v>
      </c>
      <c r="H17">
        <v>10.74</v>
      </c>
      <c r="I17">
        <v>344.36</v>
      </c>
    </row>
    <row r="18" spans="1:10">
      <c r="A18" t="s">
        <v>741</v>
      </c>
      <c r="B18">
        <v>32.74</v>
      </c>
      <c r="C18">
        <v>28.07</v>
      </c>
      <c r="D18">
        <v>56.5</v>
      </c>
      <c r="E18" s="2">
        <v>10549987500</v>
      </c>
      <c r="F18" t="s">
        <v>742</v>
      </c>
      <c r="G18">
        <v>3.27</v>
      </c>
      <c r="H18">
        <v>0.68</v>
      </c>
      <c r="I18">
        <v>31.12</v>
      </c>
      <c r="J18">
        <v>22.1088</v>
      </c>
    </row>
    <row r="19" spans="1:9">
      <c r="A19" t="s">
        <v>786</v>
      </c>
      <c r="B19">
        <v>18.69</v>
      </c>
      <c r="C19">
        <v>9.19</v>
      </c>
      <c r="D19">
        <v>30.67</v>
      </c>
      <c r="E19" s="2">
        <v>754510633.83</v>
      </c>
      <c r="F19" t="s">
        <v>787</v>
      </c>
      <c r="G19">
        <v>2.7</v>
      </c>
      <c r="H19">
        <v>20.81</v>
      </c>
      <c r="I19">
        <v>44.4521</v>
      </c>
    </row>
    <row r="20" spans="1:9">
      <c r="A20" t="s">
        <v>758</v>
      </c>
      <c r="B20">
        <v>15.93</v>
      </c>
      <c r="C20">
        <v>8.78</v>
      </c>
      <c r="D20">
        <v>20.7</v>
      </c>
      <c r="E20" s="2">
        <v>3211687180.41</v>
      </c>
      <c r="F20" t="s">
        <v>759</v>
      </c>
      <c r="G20">
        <v>5.53</v>
      </c>
      <c r="H20">
        <v>7.61</v>
      </c>
      <c r="I20">
        <v>157.7</v>
      </c>
    </row>
    <row r="21" spans="1:7">
      <c r="A21" t="s">
        <v>419</v>
      </c>
      <c r="B21">
        <v>21.59</v>
      </c>
      <c r="C21">
        <v>15.48</v>
      </c>
      <c r="D21">
        <v>31.48</v>
      </c>
      <c r="E21" s="2">
        <v>1090000000</v>
      </c>
      <c r="F21" t="s">
        <v>420</v>
      </c>
      <c r="G21">
        <v>0</v>
      </c>
    </row>
    <row r="22" spans="1:8">
      <c r="A22" t="s">
        <v>629</v>
      </c>
      <c r="B22">
        <v>19.87</v>
      </c>
      <c r="C22">
        <v>15.03</v>
      </c>
      <c r="D22">
        <v>22.86</v>
      </c>
      <c r="E22" s="2">
        <v>1760824993.26</v>
      </c>
      <c r="F22" t="s">
        <v>630</v>
      </c>
      <c r="G22">
        <v>2.81</v>
      </c>
      <c r="H22">
        <v>3.22</v>
      </c>
    </row>
    <row r="23" spans="1:8">
      <c r="A23" t="s">
        <v>627</v>
      </c>
      <c r="B23">
        <v>9.37</v>
      </c>
      <c r="C23">
        <v>7.34</v>
      </c>
      <c r="D23">
        <v>19.87</v>
      </c>
      <c r="E23" s="2">
        <v>48252238.65</v>
      </c>
      <c r="F23" t="s">
        <v>628</v>
      </c>
      <c r="G23">
        <v>-2.37</v>
      </c>
      <c r="H23">
        <v>0.57</v>
      </c>
    </row>
    <row r="24" spans="1:10">
      <c r="A24" t="s">
        <v>794</v>
      </c>
      <c r="B24">
        <v>10.95</v>
      </c>
      <c r="C24">
        <v>10.37</v>
      </c>
      <c r="D24">
        <v>30.72</v>
      </c>
      <c r="E24" s="2">
        <v>6712150988</v>
      </c>
      <c r="F24" t="s">
        <v>795</v>
      </c>
      <c r="G24">
        <v>12.28</v>
      </c>
      <c r="H24">
        <v>1.02</v>
      </c>
      <c r="I24">
        <v>76.53</v>
      </c>
      <c r="J24">
        <v>30.3684</v>
      </c>
    </row>
    <row r="25" spans="1:9">
      <c r="A25" t="s">
        <v>724</v>
      </c>
      <c r="B25">
        <v>13.43</v>
      </c>
      <c r="C25">
        <v>5.6</v>
      </c>
      <c r="D25">
        <v>16.49</v>
      </c>
      <c r="E25" s="2">
        <v>346363111.22</v>
      </c>
      <c r="F25" t="s">
        <v>725</v>
      </c>
      <c r="G25">
        <v>3.37</v>
      </c>
      <c r="H25">
        <v>41.3</v>
      </c>
      <c r="I25">
        <v>58.3913</v>
      </c>
    </row>
    <row r="26" spans="1:11">
      <c r="A26" t="s">
        <v>443</v>
      </c>
      <c r="B26">
        <v>29.58</v>
      </c>
      <c r="C26">
        <v>23.83</v>
      </c>
      <c r="D26">
        <v>100.75</v>
      </c>
      <c r="E26" s="2">
        <v>536850000</v>
      </c>
      <c r="F26" t="s">
        <v>444</v>
      </c>
      <c r="G26" t="s">
        <v>445</v>
      </c>
      <c r="H26" t="s">
        <v>446</v>
      </c>
      <c r="I26" t="s">
        <v>447</v>
      </c>
      <c r="J26" t="s">
        <v>448</v>
      </c>
      <c r="K26">
        <v>0</v>
      </c>
    </row>
    <row r="27" spans="1:8">
      <c r="A27" t="s">
        <v>407</v>
      </c>
      <c r="B27">
        <v>25.32</v>
      </c>
      <c r="C27">
        <v>24.2</v>
      </c>
      <c r="D27">
        <v>26.5</v>
      </c>
      <c r="E27" s="2">
        <v>1390000000</v>
      </c>
      <c r="F27" t="s">
        <v>408</v>
      </c>
      <c r="G27" t="s">
        <v>409</v>
      </c>
      <c r="H27">
        <v>0</v>
      </c>
    </row>
    <row r="28" spans="1:7">
      <c r="A28" t="s">
        <v>5</v>
      </c>
      <c r="B28">
        <v>9.25</v>
      </c>
      <c r="C28">
        <v>7.67</v>
      </c>
      <c r="D28">
        <v>21.5</v>
      </c>
      <c r="E28" s="2">
        <v>2770000000</v>
      </c>
      <c r="F28" t="s">
        <v>6</v>
      </c>
      <c r="G28">
        <v>0</v>
      </c>
    </row>
    <row r="29" spans="1:9">
      <c r="A29" t="s">
        <v>35</v>
      </c>
      <c r="B29">
        <v>8.27</v>
      </c>
      <c r="C29">
        <v>5.98</v>
      </c>
      <c r="D29">
        <v>53.6</v>
      </c>
      <c r="E29" s="2">
        <v>1030000000</v>
      </c>
      <c r="F29" t="s">
        <v>36</v>
      </c>
      <c r="G29" t="s">
        <v>37</v>
      </c>
      <c r="H29">
        <v>0</v>
      </c>
      <c r="I29">
        <v>3.6</v>
      </c>
    </row>
    <row r="30" spans="1:9">
      <c r="A30" t="s">
        <v>1155</v>
      </c>
      <c r="B30">
        <v>195.74</v>
      </c>
      <c r="C30">
        <v>141.05</v>
      </c>
      <c r="D30">
        <v>286.65</v>
      </c>
      <c r="E30" s="2">
        <v>26326453171.76</v>
      </c>
      <c r="F30" t="s">
        <v>1156</v>
      </c>
      <c r="G30">
        <v>24.25</v>
      </c>
      <c r="H30">
        <v>6.39</v>
      </c>
      <c r="I30">
        <v>381.33</v>
      </c>
    </row>
    <row r="31" spans="1:10">
      <c r="A31" t="s">
        <v>637</v>
      </c>
      <c r="B31">
        <v>10.46</v>
      </c>
      <c r="C31">
        <v>7.15</v>
      </c>
      <c r="D31">
        <v>13.33</v>
      </c>
      <c r="E31" s="2">
        <v>966380413.83</v>
      </c>
      <c r="F31" t="s">
        <v>638</v>
      </c>
      <c r="G31">
        <v>0.88</v>
      </c>
      <c r="H31">
        <v>0.32</v>
      </c>
      <c r="I31">
        <v>11.29</v>
      </c>
      <c r="J31">
        <v>22.3191</v>
      </c>
    </row>
    <row r="32" spans="1:8">
      <c r="A32" t="s">
        <v>70</v>
      </c>
      <c r="B32">
        <v>0</v>
      </c>
      <c r="C32">
        <v>0</v>
      </c>
      <c r="D32">
        <v>0</v>
      </c>
      <c r="E32">
        <v>0</v>
      </c>
      <c r="F32" t="s">
        <v>71</v>
      </c>
      <c r="G32">
        <v>0</v>
      </c>
      <c r="H32" t="s">
        <v>45</v>
      </c>
    </row>
    <row r="33" spans="1:8">
      <c r="A33" t="s">
        <v>753</v>
      </c>
      <c r="B33">
        <v>9.27</v>
      </c>
      <c r="C33">
        <v>8.81</v>
      </c>
      <c r="D33">
        <v>20.85</v>
      </c>
      <c r="E33" s="2">
        <v>940552128</v>
      </c>
      <c r="F33" t="s">
        <v>754</v>
      </c>
      <c r="G33">
        <v>1.8</v>
      </c>
      <c r="H33">
        <v>0.74</v>
      </c>
    </row>
    <row r="34" spans="1:8">
      <c r="A34" t="s">
        <v>246</v>
      </c>
      <c r="B34">
        <v>0.348</v>
      </c>
      <c r="C34">
        <v>0.3</v>
      </c>
      <c r="D34">
        <v>4.55</v>
      </c>
      <c r="E34">
        <v>2901624</v>
      </c>
      <c r="F34" t="s">
        <v>247</v>
      </c>
      <c r="G34">
        <v>0.01</v>
      </c>
      <c r="H34">
        <v>0.016</v>
      </c>
    </row>
    <row r="35" spans="1:7">
      <c r="A35" t="s">
        <v>707</v>
      </c>
      <c r="B35">
        <v>1137.46</v>
      </c>
      <c r="C35">
        <v>973.19</v>
      </c>
      <c r="D35">
        <v>1626.5</v>
      </c>
      <c r="E35">
        <v>0</v>
      </c>
      <c r="F35" t="s">
        <v>708</v>
      </c>
      <c r="G35">
        <v>0</v>
      </c>
    </row>
    <row r="36" spans="1:10">
      <c r="A36" t="s">
        <v>774</v>
      </c>
      <c r="B36">
        <v>10.07</v>
      </c>
      <c r="C36">
        <v>6.65</v>
      </c>
      <c r="D36">
        <v>14.83</v>
      </c>
      <c r="E36" s="2">
        <v>551947557.72</v>
      </c>
      <c r="F36" t="s">
        <v>775</v>
      </c>
      <c r="G36">
        <v>2.9</v>
      </c>
      <c r="H36">
        <v>3.29</v>
      </c>
      <c r="I36">
        <v>24.96</v>
      </c>
      <c r="J36">
        <v>27.4054</v>
      </c>
    </row>
    <row r="37" spans="1:8">
      <c r="A37" t="s">
        <v>599</v>
      </c>
      <c r="B37">
        <v>3.55</v>
      </c>
      <c r="C37">
        <v>2.15</v>
      </c>
      <c r="D37">
        <v>4</v>
      </c>
      <c r="E37" s="2">
        <v>127006348.56</v>
      </c>
      <c r="F37" t="s">
        <v>600</v>
      </c>
      <c r="G37">
        <v>1.47</v>
      </c>
      <c r="H37">
        <v>3.53</v>
      </c>
    </row>
    <row r="38" spans="1:7">
      <c r="A38" t="s">
        <v>468</v>
      </c>
      <c r="B38">
        <v>3840.56</v>
      </c>
      <c r="C38">
        <v>3216.77</v>
      </c>
      <c r="D38">
        <v>6835.78</v>
      </c>
      <c r="E38">
        <v>0</v>
      </c>
      <c r="F38" t="s">
        <v>469</v>
      </c>
      <c r="G38">
        <v>0</v>
      </c>
    </row>
    <row r="39" spans="1:7">
      <c r="A39" t="s">
        <v>300</v>
      </c>
      <c r="B39">
        <v>2007.08</v>
      </c>
      <c r="C39">
        <v>1779.18</v>
      </c>
      <c r="D39">
        <v>4037.96</v>
      </c>
      <c r="E39">
        <v>0</v>
      </c>
      <c r="F39" t="s">
        <v>301</v>
      </c>
      <c r="G39">
        <v>0</v>
      </c>
    </row>
    <row r="40" spans="1:10">
      <c r="A40" t="s">
        <v>375</v>
      </c>
      <c r="B40">
        <v>95.83</v>
      </c>
      <c r="C40">
        <v>9.43</v>
      </c>
      <c r="D40">
        <v>327.01</v>
      </c>
      <c r="E40" s="2">
        <v>26336727662.21</v>
      </c>
      <c r="F40" t="s">
        <v>376</v>
      </c>
      <c r="G40">
        <v>43.72</v>
      </c>
      <c r="H40">
        <v>60.8834</v>
      </c>
      <c r="I40">
        <v>627.0161</v>
      </c>
      <c r="J40">
        <v>1019.0567</v>
      </c>
    </row>
    <row r="41" spans="1:10">
      <c r="A41" t="s">
        <v>190</v>
      </c>
      <c r="B41">
        <v>62.2</v>
      </c>
      <c r="C41">
        <v>51.2</v>
      </c>
      <c r="D41">
        <v>467.57</v>
      </c>
      <c r="E41" s="2">
        <v>14743916065.16</v>
      </c>
      <c r="F41" t="s">
        <v>191</v>
      </c>
      <c r="G41">
        <v>37.08</v>
      </c>
      <c r="H41">
        <v>52.669</v>
      </c>
      <c r="I41">
        <v>328.5378</v>
      </c>
      <c r="J41">
        <v>316.2264</v>
      </c>
    </row>
    <row r="42" spans="1:10">
      <c r="A42" t="s">
        <v>226</v>
      </c>
      <c r="B42">
        <v>19.88</v>
      </c>
      <c r="C42">
        <v>17.6</v>
      </c>
      <c r="D42">
        <v>51.06</v>
      </c>
      <c r="E42" s="2">
        <v>27913284249.51</v>
      </c>
      <c r="F42" t="s">
        <v>227</v>
      </c>
      <c r="G42">
        <v>4.46</v>
      </c>
      <c r="H42">
        <v>19.7839</v>
      </c>
      <c r="I42">
        <v>84.7591</v>
      </c>
      <c r="J42">
        <v>88.3154</v>
      </c>
    </row>
    <row r="43" spans="1:10">
      <c r="A43" t="s">
        <v>779</v>
      </c>
      <c r="B43">
        <v>10.44</v>
      </c>
      <c r="C43">
        <v>9.36</v>
      </c>
      <c r="D43">
        <v>45.8</v>
      </c>
      <c r="E43" s="2">
        <v>2957681160</v>
      </c>
      <c r="F43" t="s">
        <v>780</v>
      </c>
      <c r="G43">
        <v>2.88</v>
      </c>
      <c r="H43">
        <v>4.9325</v>
      </c>
      <c r="I43">
        <v>47.6398</v>
      </c>
      <c r="J43">
        <v>124.2102</v>
      </c>
    </row>
    <row r="44" spans="1:10">
      <c r="A44" t="s">
        <v>747</v>
      </c>
      <c r="B44">
        <v>58.8</v>
      </c>
      <c r="C44">
        <v>28.22</v>
      </c>
      <c r="D44">
        <v>179.03</v>
      </c>
      <c r="E44" s="2">
        <v>109133691290.4</v>
      </c>
      <c r="F44" t="s">
        <v>748</v>
      </c>
      <c r="G44">
        <v>30.52</v>
      </c>
      <c r="H44">
        <v>10.4446</v>
      </c>
      <c r="I44">
        <v>299.7935</v>
      </c>
      <c r="J44">
        <v>208.6981</v>
      </c>
    </row>
    <row r="45" spans="1:10">
      <c r="A45" t="s">
        <v>295</v>
      </c>
      <c r="B45">
        <v>36.15</v>
      </c>
      <c r="C45">
        <v>29.01</v>
      </c>
      <c r="D45">
        <v>102.84</v>
      </c>
      <c r="E45" s="2">
        <v>63403108178.4</v>
      </c>
      <c r="F45" t="s">
        <v>296</v>
      </c>
      <c r="G45">
        <v>18.97</v>
      </c>
      <c r="H45">
        <v>24.622</v>
      </c>
      <c r="I45">
        <v>382.5829</v>
      </c>
      <c r="J45">
        <v>40.167</v>
      </c>
    </row>
    <row r="46" spans="1:10">
      <c r="A46" t="s">
        <v>292</v>
      </c>
      <c r="B46">
        <v>57.1</v>
      </c>
      <c r="C46">
        <v>33.75</v>
      </c>
      <c r="D46">
        <v>181.87</v>
      </c>
      <c r="E46" s="2">
        <v>28503552000</v>
      </c>
      <c r="F46" t="s">
        <v>293</v>
      </c>
      <c r="G46">
        <v>13.4</v>
      </c>
      <c r="H46">
        <v>19.7674</v>
      </c>
      <c r="I46">
        <v>29.7773</v>
      </c>
      <c r="J46">
        <v>29.7773</v>
      </c>
    </row>
    <row r="47" spans="1:10">
      <c r="A47" t="s">
        <v>817</v>
      </c>
      <c r="B47">
        <v>52.91</v>
      </c>
      <c r="C47">
        <v>35.77</v>
      </c>
      <c r="D47">
        <v>110.88</v>
      </c>
      <c r="E47" s="2">
        <v>39532378965.12</v>
      </c>
      <c r="F47" t="s">
        <v>818</v>
      </c>
      <c r="G47">
        <v>18.04</v>
      </c>
      <c r="H47">
        <v>15.4748</v>
      </c>
      <c r="I47">
        <v>81.7291</v>
      </c>
      <c r="J47">
        <v>53.7216</v>
      </c>
    </row>
    <row r="48" spans="1:9">
      <c r="A48" t="s">
        <v>663</v>
      </c>
      <c r="B48">
        <v>1</v>
      </c>
      <c r="C48">
        <v>0</v>
      </c>
      <c r="D48">
        <v>0</v>
      </c>
      <c r="E48" s="2">
        <v>671768000</v>
      </c>
      <c r="F48" t="s">
        <v>664</v>
      </c>
      <c r="G48">
        <v>0</v>
      </c>
      <c r="H48">
        <v>1.054</v>
      </c>
      <c r="I48">
        <v>0.439</v>
      </c>
    </row>
    <row r="49" spans="1:9">
      <c r="A49" t="s">
        <v>317</v>
      </c>
      <c r="B49">
        <v>1.004</v>
      </c>
      <c r="C49">
        <v>0.944</v>
      </c>
      <c r="D49">
        <v>1.55</v>
      </c>
      <c r="E49" s="2">
        <v>628233061.25</v>
      </c>
      <c r="F49" t="s">
        <v>318</v>
      </c>
      <c r="G49">
        <v>780</v>
      </c>
      <c r="H49">
        <v>1.023</v>
      </c>
      <c r="I49">
        <v>1.023</v>
      </c>
    </row>
    <row r="50" spans="1:9">
      <c r="A50" t="s">
        <v>202</v>
      </c>
      <c r="B50">
        <v>0.368</v>
      </c>
      <c r="C50">
        <v>0.258</v>
      </c>
      <c r="D50">
        <v>2.205</v>
      </c>
      <c r="E50" s="2">
        <v>329220528</v>
      </c>
      <c r="F50" t="s">
        <v>203</v>
      </c>
      <c r="G50">
        <v>6.62</v>
      </c>
      <c r="H50">
        <v>0.4114</v>
      </c>
      <c r="I50">
        <v>1.5203</v>
      </c>
    </row>
    <row r="51" spans="1:9">
      <c r="A51" t="s">
        <v>329</v>
      </c>
      <c r="B51">
        <v>0.648</v>
      </c>
      <c r="C51">
        <v>0.547</v>
      </c>
      <c r="D51">
        <v>2.372</v>
      </c>
      <c r="E51" s="2">
        <v>1681316690.94</v>
      </c>
      <c r="F51" t="s">
        <v>330</v>
      </c>
      <c r="G51">
        <v>2.32</v>
      </c>
      <c r="H51">
        <v>0.5495</v>
      </c>
      <c r="I51">
        <v>0.5495</v>
      </c>
    </row>
    <row r="52" spans="1:10">
      <c r="A52" t="s">
        <v>182</v>
      </c>
      <c r="B52">
        <v>80.3</v>
      </c>
      <c r="C52">
        <v>71.3</v>
      </c>
      <c r="D52">
        <v>248.66</v>
      </c>
      <c r="E52" s="2">
        <v>94295886412.2</v>
      </c>
      <c r="F52" t="s">
        <v>183</v>
      </c>
      <c r="G52">
        <v>19.94</v>
      </c>
      <c r="H52">
        <v>13.6621</v>
      </c>
      <c r="I52">
        <v>117.73</v>
      </c>
      <c r="J52">
        <v>88.6971</v>
      </c>
    </row>
    <row r="53" spans="1:10">
      <c r="A53" t="s">
        <v>827</v>
      </c>
      <c r="B53">
        <v>53.58</v>
      </c>
      <c r="C53">
        <v>39.85</v>
      </c>
      <c r="D53">
        <v>87.6</v>
      </c>
      <c r="E53" s="2">
        <v>132961200000</v>
      </c>
      <c r="F53" t="s">
        <v>828</v>
      </c>
      <c r="G53">
        <v>4.59</v>
      </c>
      <c r="H53">
        <v>2.006</v>
      </c>
      <c r="I53">
        <v>306.6979</v>
      </c>
      <c r="J53">
        <v>66.2825</v>
      </c>
    </row>
    <row r="54" spans="1:9">
      <c r="A54" t="s">
        <v>269</v>
      </c>
      <c r="B54">
        <v>133.05</v>
      </c>
      <c r="C54">
        <v>34.82</v>
      </c>
      <c r="D54">
        <v>231.1</v>
      </c>
      <c r="E54" s="2">
        <v>8312150000</v>
      </c>
      <c r="F54" t="s">
        <v>270</v>
      </c>
      <c r="G54">
        <v>14.09</v>
      </c>
      <c r="H54">
        <v>16.5014</v>
      </c>
      <c r="I54">
        <v>785.5371</v>
      </c>
    </row>
    <row r="55" spans="1:10">
      <c r="A55" t="s">
        <v>8</v>
      </c>
      <c r="B55">
        <v>127.9</v>
      </c>
      <c r="C55">
        <v>35.24</v>
      </c>
      <c r="D55">
        <v>176</v>
      </c>
      <c r="E55" s="2">
        <v>30604946450</v>
      </c>
      <c r="F55" t="s">
        <v>9</v>
      </c>
      <c r="G55">
        <v>10.56</v>
      </c>
      <c r="H55">
        <v>16.7327</v>
      </c>
      <c r="I55">
        <v>234.518</v>
      </c>
      <c r="J55">
        <v>182.9266</v>
      </c>
    </row>
    <row r="56" spans="1:10">
      <c r="A56" t="s">
        <v>813</v>
      </c>
      <c r="B56">
        <v>9.53</v>
      </c>
      <c r="C56">
        <v>8.66</v>
      </c>
      <c r="D56">
        <v>23.93</v>
      </c>
      <c r="E56" s="2">
        <v>7024974320</v>
      </c>
      <c r="F56" t="s">
        <v>814</v>
      </c>
      <c r="G56">
        <v>1.81</v>
      </c>
      <c r="H56">
        <v>3.4515</v>
      </c>
      <c r="I56">
        <v>37.7065</v>
      </c>
      <c r="J56">
        <v>31.8164</v>
      </c>
    </row>
    <row r="57" spans="1:10">
      <c r="A57" t="s">
        <v>11</v>
      </c>
      <c r="B57">
        <v>29.22</v>
      </c>
      <c r="C57">
        <v>23.72</v>
      </c>
      <c r="D57">
        <v>56.48</v>
      </c>
      <c r="E57" s="2">
        <v>122022479867.47</v>
      </c>
      <c r="F57" t="s">
        <v>12</v>
      </c>
      <c r="G57">
        <v>7.14</v>
      </c>
      <c r="H57">
        <v>5.2503</v>
      </c>
      <c r="I57">
        <v>26.1549</v>
      </c>
      <c r="J57">
        <v>21.3116</v>
      </c>
    </row>
    <row r="58" spans="1:10">
      <c r="A58" t="s">
        <v>810</v>
      </c>
      <c r="B58">
        <v>15.92</v>
      </c>
      <c r="C58">
        <v>13.8</v>
      </c>
      <c r="D58">
        <v>62.14</v>
      </c>
      <c r="E58" s="2">
        <v>7978846248.4</v>
      </c>
      <c r="F58" t="s">
        <v>811</v>
      </c>
      <c r="G58">
        <v>3.23</v>
      </c>
      <c r="H58">
        <v>2.0215</v>
      </c>
      <c r="I58">
        <v>33.0042</v>
      </c>
      <c r="J58">
        <v>32.7654</v>
      </c>
    </row>
    <row r="59" spans="1:10">
      <c r="A59" t="s">
        <v>377</v>
      </c>
      <c r="B59">
        <v>11.1</v>
      </c>
      <c r="C59">
        <v>9</v>
      </c>
      <c r="D59">
        <v>27.28</v>
      </c>
      <c r="E59" s="2">
        <v>29661506652.75</v>
      </c>
      <c r="F59" t="s">
        <v>378</v>
      </c>
      <c r="G59">
        <v>4.85</v>
      </c>
      <c r="H59">
        <v>1.7545</v>
      </c>
      <c r="I59">
        <v>37.278</v>
      </c>
      <c r="J59">
        <v>39.4878</v>
      </c>
    </row>
    <row r="60" spans="1:9">
      <c r="A60" t="s">
        <v>802</v>
      </c>
      <c r="B60">
        <v>22.9</v>
      </c>
      <c r="C60">
        <v>14.54</v>
      </c>
      <c r="D60">
        <v>99.83</v>
      </c>
      <c r="E60" s="2">
        <v>21038867123.8</v>
      </c>
      <c r="F60" t="s">
        <v>803</v>
      </c>
      <c r="G60">
        <v>14.51</v>
      </c>
      <c r="H60">
        <v>15.8711</v>
      </c>
      <c r="I60">
        <v>223.6961</v>
      </c>
    </row>
    <row r="61" spans="1:10">
      <c r="A61" t="s">
        <v>1476</v>
      </c>
      <c r="B61">
        <v>36.59</v>
      </c>
      <c r="C61">
        <v>20.91</v>
      </c>
      <c r="D61">
        <v>82.5</v>
      </c>
      <c r="E61" s="2">
        <v>42773230107.59</v>
      </c>
      <c r="F61" t="s">
        <v>1477</v>
      </c>
      <c r="G61">
        <v>14.71</v>
      </c>
      <c r="H61">
        <v>16.4435</v>
      </c>
      <c r="I61">
        <v>99.9344</v>
      </c>
      <c r="J61">
        <v>82.2988</v>
      </c>
    </row>
    <row r="62" spans="1:10">
      <c r="A62" t="s">
        <v>581</v>
      </c>
      <c r="B62">
        <v>15.53</v>
      </c>
      <c r="C62">
        <v>13.09</v>
      </c>
      <c r="D62">
        <v>27.2</v>
      </c>
      <c r="E62" s="2">
        <v>41963198940</v>
      </c>
      <c r="F62" t="s">
        <v>497</v>
      </c>
      <c r="G62">
        <v>2.62</v>
      </c>
      <c r="H62">
        <v>1.6374</v>
      </c>
      <c r="I62">
        <v>22.9347</v>
      </c>
      <c r="J62">
        <v>15.3002</v>
      </c>
    </row>
    <row r="63" spans="1:10">
      <c r="A63" t="s">
        <v>261</v>
      </c>
      <c r="B63">
        <v>60.15</v>
      </c>
      <c r="C63">
        <v>25.52</v>
      </c>
      <c r="D63">
        <v>73.29</v>
      </c>
      <c r="E63" s="2">
        <v>36500100775.2</v>
      </c>
      <c r="F63" t="s">
        <v>262</v>
      </c>
      <c r="G63">
        <v>13.02</v>
      </c>
      <c r="H63">
        <v>29.1326</v>
      </c>
      <c r="I63">
        <v>119.9254</v>
      </c>
      <c r="J63">
        <v>106.2868</v>
      </c>
    </row>
    <row r="64" spans="1:10">
      <c r="A64" t="s">
        <v>267</v>
      </c>
      <c r="B64">
        <v>29.4</v>
      </c>
      <c r="C64">
        <v>9.22</v>
      </c>
      <c r="D64">
        <v>62.34</v>
      </c>
      <c r="E64" s="2">
        <v>122447772065.5</v>
      </c>
      <c r="F64" t="s">
        <v>268</v>
      </c>
      <c r="G64">
        <v>248.54</v>
      </c>
      <c r="H64">
        <v>286.7007</v>
      </c>
      <c r="I64">
        <v>18577.2344</v>
      </c>
      <c r="J64">
        <v>42813.8571</v>
      </c>
    </row>
    <row r="65" spans="1:10">
      <c r="A65" t="s">
        <v>815</v>
      </c>
      <c r="B65">
        <v>16.97</v>
      </c>
      <c r="C65">
        <v>15.14</v>
      </c>
      <c r="D65">
        <v>78.89</v>
      </c>
      <c r="E65" s="2">
        <v>15928415306.06</v>
      </c>
      <c r="F65" t="s">
        <v>816</v>
      </c>
      <c r="G65">
        <v>7.45</v>
      </c>
      <c r="H65">
        <v>5.6618</v>
      </c>
      <c r="I65">
        <v>57.7613</v>
      </c>
      <c r="J65">
        <v>42.7251</v>
      </c>
    </row>
    <row r="66" spans="1:10">
      <c r="A66" t="s">
        <v>188</v>
      </c>
      <c r="B66">
        <v>13.28</v>
      </c>
      <c r="C66">
        <v>11.46</v>
      </c>
      <c r="D66">
        <v>30.17</v>
      </c>
      <c r="E66" s="2">
        <v>19520735235.45</v>
      </c>
      <c r="F66" t="s">
        <v>189</v>
      </c>
      <c r="G66">
        <v>2.95</v>
      </c>
      <c r="H66">
        <v>8.2456</v>
      </c>
      <c r="I66">
        <v>103.1663</v>
      </c>
      <c r="J66">
        <v>56.0842</v>
      </c>
    </row>
    <row r="67" spans="1:10">
      <c r="A67" t="s">
        <v>341</v>
      </c>
      <c r="B67">
        <v>13.86</v>
      </c>
      <c r="C67">
        <v>9.31</v>
      </c>
      <c r="D67">
        <v>30.05</v>
      </c>
      <c r="E67" s="2">
        <v>3655692685.26</v>
      </c>
      <c r="F67" t="s">
        <v>342</v>
      </c>
      <c r="G67">
        <v>4.64</v>
      </c>
      <c r="H67">
        <v>9.1207</v>
      </c>
      <c r="I67">
        <v>142.1899</v>
      </c>
      <c r="J67">
        <v>137.5099</v>
      </c>
    </row>
    <row r="68" spans="1:10">
      <c r="A68" t="s">
        <v>255</v>
      </c>
      <c r="B68">
        <v>47.46</v>
      </c>
      <c r="C68">
        <v>24.53</v>
      </c>
      <c r="D68">
        <v>90</v>
      </c>
      <c r="E68" s="2">
        <v>4203726175.9</v>
      </c>
      <c r="F68" t="s">
        <v>256</v>
      </c>
      <c r="G68">
        <v>26.4</v>
      </c>
      <c r="H68">
        <v>162.8085</v>
      </c>
      <c r="I68">
        <v>2137.6159</v>
      </c>
      <c r="J68">
        <v>1024.6195</v>
      </c>
    </row>
    <row r="69" spans="1:10">
      <c r="A69" t="s">
        <v>579</v>
      </c>
      <c r="B69">
        <v>3.94</v>
      </c>
      <c r="C69">
        <v>3.33</v>
      </c>
      <c r="D69">
        <v>7.68</v>
      </c>
      <c r="E69" s="2">
        <v>48121906063.48</v>
      </c>
      <c r="F69" t="s">
        <v>580</v>
      </c>
      <c r="G69">
        <v>2</v>
      </c>
      <c r="H69">
        <v>0.4543</v>
      </c>
      <c r="I69">
        <v>15.1174</v>
      </c>
      <c r="J69">
        <v>15.8896</v>
      </c>
    </row>
    <row r="70" spans="1:10">
      <c r="A70" t="s">
        <v>306</v>
      </c>
      <c r="B70">
        <v>10.88</v>
      </c>
      <c r="C70">
        <v>9.17</v>
      </c>
      <c r="D70">
        <v>21.88</v>
      </c>
      <c r="E70" s="2">
        <v>57418017248.8</v>
      </c>
      <c r="F70" t="s">
        <v>307</v>
      </c>
      <c r="G70">
        <v>5.66</v>
      </c>
      <c r="H70">
        <v>7.0119</v>
      </c>
      <c r="I70">
        <v>36.8374</v>
      </c>
      <c r="J70">
        <v>24.1032</v>
      </c>
    </row>
    <row r="71" spans="1:10">
      <c r="A71" t="s">
        <v>576</v>
      </c>
      <c r="B71">
        <v>14.78</v>
      </c>
      <c r="C71">
        <v>12.58</v>
      </c>
      <c r="D71">
        <v>33.92</v>
      </c>
      <c r="E71" s="2">
        <v>48426806556.36</v>
      </c>
      <c r="F71" t="s">
        <v>131</v>
      </c>
      <c r="G71">
        <v>1.88</v>
      </c>
      <c r="H71">
        <v>0.7364</v>
      </c>
      <c r="I71">
        <v>19.5443</v>
      </c>
      <c r="J71">
        <v>18.7648</v>
      </c>
    </row>
    <row r="72" spans="1:10">
      <c r="A72" t="s">
        <v>171</v>
      </c>
      <c r="B72">
        <v>24.43</v>
      </c>
      <c r="C72">
        <v>11.53</v>
      </c>
      <c r="D72">
        <v>24.43</v>
      </c>
      <c r="E72" s="2">
        <v>269685994784.43</v>
      </c>
      <c r="F72" t="s">
        <v>172</v>
      </c>
      <c r="G72">
        <v>3.03</v>
      </c>
      <c r="H72">
        <v>1.6578</v>
      </c>
      <c r="I72">
        <v>17.1455</v>
      </c>
      <c r="J72">
        <v>16.7246</v>
      </c>
    </row>
    <row r="73" spans="1:9">
      <c r="A73" t="s">
        <v>55</v>
      </c>
      <c r="B73">
        <v>5.17</v>
      </c>
      <c r="C73">
        <v>3.62</v>
      </c>
      <c r="D73">
        <v>8.15</v>
      </c>
      <c r="E73" s="2">
        <v>308850843.07</v>
      </c>
      <c r="F73" t="s">
        <v>56</v>
      </c>
      <c r="G73">
        <v>2.44</v>
      </c>
      <c r="H73">
        <v>0.76</v>
      </c>
      <c r="I73">
        <v>4.4545</v>
      </c>
    </row>
    <row r="74" spans="1:9">
      <c r="A74" t="s">
        <v>1474</v>
      </c>
      <c r="B74">
        <v>81.4</v>
      </c>
      <c r="C74">
        <v>61.61</v>
      </c>
      <c r="D74">
        <v>98.15</v>
      </c>
      <c r="E74" s="2">
        <v>37356169400</v>
      </c>
      <c r="F74" t="s">
        <v>1475</v>
      </c>
      <c r="G74">
        <v>4.45</v>
      </c>
      <c r="H74">
        <v>2.78</v>
      </c>
      <c r="I74">
        <v>28.069</v>
      </c>
    </row>
    <row r="75" spans="1:10">
      <c r="A75" t="s">
        <v>1472</v>
      </c>
      <c r="B75">
        <v>16.52</v>
      </c>
      <c r="C75">
        <v>16.14</v>
      </c>
      <c r="D75">
        <v>26.16</v>
      </c>
      <c r="E75" s="2">
        <v>11341157178.9</v>
      </c>
      <c r="F75" t="s">
        <v>1473</v>
      </c>
      <c r="G75">
        <v>2.02</v>
      </c>
      <c r="H75">
        <v>2.17</v>
      </c>
      <c r="I75">
        <v>13.11</v>
      </c>
      <c r="J75">
        <v>13.1905</v>
      </c>
    </row>
    <row r="76" spans="1:9">
      <c r="A76" t="s">
        <v>263</v>
      </c>
      <c r="B76">
        <v>1.5</v>
      </c>
      <c r="C76">
        <v>1.38</v>
      </c>
      <c r="D76">
        <v>5.35</v>
      </c>
      <c r="E76" s="2">
        <v>91946577.8</v>
      </c>
      <c r="F76" t="s">
        <v>264</v>
      </c>
      <c r="G76">
        <v>0.92</v>
      </c>
      <c r="H76">
        <v>1.4</v>
      </c>
      <c r="I76">
        <v>5.5</v>
      </c>
    </row>
    <row r="77" spans="1:9">
      <c r="A77" t="s">
        <v>274</v>
      </c>
      <c r="B77">
        <v>12.25</v>
      </c>
      <c r="C77">
        <v>8.06</v>
      </c>
      <c r="D77">
        <v>14.78</v>
      </c>
      <c r="E77" s="2">
        <v>3961916075.69</v>
      </c>
      <c r="F77" t="s">
        <v>275</v>
      </c>
      <c r="G77" t="s">
        <v>276</v>
      </c>
      <c r="H77">
        <v>-6.75</v>
      </c>
      <c r="I77">
        <v>1.68</v>
      </c>
    </row>
    <row r="78" spans="1:8">
      <c r="A78" t="s">
        <v>298</v>
      </c>
      <c r="B78">
        <v>199.78</v>
      </c>
      <c r="C78">
        <v>181.02</v>
      </c>
      <c r="D78">
        <v>213.78</v>
      </c>
      <c r="E78" s="2">
        <v>177360000000</v>
      </c>
      <c r="F78" t="s">
        <v>299</v>
      </c>
      <c r="G78">
        <v>0</v>
      </c>
      <c r="H78">
        <v>9.3441</v>
      </c>
    </row>
    <row r="79" spans="1:9">
      <c r="A79" t="s">
        <v>633</v>
      </c>
      <c r="B79">
        <v>0.3987</v>
      </c>
      <c r="C79">
        <v>0.378</v>
      </c>
      <c r="D79">
        <v>1.65</v>
      </c>
      <c r="E79" s="2">
        <v>10661733.9</v>
      </c>
      <c r="F79" t="s">
        <v>634</v>
      </c>
      <c r="G79">
        <v>0.06</v>
      </c>
      <c r="H79">
        <v>0.1333</v>
      </c>
      <c r="I79">
        <v>1.8014</v>
      </c>
    </row>
    <row r="80" spans="1:8">
      <c r="A80" t="s">
        <v>38</v>
      </c>
      <c r="B80">
        <v>8.06</v>
      </c>
      <c r="C80">
        <v>5.65</v>
      </c>
      <c r="D80">
        <v>18.9</v>
      </c>
      <c r="E80" s="2">
        <v>5135567600</v>
      </c>
      <c r="F80" t="s">
        <v>39</v>
      </c>
      <c r="G80">
        <v>1.76</v>
      </c>
      <c r="H80">
        <v>3.04</v>
      </c>
    </row>
    <row r="81" spans="1:10">
      <c r="A81" t="s">
        <v>386</v>
      </c>
      <c r="B81">
        <v>0.01</v>
      </c>
      <c r="C81">
        <v>0.01</v>
      </c>
      <c r="D81">
        <v>2.77</v>
      </c>
      <c r="E81">
        <v>966190</v>
      </c>
      <c r="F81" t="s">
        <v>387</v>
      </c>
      <c r="G81" t="s">
        <v>388</v>
      </c>
      <c r="H81" t="s">
        <v>389</v>
      </c>
      <c r="I81">
        <v>-0.01</v>
      </c>
      <c r="J81">
        <v>0.01</v>
      </c>
    </row>
    <row r="82" spans="1:8">
      <c r="A82" t="s">
        <v>772</v>
      </c>
      <c r="B82">
        <v>45.14</v>
      </c>
      <c r="C82">
        <v>40.2</v>
      </c>
      <c r="D82">
        <v>71.78</v>
      </c>
      <c r="E82" s="2">
        <v>1863465017.96</v>
      </c>
      <c r="F82" t="s">
        <v>773</v>
      </c>
      <c r="G82">
        <v>1.5</v>
      </c>
      <c r="H82">
        <v>0.9</v>
      </c>
    </row>
    <row r="83" spans="1:10">
      <c r="A83" t="s">
        <v>617</v>
      </c>
      <c r="B83">
        <v>4.43</v>
      </c>
      <c r="C83">
        <v>3.75</v>
      </c>
      <c r="D83">
        <v>6.12</v>
      </c>
      <c r="E83" s="2">
        <v>495000000</v>
      </c>
      <c r="F83" t="s">
        <v>618</v>
      </c>
      <c r="G83">
        <v>1.02</v>
      </c>
      <c r="H83">
        <v>0.23</v>
      </c>
      <c r="I83">
        <v>19.77</v>
      </c>
      <c r="J83">
        <v>15</v>
      </c>
    </row>
    <row r="84" spans="1:7">
      <c r="A84" t="s">
        <v>713</v>
      </c>
      <c r="B84">
        <v>283.28</v>
      </c>
      <c r="C84">
        <v>246.75</v>
      </c>
      <c r="D84">
        <v>520.71</v>
      </c>
      <c r="E84">
        <v>0</v>
      </c>
      <c r="F84" t="s">
        <v>714</v>
      </c>
      <c r="G84">
        <v>0</v>
      </c>
    </row>
    <row r="85" spans="1:10">
      <c r="A85" t="s">
        <v>825</v>
      </c>
      <c r="B85">
        <v>43</v>
      </c>
      <c r="C85">
        <v>31.92</v>
      </c>
      <c r="D85">
        <v>61.25</v>
      </c>
      <c r="E85" s="2">
        <v>2619302093.64</v>
      </c>
      <c r="F85" t="s">
        <v>826</v>
      </c>
      <c r="G85">
        <v>1.26</v>
      </c>
      <c r="H85">
        <v>3.01</v>
      </c>
      <c r="I85">
        <v>50.02</v>
      </c>
      <c r="J85">
        <v>40.7757</v>
      </c>
    </row>
    <row r="86" spans="1:10">
      <c r="A86" t="s">
        <v>506</v>
      </c>
      <c r="B86">
        <v>16.52</v>
      </c>
      <c r="C86">
        <v>14.36</v>
      </c>
      <c r="D86">
        <v>38.32</v>
      </c>
      <c r="E86" s="2">
        <v>64733999762.23</v>
      </c>
      <c r="F86" t="s">
        <v>507</v>
      </c>
      <c r="G86">
        <v>1.6</v>
      </c>
      <c r="H86">
        <v>3.9064</v>
      </c>
      <c r="I86">
        <v>8.4658</v>
      </c>
      <c r="J86">
        <v>8.4658</v>
      </c>
    </row>
    <row r="87" spans="1:10">
      <c r="A87" t="s">
        <v>510</v>
      </c>
      <c r="B87">
        <v>9.87</v>
      </c>
      <c r="C87">
        <v>9</v>
      </c>
      <c r="D87">
        <v>39.47</v>
      </c>
      <c r="E87" s="2">
        <v>277799559829.94</v>
      </c>
      <c r="F87" t="s">
        <v>509</v>
      </c>
      <c r="G87">
        <v>2.87</v>
      </c>
      <c r="H87">
        <v>2.3101</v>
      </c>
      <c r="I87">
        <v>52.2674</v>
      </c>
      <c r="J87">
        <v>29.8644</v>
      </c>
    </row>
    <row r="88" spans="1:10">
      <c r="A88" t="s">
        <v>511</v>
      </c>
      <c r="B88">
        <v>5.52</v>
      </c>
      <c r="C88">
        <v>4.88</v>
      </c>
      <c r="D88">
        <v>12.52</v>
      </c>
      <c r="E88" s="2">
        <v>168600000000</v>
      </c>
      <c r="F88" t="s">
        <v>512</v>
      </c>
      <c r="G88">
        <v>1.05</v>
      </c>
      <c r="H88">
        <v>0.1995</v>
      </c>
      <c r="I88">
        <v>7.4701</v>
      </c>
      <c r="J88">
        <v>6.8227</v>
      </c>
    </row>
    <row r="89" spans="1:10">
      <c r="A89" t="s">
        <v>116</v>
      </c>
      <c r="B89">
        <v>3.08</v>
      </c>
      <c r="C89">
        <v>2.71</v>
      </c>
      <c r="D89">
        <v>4.25</v>
      </c>
      <c r="E89" s="2">
        <v>1039341174400</v>
      </c>
      <c r="F89" t="s">
        <v>114</v>
      </c>
      <c r="G89">
        <v>0.89</v>
      </c>
      <c r="H89">
        <v>1.9457</v>
      </c>
      <c r="I89">
        <v>5.7915</v>
      </c>
      <c r="J89">
        <v>5.7667</v>
      </c>
    </row>
    <row r="90" spans="1:10">
      <c r="A90" t="s">
        <v>197</v>
      </c>
      <c r="B90">
        <v>13.19</v>
      </c>
      <c r="C90">
        <v>11.41</v>
      </c>
      <c r="D90">
        <v>32.99</v>
      </c>
      <c r="E90" s="2">
        <v>22529374158.02</v>
      </c>
      <c r="F90" t="s">
        <v>198</v>
      </c>
      <c r="G90">
        <v>1.86</v>
      </c>
      <c r="H90">
        <v>0.9559</v>
      </c>
      <c r="I90">
        <v>12.2691</v>
      </c>
      <c r="J90">
        <v>16.3588</v>
      </c>
    </row>
    <row r="91" spans="1:9">
      <c r="A91" t="s">
        <v>265</v>
      </c>
      <c r="B91">
        <v>20.93</v>
      </c>
      <c r="C91">
        <v>14.46</v>
      </c>
      <c r="D91">
        <v>52.98</v>
      </c>
      <c r="E91" s="2">
        <v>2767565209.5</v>
      </c>
      <c r="F91" t="s">
        <v>266</v>
      </c>
      <c r="G91">
        <v>10.24</v>
      </c>
      <c r="H91">
        <v>24.0526</v>
      </c>
      <c r="I91">
        <v>34.0818</v>
      </c>
    </row>
    <row r="92" spans="1:9">
      <c r="A92" t="s">
        <v>577</v>
      </c>
      <c r="B92">
        <v>14.83</v>
      </c>
      <c r="C92">
        <v>11.08</v>
      </c>
      <c r="D92">
        <v>42.98</v>
      </c>
      <c r="E92" s="2">
        <v>173882926161.65</v>
      </c>
      <c r="F92" t="s">
        <v>578</v>
      </c>
      <c r="G92">
        <v>3.33</v>
      </c>
      <c r="H92">
        <v>-6.6763</v>
      </c>
      <c r="I92">
        <v>36.1471</v>
      </c>
    </row>
    <row r="93" spans="1:10">
      <c r="A93" t="s">
        <v>1485</v>
      </c>
      <c r="B93">
        <v>51.8</v>
      </c>
      <c r="C93">
        <v>41.72</v>
      </c>
      <c r="D93">
        <v>99.49</v>
      </c>
      <c r="E93" s="2">
        <v>9125669513.52</v>
      </c>
      <c r="F93" t="s">
        <v>1486</v>
      </c>
      <c r="G93">
        <v>12.91</v>
      </c>
      <c r="H93">
        <v>3.8163</v>
      </c>
      <c r="I93">
        <v>154.3125</v>
      </c>
      <c r="J93">
        <v>128.6432</v>
      </c>
    </row>
    <row r="94" spans="1:10">
      <c r="A94" t="s">
        <v>584</v>
      </c>
      <c r="B94">
        <v>17.31</v>
      </c>
      <c r="C94">
        <v>9.81</v>
      </c>
      <c r="D94">
        <v>27</v>
      </c>
      <c r="E94" s="2">
        <v>49077321174.3</v>
      </c>
      <c r="F94" t="s">
        <v>585</v>
      </c>
      <c r="G94">
        <v>2.71</v>
      </c>
      <c r="H94">
        <v>0.4067</v>
      </c>
      <c r="I94">
        <v>19.5746</v>
      </c>
      <c r="J94">
        <v>19.3002</v>
      </c>
    </row>
    <row r="95" spans="1:10">
      <c r="A95" t="s">
        <v>582</v>
      </c>
      <c r="B95">
        <v>31.73</v>
      </c>
      <c r="C95">
        <v>28.3</v>
      </c>
      <c r="D95">
        <v>81.9</v>
      </c>
      <c r="E95" s="2">
        <v>36266941770.45</v>
      </c>
      <c r="F95" t="s">
        <v>583</v>
      </c>
      <c r="G95">
        <v>8.14</v>
      </c>
      <c r="H95">
        <v>7.9737</v>
      </c>
      <c r="I95">
        <v>101.7733</v>
      </c>
      <c r="J95">
        <v>94.9257</v>
      </c>
    </row>
    <row r="96" spans="1:10">
      <c r="A96" t="s">
        <v>257</v>
      </c>
      <c r="B96">
        <v>38.59</v>
      </c>
      <c r="C96">
        <v>10.48</v>
      </c>
      <c r="D96">
        <v>77.58</v>
      </c>
      <c r="E96" s="2">
        <v>15382027584</v>
      </c>
      <c r="F96" t="s">
        <v>258</v>
      </c>
      <c r="G96">
        <v>13.3</v>
      </c>
      <c r="H96">
        <v>13.6879</v>
      </c>
      <c r="I96">
        <v>53.6828</v>
      </c>
      <c r="J96">
        <v>53.6828</v>
      </c>
    </row>
    <row r="97" spans="1:10">
      <c r="A97" t="s">
        <v>790</v>
      </c>
      <c r="B97">
        <v>18.45</v>
      </c>
      <c r="C97">
        <v>11.91</v>
      </c>
      <c r="D97">
        <v>20.12</v>
      </c>
      <c r="E97" s="2">
        <v>344156547606.75</v>
      </c>
      <c r="F97" t="s">
        <v>791</v>
      </c>
      <c r="G97">
        <v>1.15</v>
      </c>
      <c r="H97">
        <v>2.423</v>
      </c>
      <c r="I97">
        <v>7.3184</v>
      </c>
      <c r="J97">
        <v>6.9683</v>
      </c>
    </row>
    <row r="98" spans="1:9">
      <c r="A98" t="s">
        <v>206</v>
      </c>
      <c r="B98">
        <v>100.57</v>
      </c>
      <c r="C98">
        <v>96</v>
      </c>
      <c r="D98">
        <v>104.9</v>
      </c>
      <c r="E98" s="2">
        <v>50170860147.74</v>
      </c>
      <c r="F98" t="s">
        <v>207</v>
      </c>
      <c r="G98">
        <v>335310</v>
      </c>
      <c r="H98">
        <v>100.583</v>
      </c>
      <c r="I98">
        <v>111.346</v>
      </c>
    </row>
    <row r="99" spans="1:9">
      <c r="A99" t="s">
        <v>232</v>
      </c>
      <c r="B99">
        <v>0.857</v>
      </c>
      <c r="C99">
        <v>0.803</v>
      </c>
      <c r="D99">
        <v>1.629</v>
      </c>
      <c r="E99" s="2">
        <v>4483056008.7</v>
      </c>
      <c r="F99" t="s">
        <v>233</v>
      </c>
      <c r="G99">
        <v>79.18</v>
      </c>
      <c r="H99">
        <v>0.877</v>
      </c>
      <c r="I99">
        <v>0.877</v>
      </c>
    </row>
    <row r="100" spans="1:9">
      <c r="A100" t="s">
        <v>61</v>
      </c>
      <c r="B100">
        <v>2.311</v>
      </c>
      <c r="C100">
        <v>1.77</v>
      </c>
      <c r="D100">
        <v>8.05</v>
      </c>
      <c r="E100" s="2">
        <v>531591128.64</v>
      </c>
      <c r="F100" t="s">
        <v>62</v>
      </c>
      <c r="G100">
        <v>497.87</v>
      </c>
      <c r="H100">
        <v>2.353</v>
      </c>
      <c r="I100">
        <v>1.773</v>
      </c>
    </row>
    <row r="101" spans="1:7">
      <c r="A101" t="s">
        <v>53</v>
      </c>
      <c r="B101">
        <v>3058.42</v>
      </c>
      <c r="C101">
        <v>2821.21</v>
      </c>
      <c r="D101">
        <v>5380.43</v>
      </c>
      <c r="E101">
        <v>0</v>
      </c>
      <c r="F101" t="s">
        <v>54</v>
      </c>
      <c r="G101">
        <v>0</v>
      </c>
    </row>
    <row r="102" spans="1:7">
      <c r="A102" t="s">
        <v>66</v>
      </c>
      <c r="B102">
        <v>2053.27</v>
      </c>
      <c r="C102">
        <v>1874.22</v>
      </c>
      <c r="D102">
        <v>3494.82</v>
      </c>
      <c r="E102" s="2">
        <v>4245282794500</v>
      </c>
      <c r="F102" t="s">
        <v>67</v>
      </c>
      <c r="G102">
        <v>0</v>
      </c>
    </row>
    <row r="103" spans="1:7">
      <c r="A103" t="s">
        <v>228</v>
      </c>
      <c r="B103">
        <v>2334.38</v>
      </c>
      <c r="C103">
        <v>2148.15</v>
      </c>
      <c r="D103">
        <v>4195.2</v>
      </c>
      <c r="E103" s="2">
        <v>7577492453441.13</v>
      </c>
      <c r="F103" t="s">
        <v>229</v>
      </c>
      <c r="G103">
        <v>0</v>
      </c>
    </row>
    <row r="104" spans="1:7">
      <c r="A104" t="s">
        <v>51</v>
      </c>
      <c r="B104">
        <v>6597.6</v>
      </c>
      <c r="C104">
        <v>6051.99</v>
      </c>
      <c r="D104">
        <v>11815.51</v>
      </c>
      <c r="E104" s="2">
        <v>5666928690990</v>
      </c>
      <c r="F104" t="s">
        <v>52</v>
      </c>
      <c r="G104">
        <v>0</v>
      </c>
    </row>
    <row r="105" spans="1:7">
      <c r="A105" t="s">
        <v>393</v>
      </c>
      <c r="B105">
        <v>21.14</v>
      </c>
      <c r="C105">
        <v>20.33</v>
      </c>
      <c r="D105">
        <v>23.9</v>
      </c>
      <c r="E105" s="2">
        <v>1510000000</v>
      </c>
      <c r="F105" t="s">
        <v>394</v>
      </c>
      <c r="G105">
        <v>0</v>
      </c>
    </row>
    <row r="106" spans="1:8">
      <c r="A106" t="s">
        <v>43</v>
      </c>
      <c r="B106">
        <v>9380</v>
      </c>
      <c r="C106">
        <v>8310</v>
      </c>
      <c r="D106">
        <v>14952.5</v>
      </c>
      <c r="E106">
        <v>0</v>
      </c>
      <c r="F106" t="s">
        <v>44</v>
      </c>
      <c r="G106">
        <v>0</v>
      </c>
      <c r="H106" t="s">
        <v>45</v>
      </c>
    </row>
    <row r="107" spans="1:10">
      <c r="A107" t="s">
        <v>698</v>
      </c>
      <c r="B107">
        <v>5.87</v>
      </c>
      <c r="C107">
        <v>4.37</v>
      </c>
      <c r="D107">
        <v>10.01</v>
      </c>
      <c r="E107" s="2">
        <v>2561992456</v>
      </c>
      <c r="F107" t="s">
        <v>699</v>
      </c>
      <c r="G107">
        <v>3.35</v>
      </c>
      <c r="H107">
        <v>3.16</v>
      </c>
      <c r="I107">
        <v>13</v>
      </c>
      <c r="J107">
        <v>24.7083</v>
      </c>
    </row>
    <row r="108" spans="1:9">
      <c r="A108" t="s">
        <v>451</v>
      </c>
      <c r="B108">
        <v>27.66</v>
      </c>
      <c r="C108">
        <v>15.02</v>
      </c>
      <c r="D108">
        <v>43</v>
      </c>
      <c r="E108" s="2">
        <v>1038384200</v>
      </c>
      <c r="F108" t="s">
        <v>452</v>
      </c>
      <c r="G108">
        <v>5.26</v>
      </c>
      <c r="H108">
        <v>2.65</v>
      </c>
      <c r="I108">
        <v>23.4407</v>
      </c>
    </row>
    <row r="109" spans="1:8">
      <c r="A109" t="s">
        <v>755</v>
      </c>
      <c r="B109">
        <v>22.49</v>
      </c>
      <c r="C109">
        <v>16.31</v>
      </c>
      <c r="D109">
        <v>63.79</v>
      </c>
      <c r="E109" s="2">
        <v>2185008642.05</v>
      </c>
      <c r="F109" t="s">
        <v>756</v>
      </c>
      <c r="G109">
        <v>2.49</v>
      </c>
      <c r="H109">
        <v>5.51</v>
      </c>
    </row>
    <row r="110" spans="1:9">
      <c r="A110" t="s">
        <v>223</v>
      </c>
      <c r="B110">
        <v>8.48</v>
      </c>
      <c r="C110">
        <v>5.55</v>
      </c>
      <c r="D110">
        <v>18.8</v>
      </c>
      <c r="E110" s="2">
        <v>103602104.48</v>
      </c>
      <c r="F110" t="s">
        <v>224</v>
      </c>
      <c r="G110" t="s">
        <v>225</v>
      </c>
      <c r="H110">
        <v>4.96</v>
      </c>
      <c r="I110">
        <v>27.56</v>
      </c>
    </row>
    <row r="111" spans="1:8">
      <c r="A111" t="s">
        <v>647</v>
      </c>
      <c r="B111">
        <v>3.27</v>
      </c>
      <c r="C111">
        <v>2.35</v>
      </c>
      <c r="D111">
        <v>4.45</v>
      </c>
      <c r="E111" s="2">
        <v>1124554265.03</v>
      </c>
      <c r="F111" t="s">
        <v>648</v>
      </c>
      <c r="G111">
        <v>1.21</v>
      </c>
      <c r="H111">
        <v>20.25</v>
      </c>
    </row>
    <row r="112" spans="1:8">
      <c r="A112" t="s">
        <v>641</v>
      </c>
      <c r="B112">
        <v>36.22</v>
      </c>
      <c r="C112">
        <v>26.52</v>
      </c>
      <c r="D112">
        <v>55.93</v>
      </c>
      <c r="E112" s="2">
        <v>4988250000</v>
      </c>
      <c r="F112" t="s">
        <v>642</v>
      </c>
      <c r="G112">
        <v>20.88</v>
      </c>
      <c r="H112">
        <v>9.21</v>
      </c>
    </row>
    <row r="113" spans="1:8">
      <c r="A113" t="s">
        <v>391</v>
      </c>
      <c r="B113">
        <v>105.63</v>
      </c>
      <c r="C113">
        <v>84.74</v>
      </c>
      <c r="D113">
        <v>115.75</v>
      </c>
      <c r="E113" s="2">
        <v>42570000000</v>
      </c>
      <c r="F113" t="s">
        <v>392</v>
      </c>
      <c r="G113">
        <v>0</v>
      </c>
      <c r="H113">
        <v>4.4813</v>
      </c>
    </row>
    <row r="114" spans="1:10">
      <c r="A114" t="s">
        <v>819</v>
      </c>
      <c r="B114">
        <v>74.81</v>
      </c>
      <c r="C114">
        <v>41.64</v>
      </c>
      <c r="D114">
        <v>75.08</v>
      </c>
      <c r="E114" s="2">
        <v>9617949444.39</v>
      </c>
      <c r="F114" t="s">
        <v>820</v>
      </c>
      <c r="G114">
        <v>8.44</v>
      </c>
      <c r="H114">
        <v>5.66</v>
      </c>
      <c r="I114">
        <v>25.3</v>
      </c>
      <c r="J114">
        <v>26.9278</v>
      </c>
    </row>
    <row r="115" spans="1:8">
      <c r="A115" t="s">
        <v>796</v>
      </c>
      <c r="B115">
        <v>2.22</v>
      </c>
      <c r="C115">
        <v>1.3</v>
      </c>
      <c r="D115">
        <v>3.03</v>
      </c>
      <c r="E115" s="2">
        <v>379768208.63</v>
      </c>
      <c r="F115" t="s">
        <v>797</v>
      </c>
      <c r="G115">
        <v>2.54</v>
      </c>
      <c r="H115">
        <v>4.63</v>
      </c>
    </row>
    <row r="116" spans="1:10">
      <c r="A116" t="s">
        <v>782</v>
      </c>
      <c r="B116">
        <v>29.89</v>
      </c>
      <c r="C116">
        <v>28.25</v>
      </c>
      <c r="D116">
        <v>36.46</v>
      </c>
      <c r="E116" s="2">
        <v>187173000000</v>
      </c>
      <c r="F116" t="s">
        <v>783</v>
      </c>
      <c r="G116">
        <v>2.75</v>
      </c>
      <c r="H116">
        <v>3.78</v>
      </c>
      <c r="I116">
        <v>15.87</v>
      </c>
      <c r="J116">
        <v>13.5045</v>
      </c>
    </row>
    <row r="117" spans="1:8">
      <c r="A117" t="s">
        <v>370</v>
      </c>
      <c r="B117">
        <v>36.42</v>
      </c>
      <c r="C117">
        <v>32.98</v>
      </c>
      <c r="D117">
        <v>70.26</v>
      </c>
      <c r="E117" s="2">
        <v>113060000</v>
      </c>
      <c r="F117" t="s">
        <v>371</v>
      </c>
      <c r="G117" t="s">
        <v>372</v>
      </c>
      <c r="H117">
        <v>0</v>
      </c>
    </row>
    <row r="118" spans="1:9">
      <c r="A118" t="s">
        <v>613</v>
      </c>
      <c r="B118">
        <v>0.86</v>
      </c>
      <c r="C118">
        <v>0.62</v>
      </c>
      <c r="D118">
        <v>1.16</v>
      </c>
      <c r="E118" s="2">
        <v>18108792.49</v>
      </c>
      <c r="F118" t="s">
        <v>614</v>
      </c>
      <c r="G118">
        <v>0.19</v>
      </c>
      <c r="H118">
        <v>0.1492</v>
      </c>
      <c r="I118">
        <v>5.4813</v>
      </c>
    </row>
    <row r="119" spans="1:10">
      <c r="A119" t="s">
        <v>631</v>
      </c>
      <c r="B119">
        <v>140.06</v>
      </c>
      <c r="C119">
        <v>94.17</v>
      </c>
      <c r="D119">
        <v>186.45</v>
      </c>
      <c r="E119" s="2">
        <v>18527055299.02</v>
      </c>
      <c r="F119" t="s">
        <v>632</v>
      </c>
      <c r="G119">
        <v>4.16</v>
      </c>
      <c r="H119">
        <v>5.26</v>
      </c>
      <c r="I119">
        <v>26.0354</v>
      </c>
      <c r="J119">
        <v>19.9901</v>
      </c>
    </row>
    <row r="120" spans="1:9">
      <c r="A120" t="s">
        <v>792</v>
      </c>
      <c r="B120">
        <v>4.4</v>
      </c>
      <c r="C120">
        <v>2.72</v>
      </c>
      <c r="D120">
        <v>6.54</v>
      </c>
      <c r="E120" s="2">
        <v>383954722.85</v>
      </c>
      <c r="F120" t="s">
        <v>793</v>
      </c>
      <c r="G120">
        <v>0.94</v>
      </c>
      <c r="H120">
        <v>1.12</v>
      </c>
      <c r="I120">
        <v>11.7</v>
      </c>
    </row>
    <row r="121" spans="1:9">
      <c r="A121" t="s">
        <v>607</v>
      </c>
      <c r="B121">
        <v>2.25</v>
      </c>
      <c r="C121">
        <v>1.51</v>
      </c>
      <c r="D121">
        <v>3.3</v>
      </c>
      <c r="E121" s="2">
        <v>224102276.9</v>
      </c>
      <c r="F121" t="s">
        <v>608</v>
      </c>
      <c r="G121">
        <v>1.75</v>
      </c>
      <c r="H121">
        <v>0.46</v>
      </c>
      <c r="I121">
        <v>116.6266</v>
      </c>
    </row>
    <row r="122" spans="1:10">
      <c r="A122" t="s">
        <v>730</v>
      </c>
      <c r="B122">
        <v>23.77</v>
      </c>
      <c r="C122">
        <v>18.66</v>
      </c>
      <c r="D122">
        <v>37.96</v>
      </c>
      <c r="E122" s="2">
        <v>1347776708.08</v>
      </c>
      <c r="F122" t="s">
        <v>731</v>
      </c>
      <c r="G122">
        <v>3.53</v>
      </c>
      <c r="H122">
        <v>4.3</v>
      </c>
      <c r="I122">
        <v>15.45</v>
      </c>
      <c r="J122">
        <v>16.0133</v>
      </c>
    </row>
    <row r="123" spans="1:8">
      <c r="A123" t="s">
        <v>167</v>
      </c>
      <c r="B123">
        <v>0.7725</v>
      </c>
      <c r="C123">
        <v>0.521</v>
      </c>
      <c r="D123">
        <v>2.45</v>
      </c>
      <c r="E123">
        <v>4849220</v>
      </c>
      <c r="F123" t="s">
        <v>168</v>
      </c>
      <c r="G123">
        <v>0.15</v>
      </c>
      <c r="H123">
        <v>0.58</v>
      </c>
    </row>
    <row r="124" spans="1:8">
      <c r="A124" t="s">
        <v>571</v>
      </c>
      <c r="B124">
        <v>2.25</v>
      </c>
      <c r="C124">
        <v>0.9</v>
      </c>
      <c r="D124">
        <v>4.49</v>
      </c>
      <c r="E124" s="2">
        <v>52666270</v>
      </c>
      <c r="F124" t="s">
        <v>572</v>
      </c>
      <c r="G124">
        <v>-6.8</v>
      </c>
      <c r="H124">
        <v>5.5641</v>
      </c>
    </row>
    <row r="125" spans="1:9">
      <c r="A125" t="s">
        <v>645</v>
      </c>
      <c r="B125">
        <v>2.41</v>
      </c>
      <c r="C125">
        <v>1.86</v>
      </c>
      <c r="D125">
        <v>3.82</v>
      </c>
      <c r="E125" s="2">
        <v>298930060.21</v>
      </c>
      <c r="F125" t="s">
        <v>646</v>
      </c>
      <c r="G125">
        <v>0.56</v>
      </c>
      <c r="H125">
        <v>0.37</v>
      </c>
      <c r="I125">
        <v>7.2424</v>
      </c>
    </row>
    <row r="126" spans="1:8">
      <c r="A126" t="s">
        <v>732</v>
      </c>
      <c r="B126">
        <v>12.65</v>
      </c>
      <c r="C126">
        <v>6.72</v>
      </c>
      <c r="D126">
        <v>19.89</v>
      </c>
      <c r="E126" s="2">
        <v>2587933796.42</v>
      </c>
      <c r="F126" t="s">
        <v>733</v>
      </c>
      <c r="G126">
        <v>5.22</v>
      </c>
      <c r="H126">
        <v>19.71</v>
      </c>
    </row>
    <row r="127" spans="1:9">
      <c r="A127" t="s">
        <v>615</v>
      </c>
      <c r="B127">
        <v>3.8</v>
      </c>
      <c r="C127">
        <v>2.6</v>
      </c>
      <c r="D127">
        <v>4.42</v>
      </c>
      <c r="E127" s="2">
        <v>49684428.9</v>
      </c>
      <c r="F127" t="s">
        <v>616</v>
      </c>
      <c r="G127">
        <v>0.91</v>
      </c>
      <c r="H127">
        <v>1.0301</v>
      </c>
      <c r="I127">
        <v>10.0526</v>
      </c>
    </row>
    <row r="128" spans="1:8">
      <c r="A128" t="s">
        <v>619</v>
      </c>
      <c r="B128">
        <v>17.5</v>
      </c>
      <c r="C128">
        <v>12.62</v>
      </c>
      <c r="D128">
        <v>27.25</v>
      </c>
      <c r="E128" s="2">
        <v>630840559.05</v>
      </c>
      <c r="F128" t="s">
        <v>620</v>
      </c>
      <c r="G128">
        <v>3.4</v>
      </c>
      <c r="H128">
        <v>4.29</v>
      </c>
    </row>
    <row r="129" spans="1:8">
      <c r="A129" t="s">
        <v>728</v>
      </c>
      <c r="B129">
        <v>2.23</v>
      </c>
      <c r="C129">
        <v>1.95</v>
      </c>
      <c r="D129">
        <v>6.46</v>
      </c>
      <c r="E129" s="2">
        <v>114974644.12</v>
      </c>
      <c r="F129" t="s">
        <v>729</v>
      </c>
      <c r="G129">
        <v>119</v>
      </c>
      <c r="H129">
        <v>0.3</v>
      </c>
    </row>
    <row r="130" spans="1:10">
      <c r="A130" t="s">
        <v>760</v>
      </c>
      <c r="B130">
        <v>4</v>
      </c>
      <c r="C130">
        <v>3.28</v>
      </c>
      <c r="D130">
        <v>10.82</v>
      </c>
      <c r="E130" s="2">
        <v>540071628.04</v>
      </c>
      <c r="F130" t="s">
        <v>761</v>
      </c>
      <c r="G130">
        <v>1.31</v>
      </c>
      <c r="H130">
        <v>1.3</v>
      </c>
      <c r="I130">
        <v>14.41</v>
      </c>
      <c r="J130">
        <v>11.7941</v>
      </c>
    </row>
    <row r="131" spans="1:10">
      <c r="A131" t="s">
        <v>1483</v>
      </c>
      <c r="B131">
        <v>9.56</v>
      </c>
      <c r="C131">
        <v>6.34</v>
      </c>
      <c r="D131">
        <v>21.15</v>
      </c>
      <c r="E131" s="2">
        <v>3393213134.44</v>
      </c>
      <c r="F131" t="s">
        <v>1487</v>
      </c>
      <c r="G131" t="s">
        <v>1488</v>
      </c>
      <c r="H131">
        <v>3.28</v>
      </c>
      <c r="I131">
        <v>8.48</v>
      </c>
      <c r="J131">
        <v>1021.5</v>
      </c>
    </row>
    <row r="132" spans="1:10">
      <c r="A132" t="s">
        <v>764</v>
      </c>
      <c r="B132">
        <v>7.4</v>
      </c>
      <c r="C132">
        <v>4.9</v>
      </c>
      <c r="D132">
        <v>8.58</v>
      </c>
      <c r="E132" s="2">
        <v>347712994.14</v>
      </c>
      <c r="F132" t="s">
        <v>765</v>
      </c>
      <c r="G132">
        <v>1.15</v>
      </c>
      <c r="H132">
        <v>1.75</v>
      </c>
      <c r="I132">
        <v>9.71</v>
      </c>
      <c r="J132">
        <v>16.4222</v>
      </c>
    </row>
    <row r="133" spans="1:8">
      <c r="A133" t="s">
        <v>635</v>
      </c>
      <c r="B133">
        <v>0.8111</v>
      </c>
      <c r="C133">
        <v>0.54</v>
      </c>
      <c r="D133">
        <v>1.6</v>
      </c>
      <c r="E133" s="2">
        <v>40544376.97</v>
      </c>
      <c r="F133" t="s">
        <v>636</v>
      </c>
      <c r="G133">
        <v>-7.65</v>
      </c>
      <c r="H133">
        <v>3.5481</v>
      </c>
    </row>
    <row r="134" spans="1:9">
      <c r="A134" t="s">
        <v>595</v>
      </c>
      <c r="B134">
        <v>2.23</v>
      </c>
      <c r="C134">
        <v>2.05</v>
      </c>
      <c r="D134">
        <v>7.88</v>
      </c>
      <c r="E134">
        <v>3257280</v>
      </c>
      <c r="F134" t="s">
        <v>596</v>
      </c>
      <c r="G134">
        <v>0.16</v>
      </c>
      <c r="H134">
        <v>0.36</v>
      </c>
      <c r="I134">
        <v>0.9831</v>
      </c>
    </row>
    <row r="135" spans="1:11">
      <c r="A135" t="s">
        <v>1469</v>
      </c>
      <c r="B135">
        <v>18.9</v>
      </c>
      <c r="C135">
        <v>11.2</v>
      </c>
      <c r="D135">
        <v>44.71</v>
      </c>
      <c r="E135" s="2">
        <v>42176389500</v>
      </c>
      <c r="F135" t="s">
        <v>1470</v>
      </c>
      <c r="G135" t="s">
        <v>1471</v>
      </c>
      <c r="H135">
        <v>1.2</v>
      </c>
      <c r="I135">
        <v>2.88</v>
      </c>
      <c r="J135">
        <v>45.01</v>
      </c>
      <c r="K135">
        <v>189</v>
      </c>
    </row>
    <row r="136" spans="1:9">
      <c r="A136" t="s">
        <v>148</v>
      </c>
      <c r="B136">
        <v>1.03</v>
      </c>
      <c r="C136">
        <v>0.49</v>
      </c>
      <c r="D136">
        <v>1.45</v>
      </c>
      <c r="E136" s="2">
        <v>68602042.08</v>
      </c>
      <c r="F136" t="s">
        <v>149</v>
      </c>
      <c r="G136">
        <v>0.26</v>
      </c>
      <c r="H136">
        <v>0.07</v>
      </c>
      <c r="I136">
        <v>1.7931</v>
      </c>
    </row>
    <row r="137" spans="1:10">
      <c r="A137" t="s">
        <v>770</v>
      </c>
      <c r="B137">
        <v>21.09</v>
      </c>
      <c r="C137">
        <v>10.2</v>
      </c>
      <c r="D137">
        <v>22.67</v>
      </c>
      <c r="E137" s="2">
        <v>1384502638.14</v>
      </c>
      <c r="F137" t="s">
        <v>771</v>
      </c>
      <c r="G137">
        <v>4.16</v>
      </c>
      <c r="H137">
        <v>4.05</v>
      </c>
      <c r="I137">
        <v>26.18</v>
      </c>
      <c r="J137">
        <v>46.9556</v>
      </c>
    </row>
    <row r="138" spans="1:9">
      <c r="A138" t="s">
        <v>1201</v>
      </c>
      <c r="B138">
        <v>5.71</v>
      </c>
      <c r="C138">
        <v>3.12</v>
      </c>
      <c r="D138">
        <v>5.73</v>
      </c>
      <c r="E138" s="2">
        <v>93913568.32</v>
      </c>
      <c r="F138" t="s">
        <v>1202</v>
      </c>
      <c r="G138">
        <v>0.42</v>
      </c>
      <c r="H138">
        <v>0.35</v>
      </c>
      <c r="I138">
        <v>5.7778</v>
      </c>
    </row>
    <row r="139" spans="1:9">
      <c r="A139" t="s">
        <v>639</v>
      </c>
      <c r="B139">
        <v>5.31</v>
      </c>
      <c r="C139">
        <v>2.9</v>
      </c>
      <c r="D139">
        <v>6.85</v>
      </c>
      <c r="E139" s="2">
        <v>116015303.76</v>
      </c>
      <c r="F139" t="s">
        <v>640</v>
      </c>
      <c r="G139">
        <v>1.5</v>
      </c>
      <c r="H139">
        <v>1.27</v>
      </c>
      <c r="I139">
        <v>39.6923</v>
      </c>
    </row>
    <row r="140" spans="1:10">
      <c r="A140" t="s">
        <v>603</v>
      </c>
      <c r="B140">
        <v>32.89</v>
      </c>
      <c r="C140">
        <v>22.23</v>
      </c>
      <c r="D140">
        <v>37.77</v>
      </c>
      <c r="E140" s="2">
        <v>1870465667.04</v>
      </c>
      <c r="F140" t="s">
        <v>604</v>
      </c>
      <c r="G140">
        <v>3.1</v>
      </c>
      <c r="H140">
        <v>6.39</v>
      </c>
      <c r="I140">
        <v>23.3155</v>
      </c>
      <c r="J140">
        <v>23.7612</v>
      </c>
    </row>
    <row r="141" spans="1:10">
      <c r="A141" t="s">
        <v>762</v>
      </c>
      <c r="B141">
        <v>6.28</v>
      </c>
      <c r="C141">
        <v>4.9</v>
      </c>
      <c r="D141">
        <v>28.17</v>
      </c>
      <c r="E141" s="2">
        <v>913340255.12</v>
      </c>
      <c r="F141" t="s">
        <v>763</v>
      </c>
      <c r="G141">
        <v>1.66</v>
      </c>
      <c r="H141">
        <v>0.9</v>
      </c>
      <c r="I141">
        <v>23.29</v>
      </c>
      <c r="J141">
        <v>33.1053</v>
      </c>
    </row>
    <row r="142" spans="1:10">
      <c r="A142" t="s">
        <v>454</v>
      </c>
      <c r="B142">
        <v>23.69</v>
      </c>
      <c r="C142">
        <v>14.32</v>
      </c>
      <c r="D142">
        <v>32.28</v>
      </c>
      <c r="E142" s="2">
        <v>728375393.45</v>
      </c>
      <c r="F142" t="s">
        <v>455</v>
      </c>
      <c r="G142">
        <v>1.2</v>
      </c>
      <c r="H142">
        <v>0.37</v>
      </c>
      <c r="I142">
        <v>24.1952</v>
      </c>
      <c r="J142">
        <v>14.2378</v>
      </c>
    </row>
    <row r="143" spans="1:9">
      <c r="A143" t="s">
        <v>718</v>
      </c>
      <c r="B143">
        <v>25.59</v>
      </c>
      <c r="C143">
        <v>21.55</v>
      </c>
      <c r="D143">
        <v>38</v>
      </c>
      <c r="E143" s="2">
        <v>36200433705.2</v>
      </c>
      <c r="F143" t="s">
        <v>719</v>
      </c>
      <c r="G143">
        <v>6.43</v>
      </c>
      <c r="H143">
        <v>1.41</v>
      </c>
      <c r="I143">
        <v>2646</v>
      </c>
    </row>
    <row r="144" spans="1:9">
      <c r="A144" t="s">
        <v>665</v>
      </c>
      <c r="B144">
        <v>9.22</v>
      </c>
      <c r="C144">
        <v>6.3</v>
      </c>
      <c r="D144">
        <v>10.8</v>
      </c>
      <c r="E144" s="2">
        <v>462721712.11</v>
      </c>
      <c r="F144" t="s">
        <v>666</v>
      </c>
      <c r="G144">
        <v>0.51</v>
      </c>
      <c r="H144">
        <v>0.23</v>
      </c>
      <c r="I144">
        <v>5.8782</v>
      </c>
    </row>
    <row r="145" spans="1:7">
      <c r="A145" t="s">
        <v>248</v>
      </c>
      <c r="B145">
        <v>0</v>
      </c>
      <c r="C145">
        <v>0</v>
      </c>
      <c r="D145">
        <v>0</v>
      </c>
      <c r="E145">
        <v>0</v>
      </c>
      <c r="F145" t="s">
        <v>249</v>
      </c>
      <c r="G145">
        <v>0</v>
      </c>
    </row>
    <row r="146" spans="1:7">
      <c r="A146" t="s">
        <v>735</v>
      </c>
      <c r="B146">
        <v>1077.96</v>
      </c>
      <c r="C146">
        <v>862.79</v>
      </c>
      <c r="D146">
        <v>1443.72</v>
      </c>
      <c r="E146">
        <v>0</v>
      </c>
      <c r="F146" t="s">
        <v>736</v>
      </c>
      <c r="G146">
        <v>0</v>
      </c>
    </row>
    <row r="147" spans="1:9">
      <c r="A147" t="s">
        <v>404</v>
      </c>
      <c r="B147">
        <v>264.24</v>
      </c>
      <c r="C147">
        <v>240.03</v>
      </c>
      <c r="D147">
        <v>400.79</v>
      </c>
      <c r="E147" s="2">
        <v>7770000000</v>
      </c>
      <c r="F147" t="s">
        <v>405</v>
      </c>
      <c r="G147" t="s">
        <v>406</v>
      </c>
      <c r="H147">
        <v>0</v>
      </c>
      <c r="I147">
        <v>4.4995</v>
      </c>
    </row>
    <row r="148" spans="1:8">
      <c r="A148" t="s">
        <v>204</v>
      </c>
      <c r="B148">
        <v>0</v>
      </c>
      <c r="C148">
        <v>0</v>
      </c>
      <c r="D148">
        <v>0</v>
      </c>
      <c r="E148">
        <v>0</v>
      </c>
      <c r="F148" t="s">
        <v>205</v>
      </c>
      <c r="G148">
        <v>0</v>
      </c>
      <c r="H148" t="s">
        <v>45</v>
      </c>
    </row>
    <row r="149" spans="1:10">
      <c r="A149" t="s">
        <v>668</v>
      </c>
      <c r="B149">
        <v>20.75</v>
      </c>
      <c r="C149">
        <v>15</v>
      </c>
      <c r="D149">
        <v>27.06</v>
      </c>
      <c r="E149" s="2">
        <v>1223229441</v>
      </c>
      <c r="F149" t="s">
        <v>669</v>
      </c>
      <c r="G149">
        <v>2</v>
      </c>
      <c r="H149">
        <v>2.27</v>
      </c>
      <c r="I149">
        <v>15.01</v>
      </c>
      <c r="J149">
        <v>15.4412</v>
      </c>
    </row>
    <row r="150" spans="1:9">
      <c r="A150" t="s">
        <v>412</v>
      </c>
      <c r="B150">
        <v>24.88</v>
      </c>
      <c r="C150">
        <v>11.52</v>
      </c>
      <c r="D150">
        <v>46.89</v>
      </c>
      <c r="E150" s="2">
        <v>54985741384.12</v>
      </c>
      <c r="F150" t="s">
        <v>413</v>
      </c>
      <c r="G150">
        <v>0.15</v>
      </c>
      <c r="H150" t="s">
        <v>45</v>
      </c>
      <c r="I150">
        <v>26.022</v>
      </c>
    </row>
    <row r="151" spans="1:9">
      <c r="A151" t="s">
        <v>315</v>
      </c>
      <c r="B151">
        <v>51413.41</v>
      </c>
      <c r="C151">
        <v>46669.06</v>
      </c>
      <c r="D151">
        <v>57904.25</v>
      </c>
      <c r="E151" s="2">
        <v>3992208000</v>
      </c>
      <c r="F151" t="s">
        <v>316</v>
      </c>
      <c r="G151">
        <v>332.18</v>
      </c>
      <c r="H151" t="s">
        <v>45</v>
      </c>
      <c r="I151">
        <v>11.782</v>
      </c>
    </row>
    <row r="152" spans="1:9">
      <c r="A152" t="s">
        <v>823</v>
      </c>
      <c r="B152">
        <v>19941.76</v>
      </c>
      <c r="C152">
        <v>18278.8</v>
      </c>
      <c r="D152">
        <v>28588.52</v>
      </c>
      <c r="E152" s="2">
        <v>5959270100</v>
      </c>
      <c r="F152" t="s">
        <v>824</v>
      </c>
      <c r="G152">
        <v>129.57</v>
      </c>
      <c r="H152" t="s">
        <v>45</v>
      </c>
      <c r="I152">
        <v>9.992</v>
      </c>
    </row>
    <row r="153" spans="1:8">
      <c r="A153" t="s">
        <v>349</v>
      </c>
      <c r="B153">
        <v>8390.79</v>
      </c>
      <c r="C153">
        <v>7498.81</v>
      </c>
      <c r="D153">
        <v>14962.74</v>
      </c>
      <c r="E153" s="2">
        <v>19821016393659.2</v>
      </c>
      <c r="F153" t="s">
        <v>350</v>
      </c>
      <c r="G153">
        <v>54.95</v>
      </c>
      <c r="H153" t="s">
        <v>45</v>
      </c>
    </row>
    <row r="154" spans="1:10">
      <c r="A154" t="s">
        <v>660</v>
      </c>
      <c r="B154">
        <v>0.1558</v>
      </c>
      <c r="C154">
        <v>0.0604</v>
      </c>
      <c r="D154">
        <v>0.2943</v>
      </c>
      <c r="E154" s="2">
        <v>38562992.8</v>
      </c>
      <c r="F154" t="s">
        <v>661</v>
      </c>
      <c r="G154" t="s">
        <v>662</v>
      </c>
      <c r="H154" t="s">
        <v>389</v>
      </c>
      <c r="I154">
        <v>1.66</v>
      </c>
      <c r="J154">
        <v>272.9476</v>
      </c>
    </row>
    <row r="155" spans="1:7">
      <c r="A155" t="s">
        <v>709</v>
      </c>
      <c r="B155">
        <v>1555.45</v>
      </c>
      <c r="C155">
        <v>1334.7</v>
      </c>
      <c r="D155">
        <v>1641.95</v>
      </c>
      <c r="E155">
        <v>0</v>
      </c>
      <c r="F155" t="s">
        <v>710</v>
      </c>
      <c r="G155">
        <v>0</v>
      </c>
    </row>
    <row r="156" spans="1:8">
      <c r="A156" t="s">
        <v>64</v>
      </c>
      <c r="B156">
        <v>1.59</v>
      </c>
      <c r="C156">
        <v>0.53</v>
      </c>
      <c r="D156">
        <v>5.2</v>
      </c>
      <c r="E156" s="2">
        <v>94354285.82</v>
      </c>
      <c r="F156" t="s">
        <v>65</v>
      </c>
      <c r="G156">
        <v>-0.02</v>
      </c>
      <c r="H156">
        <v>0.01</v>
      </c>
    </row>
    <row r="157" spans="1:10">
      <c r="A157" t="s">
        <v>1467</v>
      </c>
      <c r="B157">
        <v>4.86</v>
      </c>
      <c r="C157">
        <v>2.15</v>
      </c>
      <c r="D157">
        <v>8.05</v>
      </c>
      <c r="E157" s="2">
        <v>2942451724.92</v>
      </c>
      <c r="F157" t="s">
        <v>1468</v>
      </c>
      <c r="G157">
        <v>6.06</v>
      </c>
      <c r="H157">
        <v>0.91</v>
      </c>
      <c r="I157">
        <v>147.8</v>
      </c>
      <c r="J157">
        <v>43.5455</v>
      </c>
    </row>
    <row r="158" spans="1:10">
      <c r="A158" t="s">
        <v>410</v>
      </c>
      <c r="B158">
        <v>13.58</v>
      </c>
      <c r="C158">
        <v>9.01</v>
      </c>
      <c r="D158">
        <v>65.49</v>
      </c>
      <c r="E158" s="2">
        <v>1837317019.44</v>
      </c>
      <c r="F158" t="s">
        <v>411</v>
      </c>
      <c r="G158">
        <v>2.37</v>
      </c>
      <c r="H158">
        <v>1.15</v>
      </c>
      <c r="I158">
        <v>34.14</v>
      </c>
      <c r="J158">
        <v>10.1985</v>
      </c>
    </row>
    <row r="159" spans="1:10">
      <c r="A159" t="s">
        <v>239</v>
      </c>
      <c r="B159">
        <v>91.67</v>
      </c>
      <c r="C159">
        <v>39.8</v>
      </c>
      <c r="D159">
        <v>130.21</v>
      </c>
      <c r="E159" s="2">
        <v>14820756417</v>
      </c>
      <c r="F159" t="s">
        <v>240</v>
      </c>
      <c r="G159">
        <v>5.43</v>
      </c>
      <c r="H159">
        <v>3.12</v>
      </c>
      <c r="I159">
        <v>28.86</v>
      </c>
      <c r="J159">
        <v>26.8827</v>
      </c>
    </row>
    <row r="160" spans="1:7">
      <c r="A160" t="s">
        <v>1465</v>
      </c>
      <c r="B160">
        <v>120.73</v>
      </c>
      <c r="C160">
        <v>100.23</v>
      </c>
      <c r="D160">
        <v>122.37</v>
      </c>
      <c r="E160" s="2">
        <v>28310000000</v>
      </c>
      <c r="F160" t="s">
        <v>1466</v>
      </c>
      <c r="G160">
        <v>0</v>
      </c>
    </row>
    <row r="161" spans="1:8">
      <c r="A161" t="s">
        <v>414</v>
      </c>
      <c r="B161">
        <v>47.77</v>
      </c>
      <c r="C161">
        <v>24.54</v>
      </c>
      <c r="D161">
        <v>63.31</v>
      </c>
      <c r="E161" s="2">
        <v>40310000</v>
      </c>
      <c r="F161" t="s">
        <v>415</v>
      </c>
      <c r="G161" t="s">
        <v>416</v>
      </c>
      <c r="H161">
        <v>0</v>
      </c>
    </row>
    <row r="162" spans="1:10">
      <c r="A162" t="s">
        <v>807</v>
      </c>
      <c r="B162">
        <v>69.71</v>
      </c>
      <c r="C162">
        <v>40.25</v>
      </c>
      <c r="D162">
        <v>73.71</v>
      </c>
      <c r="E162" s="2">
        <v>7015966394.8</v>
      </c>
      <c r="F162" t="s">
        <v>808</v>
      </c>
      <c r="G162">
        <v>1.28</v>
      </c>
      <c r="H162">
        <v>1.98</v>
      </c>
      <c r="I162">
        <v>16.93</v>
      </c>
      <c r="J162">
        <v>12.3922</v>
      </c>
    </row>
    <row r="163" spans="1:8">
      <c r="A163" t="s">
        <v>464</v>
      </c>
      <c r="B163">
        <v>22.08</v>
      </c>
      <c r="C163">
        <v>19.35</v>
      </c>
      <c r="D163">
        <v>23.1</v>
      </c>
      <c r="E163" s="2">
        <v>53260000</v>
      </c>
      <c r="F163" t="s">
        <v>465</v>
      </c>
      <c r="G163">
        <v>0.97</v>
      </c>
      <c r="H163">
        <v>46.9787</v>
      </c>
    </row>
    <row r="164" spans="1:10">
      <c r="A164" t="s">
        <v>768</v>
      </c>
      <c r="B164">
        <v>109.58</v>
      </c>
      <c r="C164">
        <v>72</v>
      </c>
      <c r="D164">
        <v>117.59</v>
      </c>
      <c r="E164" s="2">
        <v>306526275404.67</v>
      </c>
      <c r="F164" t="s">
        <v>769</v>
      </c>
      <c r="G164">
        <v>6.95</v>
      </c>
      <c r="H164">
        <v>17.4</v>
      </c>
      <c r="I164">
        <v>38.19</v>
      </c>
      <c r="J164">
        <v>109.4848</v>
      </c>
    </row>
    <row r="165" spans="1:10">
      <c r="A165" t="s">
        <v>158</v>
      </c>
      <c r="B165">
        <v>1.491</v>
      </c>
      <c r="C165">
        <v>0</v>
      </c>
      <c r="D165">
        <v>0</v>
      </c>
      <c r="E165">
        <v>0</v>
      </c>
      <c r="F165" t="s">
        <v>159</v>
      </c>
      <c r="G165">
        <v>0</v>
      </c>
      <c r="H165" t="s">
        <v>45</v>
      </c>
      <c r="I165">
        <v>1.528</v>
      </c>
      <c r="J165">
        <v>1.528</v>
      </c>
    </row>
    <row r="166" spans="1:9">
      <c r="A166" t="s">
        <v>422</v>
      </c>
      <c r="B166">
        <v>18.81</v>
      </c>
      <c r="C166">
        <v>16.77</v>
      </c>
      <c r="D166">
        <v>24.65</v>
      </c>
      <c r="E166" s="2">
        <v>2460000000</v>
      </c>
      <c r="F166" t="s">
        <v>423</v>
      </c>
      <c r="G166" t="s">
        <v>424</v>
      </c>
      <c r="H166">
        <v>0</v>
      </c>
      <c r="I166">
        <v>14.8217</v>
      </c>
    </row>
    <row r="167" spans="1:10">
      <c r="A167" t="s">
        <v>788</v>
      </c>
      <c r="B167">
        <v>6.08</v>
      </c>
      <c r="C167">
        <v>4.86</v>
      </c>
      <c r="D167">
        <v>7.18</v>
      </c>
      <c r="E167" s="2">
        <v>884245271</v>
      </c>
      <c r="F167" t="s">
        <v>789</v>
      </c>
      <c r="G167">
        <v>0.93</v>
      </c>
      <c r="H167">
        <v>0.86</v>
      </c>
      <c r="I167">
        <v>13.42</v>
      </c>
      <c r="J167">
        <v>68.8889</v>
      </c>
    </row>
    <row r="168" spans="1:9">
      <c r="A168" t="s">
        <v>656</v>
      </c>
      <c r="B168">
        <v>12.4</v>
      </c>
      <c r="C168">
        <v>8</v>
      </c>
      <c r="D168">
        <v>19</v>
      </c>
      <c r="E168" s="2">
        <v>845157283.3</v>
      </c>
      <c r="F168" t="s">
        <v>657</v>
      </c>
      <c r="G168">
        <v>1.4</v>
      </c>
      <c r="H168">
        <v>4.33</v>
      </c>
      <c r="I168">
        <v>8.8777</v>
      </c>
    </row>
    <row r="169" spans="1:9">
      <c r="A169" t="s">
        <v>605</v>
      </c>
      <c r="B169">
        <v>7.2</v>
      </c>
      <c r="C169">
        <v>3.8</v>
      </c>
      <c r="D169">
        <v>18.38</v>
      </c>
      <c r="E169" s="2">
        <v>27016902.64</v>
      </c>
      <c r="F169" t="s">
        <v>606</v>
      </c>
      <c r="G169">
        <v>1.59</v>
      </c>
      <c r="H169">
        <v>1.02</v>
      </c>
      <c r="I169">
        <v>17.6667</v>
      </c>
    </row>
    <row r="170" spans="1:7">
      <c r="A170" t="s">
        <v>711</v>
      </c>
      <c r="B170">
        <v>1585.98</v>
      </c>
      <c r="C170">
        <v>1058.82</v>
      </c>
      <c r="D170">
        <v>1756.7</v>
      </c>
      <c r="E170">
        <v>0</v>
      </c>
      <c r="F170" t="s">
        <v>712</v>
      </c>
      <c r="G170">
        <v>0</v>
      </c>
    </row>
    <row r="171" spans="1:10">
      <c r="A171" t="s">
        <v>625</v>
      </c>
      <c r="B171">
        <v>31.8</v>
      </c>
      <c r="C171">
        <v>18.09</v>
      </c>
      <c r="D171">
        <v>33.56</v>
      </c>
      <c r="E171" s="2">
        <v>4909060000</v>
      </c>
      <c r="F171" t="s">
        <v>626</v>
      </c>
      <c r="G171">
        <v>3.78</v>
      </c>
      <c r="H171">
        <v>3.68</v>
      </c>
      <c r="I171">
        <v>15.28</v>
      </c>
      <c r="J171">
        <v>23.3609</v>
      </c>
    </row>
    <row r="172" spans="1:7">
      <c r="A172" t="s">
        <v>324</v>
      </c>
      <c r="B172">
        <v>10.97</v>
      </c>
      <c r="C172">
        <v>7.11</v>
      </c>
      <c r="D172">
        <v>31.41</v>
      </c>
      <c r="E172" s="2">
        <v>153490000</v>
      </c>
      <c r="F172" t="s">
        <v>325</v>
      </c>
      <c r="G172">
        <v>0</v>
      </c>
    </row>
    <row r="173" spans="1:8">
      <c r="A173" t="s">
        <v>441</v>
      </c>
      <c r="B173">
        <v>66.4</v>
      </c>
      <c r="C173">
        <v>47.92</v>
      </c>
      <c r="D173">
        <v>103.29</v>
      </c>
      <c r="E173" s="2">
        <v>5432940706.54</v>
      </c>
      <c r="F173" t="s">
        <v>442</v>
      </c>
      <c r="G173">
        <v>24.66</v>
      </c>
      <c r="H173">
        <v>13.5</v>
      </c>
    </row>
    <row r="174" spans="1:8">
      <c r="A174" t="s">
        <v>32</v>
      </c>
      <c r="B174">
        <v>205.82</v>
      </c>
      <c r="C174">
        <v>56.36</v>
      </c>
      <c r="D174">
        <v>274.34</v>
      </c>
      <c r="E174" s="2">
        <v>61810000</v>
      </c>
      <c r="F174" t="s">
        <v>33</v>
      </c>
      <c r="G174" t="s">
        <v>34</v>
      </c>
      <c r="H174">
        <v>0</v>
      </c>
    </row>
    <row r="175" spans="1:9">
      <c r="A175" t="s">
        <v>700</v>
      </c>
      <c r="B175">
        <v>13.59</v>
      </c>
      <c r="C175">
        <v>6.64</v>
      </c>
      <c r="D175">
        <v>14.68</v>
      </c>
      <c r="E175" s="2">
        <v>593477266.2</v>
      </c>
      <c r="F175" t="s">
        <v>701</v>
      </c>
      <c r="G175">
        <v>2.95</v>
      </c>
      <c r="H175">
        <v>2.77</v>
      </c>
      <c r="I175">
        <v>132.3666</v>
      </c>
    </row>
    <row r="176" spans="1:7">
      <c r="A176" t="s">
        <v>417</v>
      </c>
      <c r="B176">
        <v>73.57</v>
      </c>
      <c r="C176">
        <v>51.92</v>
      </c>
      <c r="D176">
        <v>97.11</v>
      </c>
      <c r="E176" s="2">
        <v>94950000</v>
      </c>
      <c r="F176" t="s">
        <v>418</v>
      </c>
      <c r="G176">
        <v>0</v>
      </c>
    </row>
    <row r="177" spans="1:10">
      <c r="A177" t="s">
        <v>671</v>
      </c>
      <c r="B177">
        <v>13.55</v>
      </c>
      <c r="C177">
        <v>7.85</v>
      </c>
      <c r="D177">
        <v>22</v>
      </c>
      <c r="E177" s="2">
        <v>495220106.03</v>
      </c>
      <c r="F177" t="s">
        <v>672</v>
      </c>
      <c r="G177">
        <v>9.34</v>
      </c>
      <c r="H177">
        <v>4.28</v>
      </c>
      <c r="I177">
        <v>20.74</v>
      </c>
      <c r="J177">
        <v>20.1594</v>
      </c>
    </row>
    <row r="178" spans="1:7">
      <c r="A178" t="s">
        <v>271</v>
      </c>
      <c r="B178">
        <v>16943.9</v>
      </c>
      <c r="C178">
        <v>15370.33</v>
      </c>
      <c r="D178">
        <v>18351.36</v>
      </c>
      <c r="E178">
        <v>0</v>
      </c>
      <c r="F178" t="s">
        <v>272</v>
      </c>
      <c r="G178">
        <v>0</v>
      </c>
    </row>
    <row r="179" spans="1:9">
      <c r="A179" t="s">
        <v>150</v>
      </c>
      <c r="B179">
        <v>1.73</v>
      </c>
      <c r="C179">
        <v>1.22</v>
      </c>
      <c r="D179">
        <v>4.29</v>
      </c>
      <c r="E179" s="2">
        <v>10054561</v>
      </c>
      <c r="F179" t="s">
        <v>151</v>
      </c>
      <c r="G179">
        <v>0.28</v>
      </c>
      <c r="H179">
        <v>1.54</v>
      </c>
      <c r="I179">
        <v>9.5556</v>
      </c>
    </row>
    <row r="180" spans="1:10">
      <c r="A180" t="s">
        <v>593</v>
      </c>
      <c r="B180">
        <v>7.26</v>
      </c>
      <c r="C180">
        <v>4.93</v>
      </c>
      <c r="D180">
        <v>9.48</v>
      </c>
      <c r="E180" s="2">
        <v>241665768.96</v>
      </c>
      <c r="F180" t="s">
        <v>594</v>
      </c>
      <c r="G180">
        <v>3.32</v>
      </c>
      <c r="H180">
        <v>1.99</v>
      </c>
      <c r="I180">
        <v>23.5813</v>
      </c>
      <c r="J180">
        <v>40.3333</v>
      </c>
    </row>
    <row r="181" spans="1:8">
      <c r="A181" t="s">
        <v>643</v>
      </c>
      <c r="B181">
        <v>6.73</v>
      </c>
      <c r="C181">
        <v>5.56</v>
      </c>
      <c r="D181">
        <v>11.5</v>
      </c>
      <c r="E181" s="2">
        <v>547919246.63</v>
      </c>
      <c r="F181" t="s">
        <v>644</v>
      </c>
      <c r="G181">
        <v>5.64</v>
      </c>
      <c r="H181">
        <v>0.38</v>
      </c>
    </row>
    <row r="182" spans="1:10">
      <c r="A182" t="s">
        <v>784</v>
      </c>
      <c r="B182">
        <v>39.24</v>
      </c>
      <c r="C182">
        <v>21.54</v>
      </c>
      <c r="D182">
        <v>57.36</v>
      </c>
      <c r="E182" s="2">
        <v>11252657757.12</v>
      </c>
      <c r="F182" t="s">
        <v>785</v>
      </c>
      <c r="G182">
        <v>6.24</v>
      </c>
      <c r="H182">
        <v>7.29</v>
      </c>
      <c r="I182">
        <v>70.4137</v>
      </c>
      <c r="J182">
        <v>43.978</v>
      </c>
    </row>
    <row r="183" spans="1:8">
      <c r="A183" t="s">
        <v>601</v>
      </c>
      <c r="B183">
        <v>0.73</v>
      </c>
      <c r="C183">
        <v>0.647</v>
      </c>
      <c r="D183">
        <v>2.2</v>
      </c>
      <c r="E183" s="2">
        <v>34439962.16</v>
      </c>
      <c r="F183" t="s">
        <v>602</v>
      </c>
      <c r="G183">
        <v>-0.08</v>
      </c>
      <c r="H183">
        <v>0.026</v>
      </c>
    </row>
    <row r="184" spans="1:10">
      <c r="A184" t="s">
        <v>456</v>
      </c>
      <c r="B184">
        <v>22.54</v>
      </c>
      <c r="C184">
        <v>14.16</v>
      </c>
      <c r="D184">
        <v>40.08</v>
      </c>
      <c r="E184" s="2">
        <v>1259873074.6</v>
      </c>
      <c r="F184" t="s">
        <v>457</v>
      </c>
      <c r="G184">
        <v>1.65</v>
      </c>
      <c r="H184">
        <v>0.38</v>
      </c>
      <c r="I184">
        <v>6.24</v>
      </c>
      <c r="J184">
        <v>4.437</v>
      </c>
    </row>
    <row r="185" spans="1:9">
      <c r="A185" t="s">
        <v>219</v>
      </c>
      <c r="B185">
        <v>70.8</v>
      </c>
      <c r="C185">
        <v>52.6</v>
      </c>
      <c r="D185">
        <v>82.9</v>
      </c>
      <c r="E185" s="2">
        <v>46615360000</v>
      </c>
      <c r="F185" t="s">
        <v>220</v>
      </c>
      <c r="G185">
        <v>9.5</v>
      </c>
      <c r="H185">
        <v>7.1</v>
      </c>
      <c r="I185">
        <v>113.79</v>
      </c>
    </row>
    <row r="186" spans="1:9">
      <c r="A186" t="s">
        <v>611</v>
      </c>
      <c r="B186">
        <v>0.3143</v>
      </c>
      <c r="C186">
        <v>0.2159</v>
      </c>
      <c r="D186">
        <v>1.32</v>
      </c>
      <c r="E186" s="2">
        <v>26578588.55</v>
      </c>
      <c r="F186" t="s">
        <v>612</v>
      </c>
      <c r="G186">
        <v>0.12</v>
      </c>
      <c r="H186">
        <v>1.0575</v>
      </c>
      <c r="I186">
        <v>1.1425</v>
      </c>
    </row>
    <row r="187" spans="1:7">
      <c r="A187" t="s">
        <v>395</v>
      </c>
      <c r="B187">
        <v>32.42</v>
      </c>
      <c r="C187">
        <v>25.36</v>
      </c>
      <c r="D187">
        <v>45.64</v>
      </c>
      <c r="E187" s="2">
        <v>56910000</v>
      </c>
      <c r="F187" t="s">
        <v>396</v>
      </c>
      <c r="G187">
        <v>0</v>
      </c>
    </row>
    <row r="188" spans="1:8">
      <c r="A188" t="s">
        <v>243</v>
      </c>
      <c r="B188">
        <v>0.1498</v>
      </c>
      <c r="C188">
        <v>0.12</v>
      </c>
      <c r="D188">
        <v>0.44</v>
      </c>
      <c r="E188">
        <v>5678416.28</v>
      </c>
      <c r="F188" t="s">
        <v>244</v>
      </c>
      <c r="G188">
        <v>0.07</v>
      </c>
      <c r="H188">
        <v>0.3404</v>
      </c>
    </row>
    <row r="189" spans="1:8">
      <c r="A189" t="s">
        <v>589</v>
      </c>
      <c r="B189">
        <v>6.73</v>
      </c>
      <c r="C189">
        <v>2.73</v>
      </c>
      <c r="D189">
        <v>7.53</v>
      </c>
      <c r="E189" s="2">
        <v>49030000</v>
      </c>
      <c r="F189" t="s">
        <v>590</v>
      </c>
      <c r="G189">
        <v>0.46</v>
      </c>
      <c r="H189">
        <v>24.9259</v>
      </c>
    </row>
    <row r="190" spans="1:8">
      <c r="A190" t="s">
        <v>597</v>
      </c>
      <c r="B190">
        <v>1.9</v>
      </c>
      <c r="C190">
        <v>1.35</v>
      </c>
      <c r="D190">
        <v>5.8</v>
      </c>
      <c r="E190">
        <v>7437702</v>
      </c>
      <c r="F190" t="s">
        <v>598</v>
      </c>
      <c r="G190">
        <v>0.08</v>
      </c>
      <c r="H190">
        <v>0.5</v>
      </c>
    </row>
    <row r="191" spans="1:8">
      <c r="A191" t="s">
        <v>1384</v>
      </c>
      <c r="B191">
        <v>4.11</v>
      </c>
      <c r="C191">
        <v>2.48</v>
      </c>
      <c r="D191">
        <v>7.6</v>
      </c>
      <c r="E191" s="2">
        <v>230260922.78</v>
      </c>
      <c r="F191" t="s">
        <v>1385</v>
      </c>
      <c r="G191">
        <v>0.78</v>
      </c>
      <c r="H191">
        <v>2.72</v>
      </c>
    </row>
    <row r="192" spans="1:8">
      <c r="A192" t="s">
        <v>623</v>
      </c>
      <c r="B192">
        <v>1.23</v>
      </c>
      <c r="C192">
        <v>0.68</v>
      </c>
      <c r="D192">
        <v>7.35</v>
      </c>
      <c r="E192" s="2">
        <v>48163830</v>
      </c>
      <c r="F192" t="s">
        <v>624</v>
      </c>
      <c r="G192">
        <v>2.38</v>
      </c>
      <c r="H192">
        <v>0.76</v>
      </c>
    </row>
    <row r="193" spans="1:10">
      <c r="A193" t="s">
        <v>720</v>
      </c>
      <c r="B193">
        <v>15.33</v>
      </c>
      <c r="C193">
        <v>13.33</v>
      </c>
      <c r="D193">
        <v>36.63</v>
      </c>
      <c r="E193" s="2">
        <v>2135852820</v>
      </c>
      <c r="F193" t="s">
        <v>721</v>
      </c>
      <c r="G193">
        <v>4.98</v>
      </c>
      <c r="H193">
        <v>4.4</v>
      </c>
      <c r="I193">
        <v>215.1355</v>
      </c>
      <c r="J193">
        <v>88.2353</v>
      </c>
    </row>
    <row r="194" spans="1:9">
      <c r="A194" t="s">
        <v>591</v>
      </c>
      <c r="B194">
        <v>1.36</v>
      </c>
      <c r="C194">
        <v>1.01</v>
      </c>
      <c r="D194">
        <v>3.92</v>
      </c>
      <c r="E194">
        <v>5520200</v>
      </c>
      <c r="F194" t="s">
        <v>592</v>
      </c>
      <c r="G194">
        <v>0.06</v>
      </c>
      <c r="H194">
        <v>0.0846</v>
      </c>
      <c r="I194">
        <v>16.8675</v>
      </c>
    </row>
    <row r="195" spans="1:10">
      <c r="A195" t="s">
        <v>621</v>
      </c>
      <c r="B195">
        <v>7.24</v>
      </c>
      <c r="C195">
        <v>5.56</v>
      </c>
      <c r="D195">
        <v>12.49</v>
      </c>
      <c r="E195" s="2">
        <v>422832968.25</v>
      </c>
      <c r="F195" t="s">
        <v>622</v>
      </c>
      <c r="G195">
        <v>0.85</v>
      </c>
      <c r="H195">
        <v>1.05</v>
      </c>
      <c r="I195">
        <v>27.5062</v>
      </c>
      <c r="J195">
        <v>14.7</v>
      </c>
    </row>
    <row r="196" spans="1:7">
      <c r="A196" t="s">
        <v>587</v>
      </c>
      <c r="B196">
        <v>2.96</v>
      </c>
      <c r="C196">
        <v>1.01</v>
      </c>
      <c r="D196">
        <v>285000.01</v>
      </c>
      <c r="E196" s="2">
        <v>20770320</v>
      </c>
      <c r="F196" t="s">
        <v>588</v>
      </c>
      <c r="G196">
        <v>0.24</v>
      </c>
    </row>
    <row r="197" spans="1:7">
      <c r="A197" t="s">
        <v>326</v>
      </c>
      <c r="B197">
        <v>16.29</v>
      </c>
      <c r="C197">
        <v>13.09</v>
      </c>
      <c r="D197">
        <v>58.95</v>
      </c>
      <c r="E197">
        <v>0</v>
      </c>
      <c r="F197" t="s">
        <v>327</v>
      </c>
      <c r="G197">
        <v>0</v>
      </c>
    </row>
    <row r="198" spans="1:8">
      <c r="A198" t="s">
        <v>821</v>
      </c>
      <c r="B198">
        <v>8.68</v>
      </c>
      <c r="C198">
        <v>4.69</v>
      </c>
      <c r="D198">
        <v>15.69</v>
      </c>
      <c r="E198" s="2">
        <v>234213857.1</v>
      </c>
      <c r="F198" t="s">
        <v>822</v>
      </c>
      <c r="G198">
        <v>1.92</v>
      </c>
      <c r="H198">
        <v>1.08</v>
      </c>
    </row>
    <row r="199" spans="1:8">
      <c r="A199" t="s">
        <v>684</v>
      </c>
      <c r="B199">
        <v>1.08</v>
      </c>
      <c r="C199">
        <v>0.66</v>
      </c>
      <c r="D199">
        <v>2.74</v>
      </c>
      <c r="E199">
        <v>4276040</v>
      </c>
      <c r="F199" t="s">
        <v>685</v>
      </c>
      <c r="G199">
        <v>0.14</v>
      </c>
      <c r="H199">
        <v>0.01</v>
      </c>
    </row>
    <row r="200" spans="1:8">
      <c r="A200" t="s">
        <v>649</v>
      </c>
      <c r="B200">
        <v>5.39</v>
      </c>
      <c r="C200">
        <v>4</v>
      </c>
      <c r="D200">
        <v>14.77</v>
      </c>
      <c r="E200" s="2">
        <v>296031400</v>
      </c>
      <c r="F200" t="s">
        <v>650</v>
      </c>
      <c r="G200">
        <v>1.57</v>
      </c>
      <c r="H200">
        <v>0.68</v>
      </c>
    </row>
    <row r="201" spans="1:10">
      <c r="A201" t="s">
        <v>259</v>
      </c>
      <c r="B201">
        <v>13.56</v>
      </c>
      <c r="C201">
        <v>7.13</v>
      </c>
      <c r="D201">
        <v>13.65</v>
      </c>
      <c r="E201" s="2">
        <v>855498590.32</v>
      </c>
      <c r="F201" t="s">
        <v>260</v>
      </c>
      <c r="G201">
        <v>3.67</v>
      </c>
      <c r="H201">
        <v>2.66</v>
      </c>
      <c r="I201">
        <v>23.75</v>
      </c>
      <c r="J201">
        <v>1364</v>
      </c>
    </row>
    <row r="202" spans="1:10">
      <c r="A202" t="s">
        <v>726</v>
      </c>
      <c r="B202">
        <v>22.04</v>
      </c>
      <c r="C202">
        <v>16.09</v>
      </c>
      <c r="D202">
        <v>74.8</v>
      </c>
      <c r="E202" s="2">
        <v>1465023343.16</v>
      </c>
      <c r="F202" t="s">
        <v>727</v>
      </c>
      <c r="G202">
        <v>1.03</v>
      </c>
      <c r="H202">
        <v>2.32</v>
      </c>
      <c r="I202">
        <v>37.9629</v>
      </c>
      <c r="J202">
        <v>257.1111</v>
      </c>
    </row>
    <row r="203" spans="1:10">
      <c r="A203" t="s">
        <v>429</v>
      </c>
      <c r="B203">
        <v>177.3</v>
      </c>
      <c r="C203">
        <v>100</v>
      </c>
      <c r="D203">
        <v>223.95</v>
      </c>
      <c r="E203" s="2">
        <v>61711807980</v>
      </c>
      <c r="F203" t="s">
        <v>430</v>
      </c>
      <c r="G203">
        <v>5.02</v>
      </c>
      <c r="H203">
        <v>6.03</v>
      </c>
      <c r="I203">
        <v>36.6375</v>
      </c>
      <c r="J203">
        <v>32.8821</v>
      </c>
    </row>
    <row r="204" spans="1:10">
      <c r="A204" t="s">
        <v>1481</v>
      </c>
      <c r="B204">
        <v>1.48</v>
      </c>
      <c r="C204">
        <v>0.88</v>
      </c>
      <c r="D204">
        <v>30.69</v>
      </c>
      <c r="E204" s="2">
        <v>72562920</v>
      </c>
      <c r="F204" t="s">
        <v>1489</v>
      </c>
      <c r="G204" t="s">
        <v>1490</v>
      </c>
      <c r="H204">
        <v>0.35</v>
      </c>
      <c r="I204">
        <v>0.19</v>
      </c>
      <c r="J204">
        <v>17.1</v>
      </c>
    </row>
    <row r="205" spans="1:10">
      <c r="A205" t="s">
        <v>705</v>
      </c>
      <c r="B205">
        <v>71.02</v>
      </c>
      <c r="C205">
        <v>57.2</v>
      </c>
      <c r="D205">
        <v>95.06</v>
      </c>
      <c r="E205" s="2">
        <v>180224940379.92</v>
      </c>
      <c r="F205" t="s">
        <v>706</v>
      </c>
      <c r="G205">
        <v>5.36</v>
      </c>
      <c r="H205">
        <v>12</v>
      </c>
      <c r="I205">
        <v>48.2738</v>
      </c>
      <c r="J205">
        <v>17.701</v>
      </c>
    </row>
    <row r="206" spans="1:10">
      <c r="A206" t="s">
        <v>749</v>
      </c>
      <c r="B206">
        <v>31.52</v>
      </c>
      <c r="C206">
        <v>22.28</v>
      </c>
      <c r="D206">
        <v>39.93</v>
      </c>
      <c r="E206" s="2">
        <v>22805624593.4</v>
      </c>
      <c r="F206" t="s">
        <v>750</v>
      </c>
      <c r="G206">
        <v>2.83</v>
      </c>
      <c r="H206">
        <v>4.95</v>
      </c>
      <c r="I206">
        <v>18.12</v>
      </c>
      <c r="J206">
        <v>21.0743</v>
      </c>
    </row>
    <row r="207" spans="1:8">
      <c r="A207" t="s">
        <v>252</v>
      </c>
      <c r="B207">
        <v>5.92</v>
      </c>
      <c r="C207">
        <v>0.47</v>
      </c>
      <c r="D207">
        <v>20.85</v>
      </c>
      <c r="E207" s="2">
        <v>158071431.73</v>
      </c>
      <c r="F207" t="s">
        <v>253</v>
      </c>
      <c r="G207">
        <v>0.26</v>
      </c>
      <c r="H207">
        <v>0.26</v>
      </c>
    </row>
    <row r="208" spans="1:10">
      <c r="A208" t="s">
        <v>654</v>
      </c>
      <c r="B208">
        <v>25.8</v>
      </c>
      <c r="C208">
        <v>21.53</v>
      </c>
      <c r="D208">
        <v>56.59</v>
      </c>
      <c r="E208" s="2">
        <v>3020545071.53</v>
      </c>
      <c r="F208" t="s">
        <v>655</v>
      </c>
      <c r="G208">
        <v>4.14</v>
      </c>
      <c r="H208">
        <v>5.48</v>
      </c>
      <c r="I208">
        <v>41.3669</v>
      </c>
      <c r="J208">
        <v>20.0809</v>
      </c>
    </row>
    <row r="209" spans="1:8">
      <c r="A209" t="s">
        <v>692</v>
      </c>
      <c r="B209">
        <v>5.49</v>
      </c>
      <c r="C209">
        <v>1.83</v>
      </c>
      <c r="D209">
        <v>7.7</v>
      </c>
      <c r="E209" s="2">
        <v>352347274.56</v>
      </c>
      <c r="F209" t="s">
        <v>693</v>
      </c>
      <c r="G209">
        <v>1.6</v>
      </c>
      <c r="H209">
        <v>1.75</v>
      </c>
    </row>
    <row r="210" spans="1:9">
      <c r="A210" t="s">
        <v>1479</v>
      </c>
      <c r="B210">
        <v>13.91</v>
      </c>
      <c r="C210">
        <v>5.91</v>
      </c>
      <c r="D210">
        <v>14.8</v>
      </c>
      <c r="E210" s="2">
        <v>15984911320</v>
      </c>
      <c r="F210" t="s">
        <v>1480</v>
      </c>
      <c r="G210">
        <v>2.23</v>
      </c>
      <c r="H210">
        <v>1.79</v>
      </c>
      <c r="I210">
        <v>18.95</v>
      </c>
    </row>
    <row r="211" spans="1:10">
      <c r="A211" t="s">
        <v>1478</v>
      </c>
      <c r="B211">
        <v>101.5</v>
      </c>
      <c r="C211">
        <v>92</v>
      </c>
      <c r="D211">
        <v>134.54</v>
      </c>
      <c r="E211" s="2">
        <v>587437393220</v>
      </c>
      <c r="F211" t="s">
        <v>1046</v>
      </c>
      <c r="G211">
        <v>4.45</v>
      </c>
      <c r="H211">
        <v>2.39</v>
      </c>
      <c r="I211">
        <v>13.88</v>
      </c>
      <c r="J211">
        <v>11.1725</v>
      </c>
    </row>
    <row r="212" spans="1:9">
      <c r="A212">
        <v>8369</v>
      </c>
      <c r="B212">
        <v>0.315</v>
      </c>
      <c r="C212">
        <v>0.23</v>
      </c>
      <c r="D212">
        <v>14.88</v>
      </c>
      <c r="E212" s="2">
        <v>390400000</v>
      </c>
      <c r="F212" t="s">
        <v>339</v>
      </c>
      <c r="G212">
        <v>4.39</v>
      </c>
      <c r="H212">
        <v>2.35885537509667</v>
      </c>
      <c r="I212">
        <v>16.097</v>
      </c>
    </row>
    <row r="213" spans="1:9">
      <c r="A213">
        <v>8361</v>
      </c>
      <c r="B213">
        <v>2.35</v>
      </c>
      <c r="C213">
        <v>1</v>
      </c>
      <c r="D213">
        <v>2.8</v>
      </c>
      <c r="E213" s="2">
        <v>2412275000</v>
      </c>
      <c r="F213" t="s">
        <v>144</v>
      </c>
      <c r="G213">
        <v>7.37</v>
      </c>
      <c r="H213">
        <v>23.1410749846653</v>
      </c>
      <c r="I213">
        <v>141.3853</v>
      </c>
    </row>
    <row r="214" spans="1:10">
      <c r="A214">
        <v>8355</v>
      </c>
      <c r="B214">
        <v>0.209</v>
      </c>
      <c r="C214">
        <v>0.175</v>
      </c>
      <c r="D214">
        <v>6.7</v>
      </c>
      <c r="E214" s="2">
        <v>215000000</v>
      </c>
      <c r="F214" t="s">
        <v>335</v>
      </c>
      <c r="G214">
        <v>1.95</v>
      </c>
      <c r="H214">
        <v>1.50139664804469</v>
      </c>
      <c r="I214">
        <v>44.4123</v>
      </c>
      <c r="J214">
        <v>28.824</v>
      </c>
    </row>
    <row r="215" spans="1:8">
      <c r="A215">
        <v>8345</v>
      </c>
      <c r="B215">
        <v>1.52</v>
      </c>
      <c r="C215">
        <v>1.39</v>
      </c>
      <c r="D215">
        <v>5.5</v>
      </c>
      <c r="E215" s="2">
        <v>235200000</v>
      </c>
      <c r="F215" t="s">
        <v>1064</v>
      </c>
      <c r="G215">
        <v>4.45</v>
      </c>
      <c r="H215">
        <v>19.5084</v>
      </c>
    </row>
    <row r="216" spans="1:8">
      <c r="A216">
        <v>8340</v>
      </c>
      <c r="B216">
        <v>0.7</v>
      </c>
      <c r="C216">
        <v>0.16</v>
      </c>
      <c r="D216">
        <v>0.88</v>
      </c>
      <c r="E216" s="2">
        <v>454400000</v>
      </c>
      <c r="F216" t="s">
        <v>856</v>
      </c>
      <c r="G216">
        <v>18.54</v>
      </c>
      <c r="H216">
        <v>18.3937823834196</v>
      </c>
    </row>
    <row r="217" spans="1:7">
      <c r="A217">
        <v>8331</v>
      </c>
      <c r="B217">
        <v>0.425</v>
      </c>
      <c r="C217">
        <v>0</v>
      </c>
      <c r="D217">
        <v>99</v>
      </c>
      <c r="E217">
        <v>0</v>
      </c>
      <c r="F217" t="s">
        <v>60</v>
      </c>
      <c r="G217">
        <v>0</v>
      </c>
    </row>
    <row r="218" spans="1:9">
      <c r="A218">
        <v>8327</v>
      </c>
      <c r="B218">
        <v>0.52</v>
      </c>
      <c r="C218">
        <v>0.38</v>
      </c>
      <c r="D218">
        <v>1.46</v>
      </c>
      <c r="E218" s="2">
        <v>424000000</v>
      </c>
      <c r="F218" t="s">
        <v>312</v>
      </c>
      <c r="G218">
        <v>6.83</v>
      </c>
      <c r="H218">
        <v>1.93501277838627</v>
      </c>
      <c r="I218">
        <v>26.147</v>
      </c>
    </row>
    <row r="219" spans="1:12">
      <c r="A219">
        <v>8326</v>
      </c>
      <c r="B219">
        <v>5.95</v>
      </c>
      <c r="C219">
        <v>1.28</v>
      </c>
      <c r="D219">
        <v>6.46</v>
      </c>
      <c r="E219" s="2">
        <v>2412000000</v>
      </c>
      <c r="F219" t="s">
        <v>194</v>
      </c>
      <c r="G219" t="s">
        <v>195</v>
      </c>
      <c r="H219" t="s">
        <v>196</v>
      </c>
      <c r="I219">
        <v>31.89</v>
      </c>
      <c r="J219">
        <v>8.54712969525159</v>
      </c>
      <c r="K219">
        <v>4474.9536</v>
      </c>
      <c r="L219">
        <v>4161.538</v>
      </c>
    </row>
    <row r="220" spans="1:8">
      <c r="A220">
        <v>8325</v>
      </c>
      <c r="B220">
        <v>1.63</v>
      </c>
      <c r="C220">
        <v>0.9</v>
      </c>
      <c r="D220">
        <v>4.77</v>
      </c>
      <c r="E220" s="2">
        <v>2454960178.71</v>
      </c>
      <c r="F220" t="s">
        <v>777</v>
      </c>
      <c r="G220">
        <v>1.91</v>
      </c>
      <c r="H220">
        <v>2.72229381443298</v>
      </c>
    </row>
    <row r="221" spans="1:8">
      <c r="A221">
        <v>8295</v>
      </c>
      <c r="B221">
        <v>0.75</v>
      </c>
      <c r="C221">
        <v>0.17</v>
      </c>
      <c r="D221">
        <v>1.15</v>
      </c>
      <c r="E221" s="2">
        <v>2638797627</v>
      </c>
      <c r="F221" t="s">
        <v>1063</v>
      </c>
      <c r="G221">
        <v>9</v>
      </c>
      <c r="H221">
        <v>30.2419354838709</v>
      </c>
    </row>
    <row r="222" spans="1:8">
      <c r="A222">
        <v>8282</v>
      </c>
      <c r="B222">
        <v>5.5</v>
      </c>
      <c r="C222">
        <v>2.5</v>
      </c>
      <c r="D222">
        <v>8.48</v>
      </c>
      <c r="E222" s="2">
        <v>862400000</v>
      </c>
      <c r="F222" t="s">
        <v>31</v>
      </c>
      <c r="G222">
        <v>11.24</v>
      </c>
      <c r="H222">
        <v>122.4131</v>
      </c>
    </row>
    <row r="223" spans="1:10">
      <c r="A223">
        <v>8271</v>
      </c>
      <c r="B223">
        <v>0.33</v>
      </c>
      <c r="C223">
        <v>0.28</v>
      </c>
      <c r="D223">
        <v>1.16</v>
      </c>
      <c r="E223" s="2">
        <v>508615605.9</v>
      </c>
      <c r="F223" t="s">
        <v>475</v>
      </c>
      <c r="G223">
        <v>0.51</v>
      </c>
      <c r="H223">
        <v>2.77088502894954</v>
      </c>
      <c r="I223">
        <v>15.9631</v>
      </c>
      <c r="J223">
        <v>16.905</v>
      </c>
    </row>
    <row r="224" spans="1:8">
      <c r="A224">
        <v>8269</v>
      </c>
      <c r="B224">
        <v>0.071</v>
      </c>
      <c r="C224">
        <v>0.037</v>
      </c>
      <c r="D224">
        <v>0.395</v>
      </c>
      <c r="E224" s="2">
        <v>283501404</v>
      </c>
      <c r="F224" t="s">
        <v>46</v>
      </c>
      <c r="G224">
        <v>1.11</v>
      </c>
      <c r="H224">
        <v>2.07207207207207</v>
      </c>
    </row>
    <row r="225" spans="1:8">
      <c r="A225">
        <v>8267</v>
      </c>
      <c r="B225">
        <v>3.81</v>
      </c>
      <c r="C225">
        <v>3.3</v>
      </c>
      <c r="D225">
        <v>16.88</v>
      </c>
      <c r="E225" s="2">
        <v>1302105677.92</v>
      </c>
      <c r="F225" t="s">
        <v>696</v>
      </c>
      <c r="G225">
        <v>1.03</v>
      </c>
      <c r="H225">
        <v>2.22668310181674</v>
      </c>
    </row>
    <row r="226" spans="1:10">
      <c r="A226">
        <v>8265</v>
      </c>
      <c r="B226">
        <v>3.95</v>
      </c>
      <c r="C226">
        <v>0.5</v>
      </c>
      <c r="D226">
        <v>4.5</v>
      </c>
      <c r="E226" s="2">
        <v>1211465000</v>
      </c>
      <c r="F226" t="s">
        <v>143</v>
      </c>
      <c r="G226">
        <v>8.68</v>
      </c>
      <c r="H226">
        <v>5.35883869217202</v>
      </c>
      <c r="I226">
        <v>178.1828</v>
      </c>
      <c r="J226">
        <v>96.954</v>
      </c>
    </row>
    <row r="227" spans="1:8">
      <c r="A227">
        <v>8260</v>
      </c>
      <c r="B227">
        <v>1.19</v>
      </c>
      <c r="C227">
        <v>0.29</v>
      </c>
      <c r="D227">
        <v>2.6</v>
      </c>
      <c r="E227" s="2">
        <v>1214840000</v>
      </c>
      <c r="F227" t="s">
        <v>1491</v>
      </c>
      <c r="G227">
        <v>6.24</v>
      </c>
      <c r="H227">
        <v>3.70597243491577</v>
      </c>
    </row>
    <row r="228" spans="1:9">
      <c r="A228">
        <v>8248</v>
      </c>
      <c r="B228">
        <v>0.136</v>
      </c>
      <c r="C228">
        <v>0</v>
      </c>
      <c r="D228">
        <v>5.6</v>
      </c>
      <c r="E228" s="2">
        <v>166320000</v>
      </c>
      <c r="F228" t="s">
        <v>291</v>
      </c>
      <c r="G228">
        <v>2.62</v>
      </c>
      <c r="H228">
        <v>0.498891352549889</v>
      </c>
      <c r="I228">
        <v>8.6987</v>
      </c>
    </row>
    <row r="229" spans="1:10">
      <c r="A229">
        <v>8247</v>
      </c>
      <c r="B229">
        <v>2.8</v>
      </c>
      <c r="C229">
        <v>2.11</v>
      </c>
      <c r="D229">
        <v>7.17</v>
      </c>
      <c r="E229" s="2">
        <v>183858368.98</v>
      </c>
      <c r="F229" t="s">
        <v>200</v>
      </c>
      <c r="G229">
        <v>1.11</v>
      </c>
      <c r="H229">
        <v>0.991460124087405</v>
      </c>
      <c r="I229">
        <v>35.395</v>
      </c>
      <c r="J229">
        <v>40.842</v>
      </c>
    </row>
    <row r="230" spans="1:8">
      <c r="A230">
        <v>8239</v>
      </c>
      <c r="B230">
        <v>0.34</v>
      </c>
      <c r="C230">
        <v>0.24</v>
      </c>
      <c r="D230">
        <v>0.85</v>
      </c>
      <c r="E230" s="2">
        <v>398338918.89</v>
      </c>
      <c r="F230" t="s">
        <v>344</v>
      </c>
      <c r="G230">
        <v>1.4</v>
      </c>
      <c r="H230">
        <v>1.68374816983894</v>
      </c>
    </row>
    <row r="231" spans="1:8">
      <c r="A231">
        <v>8237</v>
      </c>
      <c r="B231">
        <v>0.83</v>
      </c>
      <c r="C231">
        <v>0.43</v>
      </c>
      <c r="D231">
        <v>3.06</v>
      </c>
      <c r="E231" s="2">
        <v>2931600000</v>
      </c>
      <c r="F231" t="s">
        <v>351</v>
      </c>
      <c r="G231">
        <v>6.36</v>
      </c>
      <c r="H231">
        <v>48.2758620689655</v>
      </c>
    </row>
    <row r="232" spans="1:8">
      <c r="A232">
        <v>8230</v>
      </c>
      <c r="B232">
        <v>0.54</v>
      </c>
      <c r="C232">
        <v>0.36</v>
      </c>
      <c r="D232">
        <v>2.7</v>
      </c>
      <c r="E232" s="2">
        <v>396900000</v>
      </c>
      <c r="F232" t="s">
        <v>1093</v>
      </c>
      <c r="G232">
        <v>1.33</v>
      </c>
      <c r="H232">
        <v>9.5513</v>
      </c>
    </row>
    <row r="233" spans="1:8">
      <c r="A233">
        <v>8220</v>
      </c>
      <c r="B233">
        <v>0.265</v>
      </c>
      <c r="C233">
        <v>0.178</v>
      </c>
      <c r="D233">
        <v>0.475</v>
      </c>
      <c r="E233" s="2">
        <v>872492363.15</v>
      </c>
      <c r="F233" t="s">
        <v>1132</v>
      </c>
      <c r="G233">
        <v>5.92</v>
      </c>
      <c r="H233">
        <v>13.6363636363636</v>
      </c>
    </row>
    <row r="234" spans="1:10">
      <c r="A234">
        <v>8207</v>
      </c>
      <c r="B234">
        <v>3.4</v>
      </c>
      <c r="C234">
        <v>0.67</v>
      </c>
      <c r="D234">
        <v>3.65</v>
      </c>
      <c r="E234" s="2">
        <v>13175714000</v>
      </c>
      <c r="F234" t="s">
        <v>477</v>
      </c>
      <c r="G234">
        <v>5.53</v>
      </c>
      <c r="H234">
        <v>17.7526585781029</v>
      </c>
      <c r="I234">
        <v>181.0702</v>
      </c>
      <c r="J234">
        <v>137.069</v>
      </c>
    </row>
    <row r="235" spans="1:8">
      <c r="A235">
        <v>8197</v>
      </c>
      <c r="B235">
        <v>1.77</v>
      </c>
      <c r="C235">
        <v>0.18</v>
      </c>
      <c r="D235">
        <v>2.6</v>
      </c>
      <c r="E235" s="2">
        <v>374670000</v>
      </c>
      <c r="F235" t="s">
        <v>242</v>
      </c>
      <c r="G235">
        <v>16.38</v>
      </c>
      <c r="H235">
        <v>48.6787484989598</v>
      </c>
    </row>
    <row r="236" spans="1:8">
      <c r="A236">
        <v>8192</v>
      </c>
      <c r="B236">
        <v>0.053</v>
      </c>
      <c r="C236">
        <v>0.03</v>
      </c>
      <c r="D236">
        <v>0.311</v>
      </c>
      <c r="E236" s="2">
        <v>234912579</v>
      </c>
      <c r="F236" t="s">
        <v>142</v>
      </c>
      <c r="G236">
        <v>0.56</v>
      </c>
      <c r="H236">
        <v>0.564784053156146</v>
      </c>
    </row>
    <row r="237" spans="1:10">
      <c r="A237">
        <v>8181</v>
      </c>
      <c r="B237">
        <v>0.26</v>
      </c>
      <c r="C237">
        <v>0.115</v>
      </c>
      <c r="D237">
        <v>1.82</v>
      </c>
      <c r="E237" s="2">
        <v>133690909.05</v>
      </c>
      <c r="F237" t="s">
        <v>1018</v>
      </c>
      <c r="G237">
        <v>1.4</v>
      </c>
      <c r="H237">
        <v>0.359090304561776</v>
      </c>
      <c r="I237">
        <v>26.8779</v>
      </c>
      <c r="J237">
        <v>11.129</v>
      </c>
    </row>
    <row r="238" spans="1:10">
      <c r="A238">
        <v>8175</v>
      </c>
      <c r="B238">
        <v>0.41</v>
      </c>
      <c r="C238">
        <v>0.08</v>
      </c>
      <c r="D238">
        <v>0.48</v>
      </c>
      <c r="E238" s="2">
        <v>531635334.8</v>
      </c>
      <c r="F238" t="s">
        <v>1034</v>
      </c>
      <c r="G238">
        <v>1.14</v>
      </c>
      <c r="H238">
        <v>21.6216216216216</v>
      </c>
      <c r="I238">
        <v>21.3594</v>
      </c>
      <c r="J238">
        <v>13.87</v>
      </c>
    </row>
    <row r="239" spans="1:8">
      <c r="A239">
        <v>8172</v>
      </c>
      <c r="B239">
        <v>0.79</v>
      </c>
      <c r="C239">
        <v>0.29</v>
      </c>
      <c r="D239">
        <v>2.29</v>
      </c>
      <c r="E239" s="2">
        <v>2223693518.38</v>
      </c>
      <c r="F239" t="s">
        <v>192</v>
      </c>
      <c r="G239">
        <v>2.36</v>
      </c>
      <c r="H239">
        <v>164.583333333333</v>
      </c>
    </row>
    <row r="240" spans="1:8">
      <c r="A240">
        <v>8161</v>
      </c>
      <c r="B240">
        <v>0.19</v>
      </c>
      <c r="C240">
        <v>0.09</v>
      </c>
      <c r="D240">
        <v>0.22</v>
      </c>
      <c r="E240" s="2">
        <v>1522139880</v>
      </c>
      <c r="F240" t="s">
        <v>757</v>
      </c>
      <c r="G240">
        <v>1.41</v>
      </c>
      <c r="H240">
        <v>22.418</v>
      </c>
    </row>
    <row r="241" spans="1:8">
      <c r="A241">
        <v>8158</v>
      </c>
      <c r="B241">
        <v>0.3</v>
      </c>
      <c r="C241">
        <v>0.22</v>
      </c>
      <c r="D241">
        <v>1</v>
      </c>
      <c r="E241" s="2">
        <v>5629497600</v>
      </c>
      <c r="F241" t="s">
        <v>50</v>
      </c>
      <c r="G241">
        <v>2.57</v>
      </c>
      <c r="H241">
        <v>41.025641025641</v>
      </c>
    </row>
    <row r="242" spans="1:10">
      <c r="A242">
        <v>8156</v>
      </c>
      <c r="B242">
        <v>0.68</v>
      </c>
      <c r="C242">
        <v>0.55</v>
      </c>
      <c r="D242">
        <v>1.65</v>
      </c>
      <c r="E242" s="2">
        <v>2256215547.6</v>
      </c>
      <c r="F242" t="s">
        <v>235</v>
      </c>
      <c r="G242">
        <v>7.17</v>
      </c>
      <c r="H242">
        <v>44.3037974683544</v>
      </c>
      <c r="I242">
        <v>118.0832</v>
      </c>
      <c r="J242">
        <v>140</v>
      </c>
    </row>
    <row r="243" spans="1:8">
      <c r="A243">
        <v>8143</v>
      </c>
      <c r="B243">
        <v>0.66</v>
      </c>
      <c r="C243">
        <v>0.36</v>
      </c>
      <c r="D243">
        <v>1.96</v>
      </c>
      <c r="E243" s="2">
        <v>1121504963.04</v>
      </c>
      <c r="F243" t="s">
        <v>478</v>
      </c>
      <c r="G243">
        <v>4.61</v>
      </c>
      <c r="H243">
        <v>0.749914782411089</v>
      </c>
    </row>
    <row r="244" spans="1:9">
      <c r="A244">
        <v>8141</v>
      </c>
      <c r="B244">
        <v>0.305</v>
      </c>
      <c r="C244">
        <v>0.25</v>
      </c>
      <c r="D244">
        <v>6.6</v>
      </c>
      <c r="E244" s="2">
        <v>183000000</v>
      </c>
      <c r="F244" t="s">
        <v>321</v>
      </c>
      <c r="G244">
        <v>2.18</v>
      </c>
      <c r="H244">
        <v>0.519679672857386</v>
      </c>
      <c r="I244">
        <v>15.3511</v>
      </c>
    </row>
    <row r="245" spans="1:10">
      <c r="A245">
        <v>8138</v>
      </c>
      <c r="B245">
        <v>8.12</v>
      </c>
      <c r="C245">
        <v>7.55</v>
      </c>
      <c r="D245">
        <v>14.82</v>
      </c>
      <c r="E245" s="2">
        <v>6813994000</v>
      </c>
      <c r="F245" t="s">
        <v>479</v>
      </c>
      <c r="G245">
        <v>4.15</v>
      </c>
      <c r="H245">
        <v>7.28281291938803</v>
      </c>
      <c r="I245">
        <v>23.7319</v>
      </c>
      <c r="J245">
        <v>23.186</v>
      </c>
    </row>
    <row r="246" spans="1:8">
      <c r="A246">
        <v>8130</v>
      </c>
      <c r="B246">
        <v>0.345</v>
      </c>
      <c r="C246">
        <v>0.18</v>
      </c>
      <c r="D246">
        <v>0.75</v>
      </c>
      <c r="E246" s="2">
        <v>319298283.66</v>
      </c>
      <c r="F246" t="s">
        <v>214</v>
      </c>
      <c r="G246">
        <v>1.21</v>
      </c>
      <c r="H246">
        <v>17.9894179894179</v>
      </c>
    </row>
    <row r="247" spans="1:9">
      <c r="A247">
        <v>8127</v>
      </c>
      <c r="B247">
        <v>5.08</v>
      </c>
      <c r="C247">
        <v>1.52</v>
      </c>
      <c r="D247">
        <v>5.14</v>
      </c>
      <c r="E247" s="2">
        <v>5080000000</v>
      </c>
      <c r="F247" t="s">
        <v>322</v>
      </c>
      <c r="G247">
        <v>146.82</v>
      </c>
      <c r="H247">
        <v>40.4780876494023</v>
      </c>
      <c r="I247">
        <v>343.7077</v>
      </c>
    </row>
    <row r="248" spans="1:9">
      <c r="A248">
        <v>8122</v>
      </c>
      <c r="B248">
        <v>0.19</v>
      </c>
      <c r="C248">
        <v>0.17</v>
      </c>
      <c r="D248">
        <v>7</v>
      </c>
      <c r="E248" s="2">
        <v>150400000</v>
      </c>
      <c r="F248" t="s">
        <v>328</v>
      </c>
      <c r="G248">
        <v>2.64</v>
      </c>
      <c r="H248">
        <v>1.58783783783783</v>
      </c>
      <c r="I248">
        <v>8.4513</v>
      </c>
    </row>
    <row r="249" spans="1:10">
      <c r="A249">
        <v>8121</v>
      </c>
      <c r="B249">
        <v>0.238</v>
      </c>
      <c r="C249">
        <v>0.16</v>
      </c>
      <c r="D249">
        <v>3.59</v>
      </c>
      <c r="E249" s="2">
        <v>400128000</v>
      </c>
      <c r="F249" t="s">
        <v>1106</v>
      </c>
      <c r="G249">
        <v>2.68</v>
      </c>
      <c r="H249">
        <v>2.02360876897133</v>
      </c>
      <c r="I249">
        <v>43.8833</v>
      </c>
      <c r="J249">
        <v>35.455</v>
      </c>
    </row>
    <row r="250" spans="1:10">
      <c r="A250">
        <v>8105</v>
      </c>
      <c r="B250">
        <v>1.82</v>
      </c>
      <c r="C250">
        <v>1.08</v>
      </c>
      <c r="D250">
        <v>5.38</v>
      </c>
      <c r="E250" s="2">
        <v>925000000</v>
      </c>
      <c r="F250" t="s">
        <v>309</v>
      </c>
      <c r="G250">
        <v>8.13</v>
      </c>
      <c r="H250">
        <v>7.84896054306321</v>
      </c>
      <c r="I250">
        <v>35.2663</v>
      </c>
      <c r="J250">
        <v>30.048</v>
      </c>
    </row>
    <row r="251" spans="1:8">
      <c r="A251">
        <v>8101</v>
      </c>
      <c r="B251">
        <v>0.068</v>
      </c>
      <c r="C251">
        <v>0.052</v>
      </c>
      <c r="D251">
        <v>0.56</v>
      </c>
      <c r="E251" s="2">
        <v>161952000</v>
      </c>
      <c r="F251" t="s">
        <v>277</v>
      </c>
      <c r="G251">
        <v>0.62</v>
      </c>
      <c r="H251">
        <v>2.5</v>
      </c>
    </row>
    <row r="252" spans="1:10">
      <c r="A252">
        <v>8100</v>
      </c>
      <c r="B252">
        <v>0.112</v>
      </c>
      <c r="C252">
        <v>0.08</v>
      </c>
      <c r="D252">
        <v>1.19</v>
      </c>
      <c r="E252" s="2">
        <v>139507441.58</v>
      </c>
      <c r="F252" t="s">
        <v>778</v>
      </c>
      <c r="G252">
        <v>0.13</v>
      </c>
      <c r="H252">
        <v>0.365932642487046</v>
      </c>
      <c r="I252">
        <v>2.6453</v>
      </c>
      <c r="J252">
        <v>1.016</v>
      </c>
    </row>
    <row r="253" spans="1:10">
      <c r="A253">
        <v>8095</v>
      </c>
      <c r="B253">
        <v>1.51</v>
      </c>
      <c r="C253">
        <v>0.56</v>
      </c>
      <c r="D253">
        <v>3.26</v>
      </c>
      <c r="E253" s="2">
        <v>727200000</v>
      </c>
      <c r="F253" t="s">
        <v>686</v>
      </c>
      <c r="G253">
        <v>1.28</v>
      </c>
      <c r="H253">
        <v>1.24359801957512</v>
      </c>
      <c r="I253">
        <v>14.0941</v>
      </c>
      <c r="J253">
        <v>14.004</v>
      </c>
    </row>
    <row r="254" spans="1:8">
      <c r="A254">
        <v>8090</v>
      </c>
      <c r="B254">
        <v>1.03</v>
      </c>
      <c r="C254">
        <v>0.65</v>
      </c>
      <c r="D254">
        <v>3.25</v>
      </c>
      <c r="E254" s="2">
        <v>1662764400</v>
      </c>
      <c r="F254" t="s">
        <v>923</v>
      </c>
      <c r="G254">
        <v>3.89</v>
      </c>
      <c r="H254">
        <v>63.9428725334359</v>
      </c>
    </row>
    <row r="255" spans="1:8">
      <c r="A255">
        <v>8083</v>
      </c>
      <c r="B255">
        <v>0.355</v>
      </c>
      <c r="C255">
        <v>0.25</v>
      </c>
      <c r="D255">
        <v>1.46</v>
      </c>
      <c r="E255" s="2">
        <v>2225833589.09</v>
      </c>
      <c r="F255" t="s">
        <v>812</v>
      </c>
      <c r="G255">
        <v>1.95</v>
      </c>
      <c r="H255">
        <v>21.3872832369942</v>
      </c>
    </row>
    <row r="256" spans="1:8">
      <c r="A256">
        <v>8078</v>
      </c>
      <c r="B256">
        <v>0.405</v>
      </c>
      <c r="C256">
        <v>0.29</v>
      </c>
      <c r="D256">
        <v>19.5</v>
      </c>
      <c r="E256" s="2">
        <v>1590594662.96</v>
      </c>
      <c r="F256" t="s">
        <v>288</v>
      </c>
      <c r="G256">
        <v>3.62</v>
      </c>
      <c r="H256">
        <v>9.74178403755868</v>
      </c>
    </row>
    <row r="257" spans="1:8">
      <c r="A257">
        <v>8071</v>
      </c>
      <c r="B257">
        <v>0.081</v>
      </c>
      <c r="C257">
        <v>0.073</v>
      </c>
      <c r="D257">
        <v>0.33</v>
      </c>
      <c r="E257" s="2">
        <v>258962909.07</v>
      </c>
      <c r="F257" t="s">
        <v>140</v>
      </c>
      <c r="G257">
        <v>5.32</v>
      </c>
      <c r="H257">
        <v>207.5</v>
      </c>
    </row>
    <row r="258" spans="1:8">
      <c r="A258">
        <v>8070</v>
      </c>
      <c r="B258">
        <v>0.92</v>
      </c>
      <c r="C258">
        <v>0</v>
      </c>
      <c r="D258">
        <v>3.08</v>
      </c>
      <c r="E258" s="2">
        <v>2144556531.4</v>
      </c>
      <c r="F258" t="s">
        <v>964</v>
      </c>
      <c r="G258">
        <v>1.87</v>
      </c>
      <c r="H258">
        <v>23.56</v>
      </c>
    </row>
    <row r="259" spans="1:8">
      <c r="A259">
        <v>8063</v>
      </c>
      <c r="B259">
        <v>0.108</v>
      </c>
      <c r="C259">
        <v>0.09</v>
      </c>
      <c r="D259">
        <v>0.66</v>
      </c>
      <c r="E259" s="2">
        <v>263777460.75</v>
      </c>
      <c r="F259" t="s">
        <v>903</v>
      </c>
      <c r="G259">
        <v>0.39</v>
      </c>
      <c r="H259">
        <v>2.22007722007722</v>
      </c>
    </row>
    <row r="260" spans="1:9">
      <c r="A260">
        <v>8057</v>
      </c>
      <c r="B260">
        <v>11.24</v>
      </c>
      <c r="C260">
        <v>5.8</v>
      </c>
      <c r="D260">
        <v>12</v>
      </c>
      <c r="E260" s="2">
        <v>4480000000</v>
      </c>
      <c r="F260" t="s">
        <v>294</v>
      </c>
      <c r="G260">
        <v>41.95</v>
      </c>
      <c r="H260">
        <v>26.981450252951</v>
      </c>
      <c r="I260">
        <v>316.4065</v>
      </c>
    </row>
    <row r="261" spans="1:8">
      <c r="A261">
        <v>8051</v>
      </c>
      <c r="B261">
        <v>0.41</v>
      </c>
      <c r="C261">
        <v>0.2</v>
      </c>
      <c r="D261">
        <v>45.4</v>
      </c>
      <c r="E261" s="2">
        <v>330583735.75</v>
      </c>
      <c r="F261" t="s">
        <v>366</v>
      </c>
      <c r="G261">
        <v>4.32</v>
      </c>
      <c r="H261">
        <v>11.3832853025936</v>
      </c>
    </row>
    <row r="262" spans="1:8">
      <c r="A262">
        <v>8046</v>
      </c>
      <c r="B262">
        <v>0.27</v>
      </c>
      <c r="C262">
        <v>0.081</v>
      </c>
      <c r="D262">
        <v>0.35</v>
      </c>
      <c r="E262" s="2">
        <v>2007442654.92</v>
      </c>
      <c r="F262" t="s">
        <v>237</v>
      </c>
      <c r="G262">
        <v>3.32</v>
      </c>
      <c r="H262">
        <v>48.2142857142857</v>
      </c>
    </row>
    <row r="263" spans="1:8">
      <c r="A263">
        <v>8041</v>
      </c>
      <c r="B263">
        <v>0.14</v>
      </c>
      <c r="C263">
        <v>0.03</v>
      </c>
      <c r="D263">
        <v>0.8</v>
      </c>
      <c r="E263" s="2">
        <v>713831130.6</v>
      </c>
      <c r="F263" t="s">
        <v>437</v>
      </c>
      <c r="G263">
        <v>3.72</v>
      </c>
      <c r="H263">
        <v>5.95744680851063</v>
      </c>
    </row>
    <row r="264" spans="1:8">
      <c r="A264">
        <v>8037</v>
      </c>
      <c r="B264">
        <v>0.1</v>
      </c>
      <c r="C264">
        <v>0.062</v>
      </c>
      <c r="D264">
        <v>1.11</v>
      </c>
      <c r="E264" s="2">
        <v>65698675</v>
      </c>
      <c r="F264" t="s">
        <v>863</v>
      </c>
      <c r="G264">
        <v>0.33</v>
      </c>
      <c r="H264">
        <v>1.09289617486338</v>
      </c>
    </row>
    <row r="265" spans="1:8">
      <c r="A265">
        <v>8022</v>
      </c>
      <c r="B265">
        <v>0.35</v>
      </c>
      <c r="C265">
        <v>0.152</v>
      </c>
      <c r="D265">
        <v>0.55</v>
      </c>
      <c r="E265" s="2">
        <v>503057974.88</v>
      </c>
      <c r="F265" t="s">
        <v>912</v>
      </c>
      <c r="G265">
        <v>2.5</v>
      </c>
      <c r="H265">
        <v>17.6744186046511</v>
      </c>
    </row>
    <row r="266" spans="1:10">
      <c r="A266">
        <v>8018</v>
      </c>
      <c r="B266">
        <v>0.053</v>
      </c>
      <c r="C266">
        <v>0.038</v>
      </c>
      <c r="D266">
        <v>3.41</v>
      </c>
      <c r="E266" s="2">
        <v>196800000</v>
      </c>
      <c r="F266" t="s">
        <v>449</v>
      </c>
      <c r="G266">
        <v>1.98</v>
      </c>
      <c r="H266">
        <v>5.54054054054054</v>
      </c>
      <c r="I266">
        <v>17.3867</v>
      </c>
      <c r="J266">
        <v>21.429</v>
      </c>
    </row>
    <row r="267" spans="1:8">
      <c r="A267">
        <v>8007</v>
      </c>
      <c r="B267">
        <v>0.295</v>
      </c>
      <c r="C267">
        <v>0.047</v>
      </c>
      <c r="D267">
        <v>1.3</v>
      </c>
      <c r="E267" s="2">
        <v>1611675000</v>
      </c>
      <c r="F267" t="s">
        <v>1120</v>
      </c>
      <c r="G267">
        <v>11.54</v>
      </c>
      <c r="H267">
        <v>5.20072992700729</v>
      </c>
    </row>
    <row r="268" spans="1:10">
      <c r="A268">
        <v>8006</v>
      </c>
      <c r="B268">
        <v>0.021</v>
      </c>
      <c r="C268">
        <v>0.018</v>
      </c>
      <c r="D268">
        <v>4.2</v>
      </c>
      <c r="E268" s="2">
        <v>128608369.2</v>
      </c>
      <c r="F268" t="s">
        <v>362</v>
      </c>
      <c r="G268">
        <v>0.51</v>
      </c>
      <c r="H268">
        <v>1.81818181818181</v>
      </c>
      <c r="I268">
        <v>38.7141</v>
      </c>
      <c r="J268">
        <v>42</v>
      </c>
    </row>
    <row r="269" spans="1:10">
      <c r="A269">
        <v>8001</v>
      </c>
      <c r="B269">
        <v>1.15</v>
      </c>
      <c r="C269">
        <v>0.85</v>
      </c>
      <c r="D269">
        <v>3.81</v>
      </c>
      <c r="E269" s="2">
        <v>406800000</v>
      </c>
      <c r="F269" t="s">
        <v>466</v>
      </c>
      <c r="G269">
        <v>1.49</v>
      </c>
      <c r="H269">
        <v>15.9154929577464</v>
      </c>
      <c r="I269">
        <v>22.6882</v>
      </c>
      <c r="J269">
        <v>16.782</v>
      </c>
    </row>
    <row r="270" spans="1:10">
      <c r="A270">
        <v>6881</v>
      </c>
      <c r="B270">
        <v>6.08</v>
      </c>
      <c r="C270">
        <v>4.72</v>
      </c>
      <c r="D270">
        <v>14.12</v>
      </c>
      <c r="E270" s="2">
        <v>22662645646.62</v>
      </c>
      <c r="F270" t="s">
        <v>141</v>
      </c>
      <c r="G270">
        <v>0.88</v>
      </c>
      <c r="H270">
        <v>1.33948294169564</v>
      </c>
      <c r="I270">
        <v>12.4199</v>
      </c>
      <c r="J270">
        <v>8.665</v>
      </c>
    </row>
    <row r="271" spans="1:10">
      <c r="A271">
        <v>6869</v>
      </c>
      <c r="B271">
        <v>7.58</v>
      </c>
      <c r="C271">
        <v>6.05</v>
      </c>
      <c r="D271">
        <v>12.32</v>
      </c>
      <c r="E271" s="2">
        <v>2682454638.22</v>
      </c>
      <c r="F271" t="s">
        <v>160</v>
      </c>
      <c r="G271">
        <v>1.4</v>
      </c>
      <c r="H271">
        <v>0.627992911953469</v>
      </c>
      <c r="I271">
        <v>8.9254</v>
      </c>
      <c r="J271">
        <v>6.622</v>
      </c>
    </row>
    <row r="272" spans="1:8">
      <c r="A272">
        <v>6865</v>
      </c>
      <c r="B272">
        <v>1.27</v>
      </c>
      <c r="C272">
        <v>1.16</v>
      </c>
      <c r="D272">
        <v>2.18</v>
      </c>
      <c r="E272" s="2">
        <v>585000000</v>
      </c>
      <c r="F272" t="s">
        <v>23</v>
      </c>
      <c r="G272">
        <v>0.81</v>
      </c>
      <c r="H272">
        <v>4.7659</v>
      </c>
    </row>
    <row r="273" spans="1:9">
      <c r="A273">
        <v>6839</v>
      </c>
      <c r="B273">
        <v>4.1</v>
      </c>
      <c r="C273">
        <v>3.55</v>
      </c>
      <c r="D273">
        <v>7.72</v>
      </c>
      <c r="E273" s="2">
        <v>1491226990</v>
      </c>
      <c r="F273" t="s">
        <v>178</v>
      </c>
      <c r="G273">
        <v>1.01</v>
      </c>
      <c r="H273">
        <v>3.98914400189097</v>
      </c>
      <c r="I273">
        <v>23.4862</v>
      </c>
    </row>
    <row r="274" spans="1:10">
      <c r="A274">
        <v>6837</v>
      </c>
      <c r="B274">
        <v>12.18</v>
      </c>
      <c r="C274">
        <v>10</v>
      </c>
      <c r="D274">
        <v>27.9</v>
      </c>
      <c r="E274" s="2">
        <v>42210461991.6</v>
      </c>
      <c r="F274" t="s">
        <v>163</v>
      </c>
      <c r="G274">
        <v>1.1</v>
      </c>
      <c r="H274">
        <v>1.89335110485494</v>
      </c>
      <c r="I274">
        <v>14.7688</v>
      </c>
      <c r="J274">
        <v>10.896</v>
      </c>
    </row>
    <row r="275" spans="1:10">
      <c r="A275">
        <v>6198</v>
      </c>
      <c r="B275">
        <v>2.89</v>
      </c>
      <c r="C275">
        <v>2.65</v>
      </c>
      <c r="D275">
        <v>6.07</v>
      </c>
      <c r="E275" s="2">
        <v>2516713500</v>
      </c>
      <c r="F275" t="s">
        <v>565</v>
      </c>
      <c r="G275">
        <v>0.95</v>
      </c>
      <c r="H275">
        <v>1.50667845989336</v>
      </c>
      <c r="I275">
        <v>7.082</v>
      </c>
      <c r="J275">
        <v>6.111</v>
      </c>
    </row>
    <row r="276" spans="1:8">
      <c r="A276">
        <v>6196</v>
      </c>
      <c r="B276">
        <v>4.45</v>
      </c>
      <c r="C276">
        <v>3.88</v>
      </c>
      <c r="D276">
        <v>4.52</v>
      </c>
      <c r="E276" s="2">
        <v>6755100000</v>
      </c>
      <c r="F276" t="s">
        <v>27</v>
      </c>
      <c r="G276">
        <v>1.23</v>
      </c>
      <c r="H276">
        <v>7.6896</v>
      </c>
    </row>
    <row r="277" spans="1:10">
      <c r="A277">
        <v>6136</v>
      </c>
      <c r="B277">
        <v>1.66</v>
      </c>
      <c r="C277">
        <v>1.3</v>
      </c>
      <c r="D277">
        <v>5.11</v>
      </c>
      <c r="E277" s="2">
        <v>3473425200</v>
      </c>
      <c r="F277" t="s">
        <v>492</v>
      </c>
      <c r="G277">
        <v>0.91</v>
      </c>
      <c r="H277">
        <v>1.73682951324918</v>
      </c>
      <c r="I277">
        <v>9.4232</v>
      </c>
      <c r="J277">
        <v>6.792</v>
      </c>
    </row>
    <row r="278" spans="1:10">
      <c r="A278">
        <v>6108</v>
      </c>
      <c r="B278">
        <v>0.115</v>
      </c>
      <c r="C278">
        <v>0.083</v>
      </c>
      <c r="D278">
        <v>1</v>
      </c>
      <c r="E278" s="2">
        <v>169182000</v>
      </c>
      <c r="F278" t="s">
        <v>435</v>
      </c>
      <c r="G278">
        <v>0.33</v>
      </c>
      <c r="H278">
        <v>0.535224153705398</v>
      </c>
      <c r="I278">
        <v>5.7</v>
      </c>
      <c r="J278">
        <v>4.667</v>
      </c>
    </row>
    <row r="279" spans="1:8">
      <c r="A279">
        <v>3996</v>
      </c>
      <c r="B279">
        <v>1.16</v>
      </c>
      <c r="C279">
        <v>1.08</v>
      </c>
      <c r="D279">
        <v>1.71</v>
      </c>
      <c r="E279" s="2">
        <v>11114923200</v>
      </c>
      <c r="F279" t="s">
        <v>26</v>
      </c>
      <c r="G279">
        <v>0.79</v>
      </c>
      <c r="H279">
        <v>13.3824</v>
      </c>
    </row>
    <row r="280" spans="1:10">
      <c r="A280">
        <v>3993</v>
      </c>
      <c r="B280">
        <v>1.35</v>
      </c>
      <c r="C280">
        <v>0.99</v>
      </c>
      <c r="D280">
        <v>9.3</v>
      </c>
      <c r="E280" s="2">
        <v>5349516480</v>
      </c>
      <c r="F280" t="s">
        <v>480</v>
      </c>
      <c r="G280">
        <v>1.04</v>
      </c>
      <c r="H280">
        <v>1.39499445423031</v>
      </c>
      <c r="I280">
        <v>9.672</v>
      </c>
      <c r="J280">
        <v>7.21</v>
      </c>
    </row>
    <row r="281" spans="1:10">
      <c r="A281">
        <v>3988</v>
      </c>
      <c r="B281">
        <v>3.06</v>
      </c>
      <c r="C281">
        <v>2.83</v>
      </c>
      <c r="D281">
        <v>5.68</v>
      </c>
      <c r="E281" s="2">
        <v>259229056824.5</v>
      </c>
      <c r="F281" t="s">
        <v>139</v>
      </c>
      <c r="G281">
        <v>0.6</v>
      </c>
      <c r="H281">
        <v>1.57735840612024</v>
      </c>
      <c r="I281">
        <v>4.3035</v>
      </c>
      <c r="J281">
        <v>3.895</v>
      </c>
    </row>
    <row r="282" spans="1:8">
      <c r="A282">
        <v>3969</v>
      </c>
      <c r="B282">
        <v>4.19</v>
      </c>
      <c r="C282">
        <v>3.4</v>
      </c>
      <c r="D282">
        <v>6.77</v>
      </c>
      <c r="E282" s="2">
        <v>8347716240</v>
      </c>
      <c r="F282" t="s">
        <v>898</v>
      </c>
      <c r="G282">
        <v>1.77</v>
      </c>
      <c r="H282">
        <v>14.6575</v>
      </c>
    </row>
    <row r="283" spans="1:10">
      <c r="A283">
        <v>3968</v>
      </c>
      <c r="B283">
        <v>15.8</v>
      </c>
      <c r="C283">
        <v>12.72</v>
      </c>
      <c r="D283">
        <v>26.85</v>
      </c>
      <c r="E283" s="2">
        <v>64210048760</v>
      </c>
      <c r="F283" t="s">
        <v>138</v>
      </c>
      <c r="G283">
        <v>0.95</v>
      </c>
      <c r="H283">
        <v>1.58407946957401</v>
      </c>
      <c r="I283">
        <v>5.7636</v>
      </c>
      <c r="J283">
        <v>5.238</v>
      </c>
    </row>
    <row r="284" spans="1:8">
      <c r="A284">
        <v>3963</v>
      </c>
      <c r="B284">
        <v>1.24</v>
      </c>
      <c r="C284">
        <v>1.23</v>
      </c>
      <c r="D284">
        <v>3.08</v>
      </c>
      <c r="E284" s="2">
        <v>544511880</v>
      </c>
      <c r="F284" t="s">
        <v>1102</v>
      </c>
      <c r="G284">
        <v>0.7</v>
      </c>
      <c r="H284">
        <v>8.3052</v>
      </c>
    </row>
    <row r="285" spans="1:8">
      <c r="A285">
        <v>3908</v>
      </c>
      <c r="B285">
        <v>10.18</v>
      </c>
      <c r="C285">
        <v>9.52</v>
      </c>
      <c r="D285">
        <v>13</v>
      </c>
      <c r="E285" s="2">
        <v>15840248184.98</v>
      </c>
      <c r="F285" t="s">
        <v>174</v>
      </c>
      <c r="G285">
        <v>1.58</v>
      </c>
      <c r="H285">
        <v>17.1865</v>
      </c>
    </row>
    <row r="286" spans="1:10">
      <c r="A286">
        <v>3899</v>
      </c>
      <c r="B286">
        <v>4.27</v>
      </c>
      <c r="C286">
        <v>3.52</v>
      </c>
      <c r="D286">
        <v>10.48</v>
      </c>
      <c r="E286" s="2">
        <v>8401237841.92</v>
      </c>
      <c r="F286" t="s">
        <v>209</v>
      </c>
      <c r="G286">
        <v>1.17</v>
      </c>
      <c r="H286">
        <v>0.790383772880622</v>
      </c>
      <c r="I286">
        <v>6.5657</v>
      </c>
      <c r="J286">
        <v>5.651</v>
      </c>
    </row>
    <row r="287" spans="1:8">
      <c r="A287">
        <v>3889</v>
      </c>
      <c r="B287">
        <v>0.31</v>
      </c>
      <c r="C287">
        <v>0.153</v>
      </c>
      <c r="D287">
        <v>0.94</v>
      </c>
      <c r="E287" s="2">
        <v>465913730</v>
      </c>
      <c r="F287" t="s">
        <v>1095</v>
      </c>
      <c r="G287">
        <v>0.6</v>
      </c>
      <c r="H287">
        <v>0.248715648699339</v>
      </c>
    </row>
    <row r="288" spans="1:10">
      <c r="A288">
        <v>3888</v>
      </c>
      <c r="B288">
        <v>15.66</v>
      </c>
      <c r="C288">
        <v>14</v>
      </c>
      <c r="D288">
        <v>34.95</v>
      </c>
      <c r="E288" s="2">
        <v>21256641483.84</v>
      </c>
      <c r="F288" t="s">
        <v>481</v>
      </c>
      <c r="G288">
        <v>2.41</v>
      </c>
      <c r="H288">
        <v>2.73604577758662</v>
      </c>
      <c r="I288">
        <v>22.1127</v>
      </c>
      <c r="J288">
        <v>18.761</v>
      </c>
    </row>
    <row r="289" spans="1:9">
      <c r="A289">
        <v>3882</v>
      </c>
      <c r="B289">
        <v>0.91</v>
      </c>
      <c r="C289">
        <v>0.72</v>
      </c>
      <c r="D289">
        <v>3.74</v>
      </c>
      <c r="E289" s="2">
        <v>872347710</v>
      </c>
      <c r="F289" t="s">
        <v>161</v>
      </c>
      <c r="G289">
        <v>0.94</v>
      </c>
      <c r="H289">
        <v>0.332377874001341</v>
      </c>
      <c r="I289">
        <v>4.3206</v>
      </c>
    </row>
    <row r="290" spans="1:10">
      <c r="A290">
        <v>3836</v>
      </c>
      <c r="B290">
        <v>4.13</v>
      </c>
      <c r="C290">
        <v>2.96</v>
      </c>
      <c r="D290">
        <v>11.76</v>
      </c>
      <c r="E290" s="2">
        <v>6712484884.02</v>
      </c>
      <c r="F290" t="s">
        <v>1110</v>
      </c>
      <c r="G290">
        <v>0.96</v>
      </c>
      <c r="H290">
        <v>0.510686690830874</v>
      </c>
      <c r="I290">
        <v>9.8615</v>
      </c>
      <c r="J290">
        <v>6.966</v>
      </c>
    </row>
    <row r="291" spans="1:10">
      <c r="A291">
        <v>3818</v>
      </c>
      <c r="B291">
        <v>1.63</v>
      </c>
      <c r="C291">
        <v>1.11</v>
      </c>
      <c r="D291">
        <v>2.41</v>
      </c>
      <c r="E291" s="2">
        <v>8968969620</v>
      </c>
      <c r="F291" t="s">
        <v>679</v>
      </c>
      <c r="G291">
        <v>0.79</v>
      </c>
      <c r="H291">
        <v>4.40296525033058</v>
      </c>
      <c r="I291">
        <v>7.8362</v>
      </c>
      <c r="J291">
        <v>7.174</v>
      </c>
    </row>
    <row r="292" spans="1:10">
      <c r="A292">
        <v>3816</v>
      </c>
      <c r="B292">
        <v>1.13</v>
      </c>
      <c r="C292">
        <v>0.72</v>
      </c>
      <c r="D292">
        <v>2.56</v>
      </c>
      <c r="E292" s="2">
        <v>678000000</v>
      </c>
      <c r="F292" t="s">
        <v>1079</v>
      </c>
      <c r="G292">
        <v>1.32</v>
      </c>
      <c r="H292">
        <v>0.744547670817684</v>
      </c>
      <c r="I292">
        <v>21.5423</v>
      </c>
      <c r="J292">
        <v>23.619</v>
      </c>
    </row>
    <row r="293" spans="1:10">
      <c r="A293">
        <v>3813</v>
      </c>
      <c r="B293">
        <v>1.65</v>
      </c>
      <c r="C293">
        <v>0.47</v>
      </c>
      <c r="D293">
        <v>1.88</v>
      </c>
      <c r="E293" s="2">
        <v>9107720971.65</v>
      </c>
      <c r="F293" t="s">
        <v>49</v>
      </c>
      <c r="G293">
        <v>1.32</v>
      </c>
      <c r="H293">
        <v>0.496025510029238</v>
      </c>
      <c r="I293">
        <v>252.5911</v>
      </c>
      <c r="J293">
        <v>202.985</v>
      </c>
    </row>
    <row r="294" spans="1:10">
      <c r="A294">
        <v>3800</v>
      </c>
      <c r="B294">
        <v>1.17</v>
      </c>
      <c r="C294">
        <v>0.91</v>
      </c>
      <c r="D294">
        <v>3.08</v>
      </c>
      <c r="E294" s="2">
        <v>22676828959.62</v>
      </c>
      <c r="F294" t="s">
        <v>715</v>
      </c>
      <c r="G294">
        <v>1</v>
      </c>
      <c r="H294">
        <v>0.509564781555425</v>
      </c>
      <c r="I294">
        <v>11.5991</v>
      </c>
      <c r="J294">
        <v>7.754</v>
      </c>
    </row>
    <row r="295" spans="1:9">
      <c r="A295">
        <v>3799</v>
      </c>
      <c r="B295">
        <v>3.69</v>
      </c>
      <c r="C295">
        <v>3.37</v>
      </c>
      <c r="D295">
        <v>5.28</v>
      </c>
      <c r="E295" s="2">
        <v>52174587675</v>
      </c>
      <c r="F295" t="s">
        <v>154</v>
      </c>
      <c r="G295">
        <v>3.67</v>
      </c>
      <c r="H295">
        <v>2.54993746328566</v>
      </c>
      <c r="I295">
        <v>15.008</v>
      </c>
    </row>
    <row r="296" spans="1:8">
      <c r="A296">
        <v>3773</v>
      </c>
      <c r="B296">
        <v>0.91</v>
      </c>
      <c r="C296">
        <v>0.82</v>
      </c>
      <c r="D296">
        <v>2.49</v>
      </c>
      <c r="E296" s="2">
        <v>444050000</v>
      </c>
      <c r="F296" t="s">
        <v>40</v>
      </c>
      <c r="G296">
        <v>2.82</v>
      </c>
      <c r="H296">
        <v>12.4803</v>
      </c>
    </row>
    <row r="297" spans="1:10">
      <c r="A297">
        <v>3699</v>
      </c>
      <c r="B297">
        <v>33.85</v>
      </c>
      <c r="C297">
        <v>31.1</v>
      </c>
      <c r="D297">
        <v>78</v>
      </c>
      <c r="E297" s="2">
        <v>22676029100</v>
      </c>
      <c r="F297" t="s">
        <v>702</v>
      </c>
      <c r="G297">
        <v>0.8</v>
      </c>
      <c r="H297">
        <v>1.95830211372412</v>
      </c>
      <c r="I297">
        <v>5.0654</v>
      </c>
      <c r="J297">
        <v>4.339</v>
      </c>
    </row>
    <row r="298" spans="1:9">
      <c r="A298">
        <v>3606</v>
      </c>
      <c r="B298">
        <v>16.6</v>
      </c>
      <c r="C298">
        <v>12.16</v>
      </c>
      <c r="D298">
        <v>22.85</v>
      </c>
      <c r="E298" s="2">
        <v>8696856640</v>
      </c>
      <c r="F298" t="s">
        <v>137</v>
      </c>
      <c r="G298">
        <v>2.26</v>
      </c>
      <c r="H298">
        <v>2.59875306992815</v>
      </c>
      <c r="I298">
        <v>15.5492</v>
      </c>
    </row>
    <row r="299" spans="1:10">
      <c r="A299">
        <v>3399</v>
      </c>
      <c r="B299">
        <v>4.93</v>
      </c>
      <c r="C299">
        <v>2.06</v>
      </c>
      <c r="D299">
        <v>8.1</v>
      </c>
      <c r="E299" s="2">
        <v>1012230000</v>
      </c>
      <c r="F299" t="s">
        <v>136</v>
      </c>
      <c r="G299">
        <v>1.38</v>
      </c>
      <c r="H299">
        <v>0.313288386781726</v>
      </c>
      <c r="I299">
        <v>12.0808</v>
      </c>
      <c r="J299">
        <v>11.734</v>
      </c>
    </row>
    <row r="300" spans="1:9">
      <c r="A300">
        <v>3396</v>
      </c>
      <c r="B300">
        <v>19.4</v>
      </c>
      <c r="C300">
        <v>18.8</v>
      </c>
      <c r="D300">
        <v>43.95</v>
      </c>
      <c r="E300" s="2">
        <v>7578456166.6</v>
      </c>
      <c r="F300" t="s">
        <v>1089</v>
      </c>
      <c r="G300">
        <v>0.75</v>
      </c>
      <c r="H300">
        <v>0.126581601621634</v>
      </c>
      <c r="I300">
        <v>8.7597</v>
      </c>
    </row>
    <row r="301" spans="1:10">
      <c r="A301">
        <v>3393</v>
      </c>
      <c r="B301">
        <v>3.74</v>
      </c>
      <c r="C301">
        <v>3.11</v>
      </c>
      <c r="D301">
        <v>12.86</v>
      </c>
      <c r="E301" s="2">
        <v>3877832731.5</v>
      </c>
      <c r="F301" t="s">
        <v>482</v>
      </c>
      <c r="G301">
        <v>0.83</v>
      </c>
      <c r="H301">
        <v>0.932292016096332</v>
      </c>
      <c r="I301">
        <v>6.4283</v>
      </c>
      <c r="J301">
        <v>8.412</v>
      </c>
    </row>
    <row r="302" spans="1:10">
      <c r="A302">
        <v>3389</v>
      </c>
      <c r="B302">
        <v>0.83</v>
      </c>
      <c r="C302">
        <v>0.67</v>
      </c>
      <c r="D302">
        <v>2.09</v>
      </c>
      <c r="E302" s="2">
        <v>3919444986.38</v>
      </c>
      <c r="F302" t="s">
        <v>483</v>
      </c>
      <c r="G302">
        <v>0.51</v>
      </c>
      <c r="H302">
        <v>0.229848281746184</v>
      </c>
      <c r="I302">
        <v>6.2166</v>
      </c>
      <c r="J302">
        <v>6.393</v>
      </c>
    </row>
    <row r="303" spans="1:10">
      <c r="A303">
        <v>3382</v>
      </c>
      <c r="B303">
        <v>1.06</v>
      </c>
      <c r="C303">
        <v>0.99</v>
      </c>
      <c r="D303">
        <v>2.77</v>
      </c>
      <c r="E303" s="2">
        <v>6835380000</v>
      </c>
      <c r="F303" t="s">
        <v>484</v>
      </c>
      <c r="G303">
        <v>0.56</v>
      </c>
      <c r="H303">
        <v>0.294852042713701</v>
      </c>
      <c r="I303">
        <v>8.3447</v>
      </c>
      <c r="J303">
        <v>7.82</v>
      </c>
    </row>
    <row r="304" spans="1:10">
      <c r="A304">
        <v>3380</v>
      </c>
      <c r="B304">
        <v>2.48</v>
      </c>
      <c r="C304">
        <v>2.1</v>
      </c>
      <c r="D304">
        <v>3.7</v>
      </c>
      <c r="E304" s="2">
        <v>14060611620</v>
      </c>
      <c r="F304" t="s">
        <v>241</v>
      </c>
      <c r="G304">
        <v>0.89</v>
      </c>
      <c r="H304">
        <v>0.971753282980125</v>
      </c>
      <c r="I304">
        <v>4.7899</v>
      </c>
      <c r="J304">
        <v>3.935</v>
      </c>
    </row>
    <row r="305" spans="1:10">
      <c r="A305">
        <v>3378</v>
      </c>
      <c r="B305">
        <v>1.53</v>
      </c>
      <c r="C305">
        <v>1.2</v>
      </c>
      <c r="D305">
        <v>5.78</v>
      </c>
      <c r="E305" s="2">
        <v>1549119000</v>
      </c>
      <c r="F305" t="s">
        <v>485</v>
      </c>
      <c r="G305">
        <v>0.71</v>
      </c>
      <c r="H305">
        <v>0.542250991903129</v>
      </c>
      <c r="I305">
        <v>7.9621</v>
      </c>
      <c r="J305">
        <v>6.744</v>
      </c>
    </row>
    <row r="306" spans="1:10">
      <c r="A306">
        <v>3377</v>
      </c>
      <c r="B306">
        <v>3.91</v>
      </c>
      <c r="C306">
        <v>3.36</v>
      </c>
      <c r="D306">
        <v>6.76</v>
      </c>
      <c r="E306" s="2">
        <v>29378135558.87</v>
      </c>
      <c r="F306" t="s">
        <v>1081</v>
      </c>
      <c r="G306">
        <v>0.56</v>
      </c>
      <c r="H306">
        <v>0.756092157447052</v>
      </c>
      <c r="I306">
        <v>5.4073</v>
      </c>
      <c r="J306">
        <v>5.027</v>
      </c>
    </row>
    <row r="307" spans="1:8">
      <c r="A307">
        <v>3337</v>
      </c>
      <c r="B307">
        <v>0.77</v>
      </c>
      <c r="C307">
        <v>0.61</v>
      </c>
      <c r="D307">
        <v>5.2</v>
      </c>
      <c r="E307" s="2">
        <v>1772956837.6</v>
      </c>
      <c r="F307" t="s">
        <v>487</v>
      </c>
      <c r="G307">
        <v>0.74</v>
      </c>
      <c r="H307">
        <v>0.80856408438385</v>
      </c>
    </row>
    <row r="308" spans="1:10">
      <c r="A308">
        <v>3333</v>
      </c>
      <c r="B308">
        <v>5.57</v>
      </c>
      <c r="C308">
        <v>2.89</v>
      </c>
      <c r="D308">
        <v>8.4</v>
      </c>
      <c r="E308" s="2">
        <v>79857590216</v>
      </c>
      <c r="F308" t="s">
        <v>688</v>
      </c>
      <c r="G308">
        <v>0.61</v>
      </c>
      <c r="H308">
        <v>0.464570124274894</v>
      </c>
      <c r="I308">
        <v>5.0671</v>
      </c>
      <c r="J308">
        <v>4.571</v>
      </c>
    </row>
    <row r="309" spans="1:10">
      <c r="A309">
        <v>3330</v>
      </c>
      <c r="B309">
        <v>1.62</v>
      </c>
      <c r="C309">
        <v>1.08</v>
      </c>
      <c r="D309">
        <v>2.8</v>
      </c>
      <c r="E309" s="2">
        <v>502393060</v>
      </c>
      <c r="F309" t="s">
        <v>236</v>
      </c>
      <c r="G309">
        <v>0.67</v>
      </c>
      <c r="H309">
        <v>0.189145311832661</v>
      </c>
      <c r="I309">
        <v>30.9034</v>
      </c>
      <c r="J309">
        <v>24.863</v>
      </c>
    </row>
    <row r="310" spans="1:8">
      <c r="A310">
        <v>3326</v>
      </c>
      <c r="B310">
        <v>2.03</v>
      </c>
      <c r="C310">
        <v>1.12</v>
      </c>
      <c r="D310">
        <v>3.2</v>
      </c>
      <c r="E310" s="2">
        <v>1021500000</v>
      </c>
      <c r="F310" t="s">
        <v>47</v>
      </c>
      <c r="G310">
        <v>2.31</v>
      </c>
      <c r="H310">
        <v>11.2949</v>
      </c>
    </row>
    <row r="311" spans="1:10">
      <c r="A311">
        <v>3322</v>
      </c>
      <c r="B311">
        <v>1.16</v>
      </c>
      <c r="C311">
        <v>0.81</v>
      </c>
      <c r="D311">
        <v>1.94</v>
      </c>
      <c r="E311" s="2">
        <v>1541280000</v>
      </c>
      <c r="F311" t="s">
        <v>348</v>
      </c>
      <c r="G311">
        <v>0.69</v>
      </c>
      <c r="H311">
        <v>0.403036206085846</v>
      </c>
      <c r="I311">
        <v>48.5137</v>
      </c>
      <c r="J311">
        <v>48</v>
      </c>
    </row>
    <row r="312" spans="1:10">
      <c r="A312">
        <v>3315</v>
      </c>
      <c r="B312">
        <v>2.39</v>
      </c>
      <c r="C312">
        <v>2.19</v>
      </c>
      <c r="D312">
        <v>8.78</v>
      </c>
      <c r="E312" s="2">
        <v>2067568560</v>
      </c>
      <c r="F312" t="s">
        <v>490</v>
      </c>
      <c r="G312">
        <v>1.03</v>
      </c>
      <c r="H312">
        <v>0.913550064834795</v>
      </c>
      <c r="I312">
        <v>7.7446</v>
      </c>
      <c r="J312">
        <v>7.711</v>
      </c>
    </row>
    <row r="313" spans="1:9">
      <c r="A313">
        <v>2999</v>
      </c>
      <c r="B313">
        <v>1.71</v>
      </c>
      <c r="C313">
        <v>0.97</v>
      </c>
      <c r="D313">
        <v>2.36</v>
      </c>
      <c r="E313" s="2">
        <v>15839031037.5</v>
      </c>
      <c r="F313" t="s">
        <v>486</v>
      </c>
      <c r="G313">
        <v>5.15</v>
      </c>
      <c r="H313">
        <v>13.616206438889</v>
      </c>
      <c r="I313">
        <v>222.951</v>
      </c>
    </row>
    <row r="314" spans="1:7">
      <c r="A314">
        <v>2964</v>
      </c>
      <c r="B314">
        <v>14.7</v>
      </c>
      <c r="C314">
        <v>0.37</v>
      </c>
      <c r="D314">
        <v>14.6</v>
      </c>
      <c r="E314" s="2">
        <v>5048825751.8</v>
      </c>
      <c r="F314" t="s">
        <v>184</v>
      </c>
      <c r="G314">
        <v>0</v>
      </c>
    </row>
    <row r="315" spans="1:9">
      <c r="A315">
        <v>2917</v>
      </c>
      <c r="B315">
        <v>0.125</v>
      </c>
      <c r="C315">
        <v>0.04</v>
      </c>
      <c r="D315">
        <v>2.9</v>
      </c>
      <c r="E315" s="2">
        <v>48690991.5</v>
      </c>
      <c r="F315" t="s">
        <v>169</v>
      </c>
      <c r="G315">
        <v>0.02</v>
      </c>
      <c r="H315">
        <v>0.536480686695278</v>
      </c>
      <c r="I315">
        <v>0.3011</v>
      </c>
    </row>
    <row r="316" spans="1:10">
      <c r="A316">
        <v>2899</v>
      </c>
      <c r="B316">
        <v>2.56</v>
      </c>
      <c r="C316">
        <v>1.67</v>
      </c>
      <c r="D316">
        <v>3.63</v>
      </c>
      <c r="E316" s="2">
        <v>15403256700</v>
      </c>
      <c r="F316" t="s">
        <v>135</v>
      </c>
      <c r="G316">
        <v>1.71</v>
      </c>
      <c r="H316">
        <v>0.570586772459979</v>
      </c>
      <c r="I316">
        <v>19.6433</v>
      </c>
      <c r="J316">
        <v>12.768</v>
      </c>
    </row>
    <row r="317" spans="1:10">
      <c r="A317">
        <v>2883</v>
      </c>
      <c r="B317">
        <v>6.36</v>
      </c>
      <c r="C317">
        <v>4.79</v>
      </c>
      <c r="D317">
        <v>23.4</v>
      </c>
      <c r="E317" s="2">
        <v>12206975760</v>
      </c>
      <c r="F317" t="s">
        <v>954</v>
      </c>
      <c r="G317">
        <v>0.55</v>
      </c>
      <c r="H317">
        <v>1.05010565418358</v>
      </c>
      <c r="I317">
        <v>3.433</v>
      </c>
      <c r="J317">
        <v>2.495</v>
      </c>
    </row>
    <row r="318" spans="1:9">
      <c r="A318">
        <v>2878</v>
      </c>
      <c r="B318">
        <v>0.335</v>
      </c>
      <c r="C318">
        <v>0.27</v>
      </c>
      <c r="D318">
        <v>0.67</v>
      </c>
      <c r="E318" s="2">
        <v>829829287.59</v>
      </c>
      <c r="F318" t="s">
        <v>302</v>
      </c>
      <c r="G318" t="s">
        <v>303</v>
      </c>
      <c r="H318">
        <v>0.92</v>
      </c>
      <c r="I318">
        <v>1.52698019018971</v>
      </c>
    </row>
    <row r="319" spans="1:10">
      <c r="A319">
        <v>2868</v>
      </c>
      <c r="B319">
        <v>3.12</v>
      </c>
      <c r="C319">
        <v>2.6</v>
      </c>
      <c r="D319">
        <v>7.39</v>
      </c>
      <c r="E319" s="2">
        <v>3184758720</v>
      </c>
      <c r="F319" t="s">
        <v>1001</v>
      </c>
      <c r="G319">
        <v>0.86</v>
      </c>
      <c r="H319">
        <v>0.453177051315146</v>
      </c>
      <c r="I319">
        <v>4.4713</v>
      </c>
      <c r="J319">
        <v>2.659</v>
      </c>
    </row>
    <row r="320" spans="1:10">
      <c r="A320">
        <v>2866</v>
      </c>
      <c r="B320">
        <v>1.68</v>
      </c>
      <c r="C320">
        <v>1.34</v>
      </c>
      <c r="D320">
        <v>4.97</v>
      </c>
      <c r="E320" s="2">
        <v>6751800000</v>
      </c>
      <c r="F320" t="s">
        <v>988</v>
      </c>
      <c r="G320">
        <v>0.67</v>
      </c>
      <c r="H320">
        <v>0.519453633819714</v>
      </c>
      <c r="I320">
        <v>16.1089</v>
      </c>
      <c r="J320">
        <v>12.802</v>
      </c>
    </row>
    <row r="321" spans="1:7">
      <c r="A321">
        <v>2828</v>
      </c>
      <c r="B321">
        <v>84.4</v>
      </c>
      <c r="C321">
        <v>75.7</v>
      </c>
      <c r="D321">
        <v>151.2</v>
      </c>
      <c r="E321" s="2">
        <v>14411732922.65</v>
      </c>
      <c r="F321" t="s">
        <v>59</v>
      </c>
      <c r="G321">
        <v>0</v>
      </c>
    </row>
    <row r="322" spans="1:7">
      <c r="A322">
        <v>2800</v>
      </c>
      <c r="B322">
        <v>20.15</v>
      </c>
      <c r="C322">
        <v>18.48</v>
      </c>
      <c r="D322">
        <v>29.05</v>
      </c>
      <c r="E322" s="2">
        <v>49877847000</v>
      </c>
      <c r="F322" t="s">
        <v>285</v>
      </c>
      <c r="G322">
        <v>0</v>
      </c>
    </row>
    <row r="323" spans="1:8">
      <c r="A323">
        <v>2799</v>
      </c>
      <c r="B323">
        <v>2.93</v>
      </c>
      <c r="C323">
        <v>2.34</v>
      </c>
      <c r="D323">
        <v>3.15</v>
      </c>
      <c r="E323" s="2">
        <v>73378489049.74</v>
      </c>
      <c r="F323" t="s">
        <v>992</v>
      </c>
      <c r="G323">
        <v>1.11</v>
      </c>
      <c r="H323">
        <v>8.5914</v>
      </c>
    </row>
    <row r="324" spans="1:10">
      <c r="A324">
        <v>2789</v>
      </c>
      <c r="B324">
        <v>0.32</v>
      </c>
      <c r="C324">
        <v>0.295</v>
      </c>
      <c r="D324">
        <v>0.79</v>
      </c>
      <c r="E324" s="2">
        <v>1986794880</v>
      </c>
      <c r="F324" t="s">
        <v>489</v>
      </c>
      <c r="G324">
        <v>0.47</v>
      </c>
      <c r="H324">
        <v>0.208249163251608</v>
      </c>
      <c r="I324">
        <v>62.0748</v>
      </c>
      <c r="J324">
        <v>59.615</v>
      </c>
    </row>
    <row r="325" spans="1:10">
      <c r="A325">
        <v>2727</v>
      </c>
      <c r="B325">
        <v>3.54</v>
      </c>
      <c r="C325">
        <v>3</v>
      </c>
      <c r="D325">
        <v>9.25</v>
      </c>
      <c r="E325" s="2">
        <v>10553837600</v>
      </c>
      <c r="F325" t="s">
        <v>488</v>
      </c>
      <c r="G325">
        <v>1.04</v>
      </c>
      <c r="H325">
        <v>0.496051163057905</v>
      </c>
      <c r="I325">
        <v>14.5025</v>
      </c>
      <c r="J325">
        <v>13.072</v>
      </c>
    </row>
    <row r="326" spans="1:10">
      <c r="A326">
        <v>2722</v>
      </c>
      <c r="B326">
        <v>0.87</v>
      </c>
      <c r="C326">
        <v>0.8</v>
      </c>
      <c r="D326">
        <v>2.11</v>
      </c>
      <c r="E326" s="2">
        <v>1034176221.8</v>
      </c>
      <c r="F326" t="s">
        <v>514</v>
      </c>
      <c r="G326">
        <v>0.47</v>
      </c>
      <c r="H326">
        <v>0.293347781689407</v>
      </c>
      <c r="I326">
        <v>5.4107</v>
      </c>
      <c r="J326">
        <v>4.778</v>
      </c>
    </row>
    <row r="327" spans="1:9">
      <c r="A327">
        <v>2699</v>
      </c>
      <c r="B327">
        <v>1.52</v>
      </c>
      <c r="C327">
        <v>1.01</v>
      </c>
      <c r="D327">
        <v>1.75</v>
      </c>
      <c r="E327" s="2">
        <v>2857600000</v>
      </c>
      <c r="F327" t="s">
        <v>284</v>
      </c>
      <c r="G327">
        <v>1.53</v>
      </c>
      <c r="H327">
        <v>1.173217669714</v>
      </c>
      <c r="I327">
        <v>6.9215</v>
      </c>
    </row>
    <row r="328" spans="1:10">
      <c r="A328">
        <v>2689</v>
      </c>
      <c r="B328">
        <v>5.9</v>
      </c>
      <c r="C328">
        <v>3.76</v>
      </c>
      <c r="D328">
        <v>8.35</v>
      </c>
      <c r="E328" s="2">
        <v>27577364993.01</v>
      </c>
      <c r="F328" t="s">
        <v>15</v>
      </c>
      <c r="G328">
        <v>0.91</v>
      </c>
      <c r="H328">
        <v>0.69257245537463</v>
      </c>
      <c r="I328">
        <v>15.6274</v>
      </c>
      <c r="J328">
        <v>12.824</v>
      </c>
    </row>
    <row r="329" spans="1:9">
      <c r="A329">
        <v>2686</v>
      </c>
      <c r="B329">
        <v>1.44</v>
      </c>
      <c r="C329">
        <v>1.1</v>
      </c>
      <c r="D329">
        <v>2.85</v>
      </c>
      <c r="E329" s="2">
        <v>4923634762.6</v>
      </c>
      <c r="F329" t="s">
        <v>221</v>
      </c>
      <c r="G329">
        <v>0.91</v>
      </c>
      <c r="H329">
        <v>5.46290073975796</v>
      </c>
      <c r="I329">
        <v>20.1943</v>
      </c>
    </row>
    <row r="330" spans="1:7">
      <c r="A330">
        <v>2669</v>
      </c>
      <c r="B330">
        <v>0.93</v>
      </c>
      <c r="C330">
        <v>0.78</v>
      </c>
      <c r="D330">
        <v>1.86</v>
      </c>
      <c r="E330">
        <v>0</v>
      </c>
      <c r="F330" t="s">
        <v>281</v>
      </c>
      <c r="G330">
        <v>0</v>
      </c>
    </row>
    <row r="331" spans="1:9">
      <c r="A331">
        <v>2666</v>
      </c>
      <c r="B331">
        <v>5.59</v>
      </c>
      <c r="C331">
        <v>4.68</v>
      </c>
      <c r="D331">
        <v>8.29</v>
      </c>
      <c r="E331" s="2">
        <v>9594142602.2</v>
      </c>
      <c r="F331" t="s">
        <v>361</v>
      </c>
      <c r="G331">
        <v>1.43</v>
      </c>
      <c r="H331">
        <v>3.84097980797602</v>
      </c>
      <c r="I331">
        <v>16.8029</v>
      </c>
    </row>
    <row r="332" spans="1:10">
      <c r="A332">
        <v>2618</v>
      </c>
      <c r="B332">
        <v>5.43</v>
      </c>
      <c r="C332">
        <v>4.87</v>
      </c>
      <c r="D332">
        <v>10.96</v>
      </c>
      <c r="E332" s="2">
        <v>7013960839.97</v>
      </c>
      <c r="F332" t="s">
        <v>683</v>
      </c>
      <c r="G332">
        <v>1.84</v>
      </c>
      <c r="H332">
        <v>0.250321389125278</v>
      </c>
      <c r="I332">
        <v>6.4201</v>
      </c>
      <c r="J332">
        <v>6.06</v>
      </c>
    </row>
    <row r="333" spans="1:8">
      <c r="A333">
        <v>2600</v>
      </c>
      <c r="B333">
        <v>2.85</v>
      </c>
      <c r="C333">
        <v>2.13</v>
      </c>
      <c r="D333">
        <v>5.62</v>
      </c>
      <c r="E333" s="2">
        <v>11358621987.84</v>
      </c>
      <c r="F333" t="s">
        <v>974</v>
      </c>
      <c r="G333">
        <v>0.94</v>
      </c>
      <c r="H333">
        <v>0.252270294249963</v>
      </c>
    </row>
    <row r="334" spans="1:8">
      <c r="A334">
        <v>2488</v>
      </c>
      <c r="B334">
        <v>6.8</v>
      </c>
      <c r="C334">
        <v>4.86</v>
      </c>
      <c r="D334">
        <v>33.8</v>
      </c>
      <c r="E334" s="2">
        <v>1126137600</v>
      </c>
      <c r="F334" t="s">
        <v>678</v>
      </c>
      <c r="G334">
        <v>2.45</v>
      </c>
      <c r="H334">
        <v>2.46490367030696</v>
      </c>
    </row>
    <row r="335" spans="1:8">
      <c r="A335">
        <v>2389</v>
      </c>
      <c r="B335">
        <v>0.52</v>
      </c>
      <c r="C335">
        <v>0.48</v>
      </c>
      <c r="D335">
        <v>1.43</v>
      </c>
      <c r="E335" s="2">
        <v>3254036418.88</v>
      </c>
      <c r="F335" t="s">
        <v>651</v>
      </c>
      <c r="G335">
        <v>1.21</v>
      </c>
      <c r="H335">
        <v>8.98100172711571</v>
      </c>
    </row>
    <row r="336" spans="1:10">
      <c r="A336">
        <v>2388</v>
      </c>
      <c r="B336">
        <v>20.85</v>
      </c>
      <c r="C336">
        <v>18.82</v>
      </c>
      <c r="D336">
        <v>33.7</v>
      </c>
      <c r="E336" s="2">
        <v>224671580652.5</v>
      </c>
      <c r="F336" t="s">
        <v>491</v>
      </c>
      <c r="G336">
        <v>1.21</v>
      </c>
      <c r="H336">
        <v>3.43778816753757</v>
      </c>
      <c r="I336">
        <v>9.1415</v>
      </c>
      <c r="J336">
        <v>8.5</v>
      </c>
    </row>
    <row r="337" spans="1:10">
      <c r="A337">
        <v>2382</v>
      </c>
      <c r="B337">
        <v>18.58</v>
      </c>
      <c r="C337">
        <v>9.32</v>
      </c>
      <c r="D337">
        <v>19.94</v>
      </c>
      <c r="E337" s="2">
        <v>20623600000</v>
      </c>
      <c r="F337" t="s">
        <v>866</v>
      </c>
      <c r="G337">
        <v>4.78</v>
      </c>
      <c r="H337">
        <v>1.75896807675222</v>
      </c>
      <c r="I337">
        <v>29.1357</v>
      </c>
      <c r="J337">
        <v>23.942</v>
      </c>
    </row>
    <row r="338" spans="1:10">
      <c r="A338">
        <v>2380</v>
      </c>
      <c r="B338">
        <v>3.55</v>
      </c>
      <c r="C338">
        <v>3.08</v>
      </c>
      <c r="D338">
        <v>6.81</v>
      </c>
      <c r="E338" s="2">
        <v>26919902952.06</v>
      </c>
      <c r="F338" t="s">
        <v>432</v>
      </c>
      <c r="G338">
        <v>0.8</v>
      </c>
      <c r="H338">
        <v>1.07227734046766</v>
      </c>
      <c r="I338">
        <v>7.7838</v>
      </c>
      <c r="J338">
        <v>6.212</v>
      </c>
    </row>
    <row r="339" spans="1:8">
      <c r="A339">
        <v>2379</v>
      </c>
      <c r="B339">
        <v>1.04</v>
      </c>
      <c r="C339">
        <v>0.7</v>
      </c>
      <c r="D339">
        <v>5.4</v>
      </c>
      <c r="E339" s="2">
        <v>294795395.66</v>
      </c>
      <c r="F339" t="s">
        <v>287</v>
      </c>
      <c r="G339">
        <v>2.27</v>
      </c>
      <c r="H339">
        <v>32.563959726918</v>
      </c>
    </row>
    <row r="340" spans="1:10">
      <c r="A340">
        <v>2371</v>
      </c>
      <c r="B340">
        <v>0.16</v>
      </c>
      <c r="C340">
        <v>0.125</v>
      </c>
      <c r="D340">
        <v>0.86</v>
      </c>
      <c r="E340" s="2">
        <v>744403612.48</v>
      </c>
      <c r="F340" t="s">
        <v>279</v>
      </c>
      <c r="G340">
        <v>0.87</v>
      </c>
      <c r="H340">
        <v>8.25674343717908</v>
      </c>
      <c r="I340">
        <v>24.567</v>
      </c>
      <c r="J340">
        <v>19.178</v>
      </c>
    </row>
    <row r="341" spans="1:10">
      <c r="A341">
        <v>2369</v>
      </c>
      <c r="B341">
        <v>1.17</v>
      </c>
      <c r="C341">
        <v>1.07</v>
      </c>
      <c r="D341">
        <v>3.28</v>
      </c>
      <c r="E341" s="2">
        <v>6009344136</v>
      </c>
      <c r="F341" t="s">
        <v>677</v>
      </c>
      <c r="G341">
        <v>0.75</v>
      </c>
      <c r="H341">
        <v>0.224219436088118</v>
      </c>
      <c r="I341">
        <v>11.7174</v>
      </c>
      <c r="J341">
        <v>9.38</v>
      </c>
    </row>
    <row r="342" spans="1:8">
      <c r="A342">
        <v>2366</v>
      </c>
      <c r="B342">
        <v>0.65</v>
      </c>
      <c r="C342">
        <v>0.3</v>
      </c>
      <c r="D342">
        <v>1.56</v>
      </c>
      <c r="E342" s="2">
        <v>518436917.76</v>
      </c>
      <c r="F342" t="s">
        <v>975</v>
      </c>
      <c r="G342">
        <v>1.13</v>
      </c>
      <c r="H342">
        <v>3.6342986939239</v>
      </c>
    </row>
    <row r="343" spans="1:10">
      <c r="A343">
        <v>2357</v>
      </c>
      <c r="B343">
        <v>5.79</v>
      </c>
      <c r="C343">
        <v>3.9</v>
      </c>
      <c r="D343">
        <v>10.5</v>
      </c>
      <c r="E343" s="2">
        <v>13596623614.54</v>
      </c>
      <c r="F343" t="s">
        <v>493</v>
      </c>
      <c r="G343">
        <v>2.18</v>
      </c>
      <c r="H343">
        <v>1.09511711231745</v>
      </c>
      <c r="I343">
        <v>32.3332</v>
      </c>
      <c r="J343">
        <v>28.396</v>
      </c>
    </row>
    <row r="344" spans="1:10">
      <c r="A344">
        <v>2356</v>
      </c>
      <c r="B344">
        <v>13.42</v>
      </c>
      <c r="C344">
        <v>11.4</v>
      </c>
      <c r="D344">
        <v>19.6</v>
      </c>
      <c r="E344" s="2">
        <v>19178974607.04</v>
      </c>
      <c r="F344" t="s">
        <v>467</v>
      </c>
      <c r="G344">
        <v>0.92</v>
      </c>
      <c r="H344">
        <v>4.12483039348711</v>
      </c>
      <c r="I344">
        <v>9.4309</v>
      </c>
      <c r="J344">
        <v>7.832</v>
      </c>
    </row>
    <row r="345" spans="1:10">
      <c r="A345">
        <v>2348</v>
      </c>
      <c r="B345">
        <v>5.03</v>
      </c>
      <c r="C345">
        <v>3.91</v>
      </c>
      <c r="D345">
        <v>8.13</v>
      </c>
      <c r="E345" s="2">
        <v>4036112240</v>
      </c>
      <c r="F345" t="s">
        <v>494</v>
      </c>
      <c r="G345">
        <v>2.53</v>
      </c>
      <c r="H345">
        <v>3.22720483115257</v>
      </c>
      <c r="I345">
        <v>15.7345</v>
      </c>
      <c r="J345">
        <v>15.196</v>
      </c>
    </row>
    <row r="346" spans="1:10">
      <c r="A346">
        <v>2345</v>
      </c>
      <c r="B346">
        <v>1.13</v>
      </c>
      <c r="C346">
        <v>0.94</v>
      </c>
      <c r="D346">
        <v>2.56</v>
      </c>
      <c r="E346" s="2">
        <v>866069400</v>
      </c>
      <c r="F346" t="s">
        <v>425</v>
      </c>
      <c r="G346">
        <v>0.42</v>
      </c>
      <c r="H346">
        <v>0.178225300186358</v>
      </c>
      <c r="I346">
        <v>16.2668</v>
      </c>
      <c r="J346">
        <v>14.123</v>
      </c>
    </row>
    <row r="347" spans="1:8">
      <c r="A347">
        <v>2343</v>
      </c>
      <c r="B347">
        <v>1.15</v>
      </c>
      <c r="C347">
        <v>0.99</v>
      </c>
      <c r="D347">
        <v>4.89</v>
      </c>
      <c r="E347" s="2">
        <v>2238846586.85</v>
      </c>
      <c r="F347" t="s">
        <v>980</v>
      </c>
      <c r="G347">
        <v>0.3</v>
      </c>
      <c r="H347">
        <v>0.22282828199412</v>
      </c>
    </row>
    <row r="348" spans="1:10">
      <c r="A348">
        <v>2339</v>
      </c>
      <c r="B348">
        <v>0.194</v>
      </c>
      <c r="C348">
        <v>0.16</v>
      </c>
      <c r="D348">
        <v>0.69</v>
      </c>
      <c r="E348" s="2">
        <v>1164633158.98</v>
      </c>
      <c r="F348" t="s">
        <v>19</v>
      </c>
      <c r="G348">
        <v>1.45</v>
      </c>
      <c r="H348">
        <v>0.364489354023818</v>
      </c>
      <c r="I348">
        <v>3.381</v>
      </c>
      <c r="J348">
        <v>1.222</v>
      </c>
    </row>
    <row r="349" spans="1:10">
      <c r="A349">
        <v>2333</v>
      </c>
      <c r="B349">
        <v>5.91</v>
      </c>
      <c r="C349">
        <v>4.94</v>
      </c>
      <c r="D349">
        <v>60.7</v>
      </c>
      <c r="E349" s="2">
        <v>19744069800</v>
      </c>
      <c r="F349" t="s">
        <v>7</v>
      </c>
      <c r="G349">
        <v>1.43</v>
      </c>
      <c r="H349">
        <v>0.678496072787507</v>
      </c>
      <c r="I349">
        <v>5.7822</v>
      </c>
      <c r="J349">
        <v>6.418</v>
      </c>
    </row>
    <row r="350" spans="1:8">
      <c r="A350">
        <v>2331</v>
      </c>
      <c r="B350">
        <v>3.51</v>
      </c>
      <c r="C350">
        <v>2.67</v>
      </c>
      <c r="D350">
        <v>5.55</v>
      </c>
      <c r="E350" s="2">
        <v>6712345204.56</v>
      </c>
      <c r="F350" t="s">
        <v>776</v>
      </c>
      <c r="G350">
        <v>1.79</v>
      </c>
      <c r="H350">
        <v>0.730420518891147</v>
      </c>
    </row>
    <row r="351" spans="1:10">
      <c r="A351">
        <v>2328</v>
      </c>
      <c r="B351">
        <v>12.8</v>
      </c>
      <c r="C351">
        <v>11.2</v>
      </c>
      <c r="D351">
        <v>20.15</v>
      </c>
      <c r="E351" s="2">
        <v>59885870470.44</v>
      </c>
      <c r="F351" t="s">
        <v>313</v>
      </c>
      <c r="G351">
        <v>1.53</v>
      </c>
      <c r="H351">
        <v>5.73</v>
      </c>
      <c r="I351">
        <v>10.2153</v>
      </c>
      <c r="J351">
        <v>9.861</v>
      </c>
    </row>
    <row r="352" spans="1:8">
      <c r="A352">
        <v>2323</v>
      </c>
      <c r="B352">
        <v>2.69</v>
      </c>
      <c r="C352">
        <v>0.21</v>
      </c>
      <c r="D352">
        <v>4.4</v>
      </c>
      <c r="E352" s="2">
        <v>2700000000</v>
      </c>
      <c r="F352" t="s">
        <v>18</v>
      </c>
      <c r="G352">
        <v>6.33</v>
      </c>
      <c r="H352">
        <v>4.51882845188284</v>
      </c>
    </row>
    <row r="353" spans="1:10">
      <c r="A353">
        <v>2322</v>
      </c>
      <c r="B353">
        <v>6.65</v>
      </c>
      <c r="C353">
        <v>0.48</v>
      </c>
      <c r="D353">
        <v>7.11</v>
      </c>
      <c r="E353" s="2">
        <v>3325060800</v>
      </c>
      <c r="F353" t="s">
        <v>1145</v>
      </c>
      <c r="G353">
        <v>7.95</v>
      </c>
      <c r="H353">
        <v>2.40337315530569</v>
      </c>
      <c r="I353">
        <v>416.5177</v>
      </c>
      <c r="J353">
        <v>168.354</v>
      </c>
    </row>
    <row r="354" spans="1:10">
      <c r="A354">
        <v>2318</v>
      </c>
      <c r="B354">
        <v>34.6</v>
      </c>
      <c r="C354">
        <v>30.5</v>
      </c>
      <c r="D354">
        <v>125.8</v>
      </c>
      <c r="E354" s="2">
        <v>266623253449.6</v>
      </c>
      <c r="F354" t="s">
        <v>800</v>
      </c>
      <c r="G354">
        <v>1.64</v>
      </c>
      <c r="H354">
        <v>5.96</v>
      </c>
      <c r="I354">
        <v>13.3246</v>
      </c>
      <c r="J354">
        <v>10.959</v>
      </c>
    </row>
    <row r="355" spans="1:10">
      <c r="A355">
        <v>2313</v>
      </c>
      <c r="B355">
        <v>40.15</v>
      </c>
      <c r="C355">
        <v>22.2</v>
      </c>
      <c r="D355">
        <v>44.55</v>
      </c>
      <c r="E355" s="2">
        <v>55120600000</v>
      </c>
      <c r="F355" t="s">
        <v>434</v>
      </c>
      <c r="G355">
        <v>3.69</v>
      </c>
      <c r="H355">
        <v>3.72719890327872</v>
      </c>
      <c r="I355">
        <v>21.3384</v>
      </c>
      <c r="J355">
        <v>22.557</v>
      </c>
    </row>
    <row r="356" spans="1:10">
      <c r="A356">
        <v>2308</v>
      </c>
      <c r="B356">
        <v>1.32</v>
      </c>
      <c r="C356">
        <v>0.78</v>
      </c>
      <c r="D356">
        <v>3.72</v>
      </c>
      <c r="E356" s="2">
        <v>410108160</v>
      </c>
      <c r="F356" t="s">
        <v>133</v>
      </c>
      <c r="G356">
        <v>0.88</v>
      </c>
      <c r="H356">
        <v>0.749915259575668</v>
      </c>
      <c r="I356">
        <v>10.9673</v>
      </c>
      <c r="J356">
        <v>10.058</v>
      </c>
    </row>
    <row r="357" spans="1:10">
      <c r="A357">
        <v>2298</v>
      </c>
      <c r="B357">
        <v>6.59</v>
      </c>
      <c r="C357">
        <v>3.45</v>
      </c>
      <c r="D357">
        <v>9.48</v>
      </c>
      <c r="E357" s="2">
        <v>12201324800</v>
      </c>
      <c r="F357" t="s">
        <v>717</v>
      </c>
      <c r="G357">
        <v>4.06</v>
      </c>
      <c r="H357">
        <v>2.17717047210097</v>
      </c>
      <c r="I357">
        <v>22.9476</v>
      </c>
      <c r="J357">
        <v>21.808</v>
      </c>
    </row>
    <row r="358" spans="1:10">
      <c r="A358">
        <v>2280</v>
      </c>
      <c r="B358">
        <v>4.17</v>
      </c>
      <c r="C358">
        <v>3.04</v>
      </c>
      <c r="D358">
        <v>18.48</v>
      </c>
      <c r="E358" s="2">
        <v>3743775788.48</v>
      </c>
      <c r="F358" t="s">
        <v>495</v>
      </c>
      <c r="G358">
        <v>1.94</v>
      </c>
      <c r="H358">
        <v>3.00992623748866</v>
      </c>
      <c r="I358">
        <v>15.957</v>
      </c>
      <c r="J358">
        <v>9.427</v>
      </c>
    </row>
    <row r="359" spans="1:10">
      <c r="A359">
        <v>2255</v>
      </c>
      <c r="B359">
        <v>1.74</v>
      </c>
      <c r="C359">
        <v>1.02</v>
      </c>
      <c r="D359">
        <v>2.13</v>
      </c>
      <c r="E359" s="2">
        <v>7160000000</v>
      </c>
      <c r="F359" t="s">
        <v>134</v>
      </c>
      <c r="G359">
        <v>1.55</v>
      </c>
      <c r="H359">
        <v>4.85181605101096</v>
      </c>
      <c r="I359">
        <v>29.8263</v>
      </c>
      <c r="J359">
        <v>23.138</v>
      </c>
    </row>
    <row r="360" spans="1:10">
      <c r="A360">
        <v>2238</v>
      </c>
      <c r="B360">
        <v>7.04</v>
      </c>
      <c r="C360">
        <v>4.71</v>
      </c>
      <c r="D360">
        <v>9.7</v>
      </c>
      <c r="E360" s="2">
        <v>15957894571.78</v>
      </c>
      <c r="F360" t="s">
        <v>216</v>
      </c>
      <c r="G360">
        <v>1.04</v>
      </c>
      <c r="H360">
        <v>1.53973495331389</v>
      </c>
      <c r="I360">
        <v>11.6491</v>
      </c>
      <c r="J360">
        <v>10.567</v>
      </c>
    </row>
    <row r="361" spans="1:10">
      <c r="A361">
        <v>2223</v>
      </c>
      <c r="B361">
        <v>3.1</v>
      </c>
      <c r="C361">
        <v>1.03</v>
      </c>
      <c r="D361">
        <v>11.8</v>
      </c>
      <c r="E361" s="2">
        <v>826982400</v>
      </c>
      <c r="F361" t="s">
        <v>111</v>
      </c>
      <c r="G361">
        <v>2.24</v>
      </c>
      <c r="H361">
        <v>2.21883233948134</v>
      </c>
      <c r="I361">
        <v>64.8461</v>
      </c>
      <c r="J361">
        <v>48.819</v>
      </c>
    </row>
    <row r="362" spans="1:10">
      <c r="A362">
        <v>2211</v>
      </c>
      <c r="B362">
        <v>1.1</v>
      </c>
      <c r="C362">
        <v>0.69</v>
      </c>
      <c r="D362">
        <v>5.58</v>
      </c>
      <c r="E362" s="2">
        <v>2180000000</v>
      </c>
      <c r="F362" t="s">
        <v>496</v>
      </c>
      <c r="G362">
        <v>0.64</v>
      </c>
      <c r="H362">
        <v>0.338468303241441</v>
      </c>
      <c r="I362">
        <v>3.6881</v>
      </c>
      <c r="J362">
        <v>8.311</v>
      </c>
    </row>
    <row r="363" spans="1:10">
      <c r="A363">
        <v>2208</v>
      </c>
      <c r="B363">
        <v>9.19</v>
      </c>
      <c r="C363">
        <v>8.19</v>
      </c>
      <c r="D363">
        <v>19.78</v>
      </c>
      <c r="E363" s="2">
        <v>4870455832</v>
      </c>
      <c r="F363" t="s">
        <v>497</v>
      </c>
      <c r="G363">
        <v>1.48</v>
      </c>
      <c r="H363">
        <v>1.08703132125621</v>
      </c>
      <c r="I363">
        <v>11.646</v>
      </c>
      <c r="J363">
        <v>11.731</v>
      </c>
    </row>
    <row r="364" spans="1:10">
      <c r="A364">
        <v>2202</v>
      </c>
      <c r="B364">
        <v>18.44</v>
      </c>
      <c r="C364">
        <v>13.36</v>
      </c>
      <c r="D364">
        <v>24.1</v>
      </c>
      <c r="E364" s="2">
        <v>24352975267.36</v>
      </c>
      <c r="F364" t="s">
        <v>170</v>
      </c>
      <c r="G364">
        <v>1.94</v>
      </c>
      <c r="H364">
        <v>1.65207981585811</v>
      </c>
      <c r="I364">
        <v>10.3842</v>
      </c>
      <c r="J364">
        <v>9.468</v>
      </c>
    </row>
    <row r="365" spans="1:10">
      <c r="A365">
        <v>2196</v>
      </c>
      <c r="B365">
        <v>18.56</v>
      </c>
      <c r="C365">
        <v>16.32</v>
      </c>
      <c r="D365">
        <v>35.15</v>
      </c>
      <c r="E365" s="2">
        <v>7589804880</v>
      </c>
      <c r="F365" t="s">
        <v>575</v>
      </c>
      <c r="G365">
        <v>2.06</v>
      </c>
      <c r="H365">
        <v>2.91934285375195</v>
      </c>
      <c r="I365">
        <v>16.4845</v>
      </c>
      <c r="J365">
        <v>14.488</v>
      </c>
    </row>
    <row r="366" spans="1:8">
      <c r="A366">
        <v>2188</v>
      </c>
      <c r="B366">
        <v>1.31</v>
      </c>
      <c r="C366">
        <v>0.45</v>
      </c>
      <c r="D366">
        <v>2.16</v>
      </c>
      <c r="E366" s="2">
        <v>1248825600</v>
      </c>
      <c r="F366" t="s">
        <v>667</v>
      </c>
      <c r="G366">
        <v>2.08</v>
      </c>
      <c r="H366">
        <v>6.20590360714699</v>
      </c>
    </row>
    <row r="367" spans="1:10">
      <c r="A367">
        <v>2186</v>
      </c>
      <c r="B367">
        <v>6.28</v>
      </c>
      <c r="C367">
        <v>5.65</v>
      </c>
      <c r="D367">
        <v>11.54</v>
      </c>
      <c r="E367" s="2">
        <v>20889554472.47</v>
      </c>
      <c r="F367" t="s">
        <v>132</v>
      </c>
      <c r="G367">
        <v>3.11</v>
      </c>
      <c r="H367">
        <v>4.61662232409487</v>
      </c>
      <c r="I367">
        <v>27.5898</v>
      </c>
      <c r="J367">
        <v>24.802</v>
      </c>
    </row>
    <row r="368" spans="1:8">
      <c r="A368">
        <v>2120</v>
      </c>
      <c r="B368">
        <v>39.6</v>
      </c>
      <c r="C368">
        <v>37.8</v>
      </c>
      <c r="D368">
        <v>51.6</v>
      </c>
      <c r="E368" s="2">
        <v>809600000</v>
      </c>
      <c r="F368" t="s">
        <v>176</v>
      </c>
      <c r="G368">
        <v>3.15</v>
      </c>
      <c r="H368">
        <v>45.6372</v>
      </c>
    </row>
    <row r="369" spans="1:8">
      <c r="A369">
        <v>2100</v>
      </c>
      <c r="B369">
        <v>0.47</v>
      </c>
      <c r="C369">
        <v>0.4</v>
      </c>
      <c r="D369">
        <v>1.63</v>
      </c>
      <c r="E369" s="2">
        <v>1343622840</v>
      </c>
      <c r="F369" t="s">
        <v>673</v>
      </c>
      <c r="G369">
        <v>0.76</v>
      </c>
      <c r="H369">
        <v>2.46195055418506</v>
      </c>
    </row>
    <row r="370" spans="1:10">
      <c r="A370">
        <v>2086</v>
      </c>
      <c r="B370">
        <v>1.76</v>
      </c>
      <c r="C370">
        <v>0.95</v>
      </c>
      <c r="D370">
        <v>2.2</v>
      </c>
      <c r="E370" s="2">
        <v>511303827.6</v>
      </c>
      <c r="F370" t="s">
        <v>1057</v>
      </c>
      <c r="G370">
        <v>4.24</v>
      </c>
      <c r="H370">
        <v>2.17970452894163</v>
      </c>
      <c r="I370">
        <v>21.5522</v>
      </c>
      <c r="J370">
        <v>19.042</v>
      </c>
    </row>
    <row r="371" spans="1:10">
      <c r="A371">
        <v>2039</v>
      </c>
      <c r="B371">
        <v>11.88</v>
      </c>
      <c r="C371">
        <v>10.2</v>
      </c>
      <c r="D371">
        <v>24.4</v>
      </c>
      <c r="E371" s="2">
        <v>21972180595.2</v>
      </c>
      <c r="F371" t="s">
        <v>131</v>
      </c>
      <c r="G371">
        <v>1.1</v>
      </c>
      <c r="H371">
        <v>0.460645934406046</v>
      </c>
      <c r="I371">
        <v>12.3023</v>
      </c>
      <c r="J371">
        <v>10.415</v>
      </c>
    </row>
    <row r="372" spans="1:10">
      <c r="A372">
        <v>2038</v>
      </c>
      <c r="B372">
        <v>2.96</v>
      </c>
      <c r="C372">
        <v>2.56</v>
      </c>
      <c r="D372">
        <v>5</v>
      </c>
      <c r="E372" s="2">
        <v>23523235392.96</v>
      </c>
      <c r="F372" t="s">
        <v>373</v>
      </c>
      <c r="G372">
        <v>0.79</v>
      </c>
      <c r="H372">
        <v>0.379099612468601</v>
      </c>
      <c r="I372">
        <v>17.9001</v>
      </c>
      <c r="J372">
        <v>16.092</v>
      </c>
    </row>
    <row r="373" spans="1:10">
      <c r="A373">
        <v>2020</v>
      </c>
      <c r="B373">
        <v>17.3</v>
      </c>
      <c r="C373">
        <v>11.38</v>
      </c>
      <c r="D373">
        <v>24.45</v>
      </c>
      <c r="E373" s="2">
        <v>45520404020</v>
      </c>
      <c r="F373" t="s">
        <v>471</v>
      </c>
      <c r="G373">
        <v>4.45</v>
      </c>
      <c r="H373">
        <v>3.29423587584286</v>
      </c>
      <c r="I373">
        <v>18.6878</v>
      </c>
      <c r="J373">
        <v>19.981</v>
      </c>
    </row>
    <row r="374" spans="1:10">
      <c r="A374">
        <v>2018</v>
      </c>
      <c r="B374">
        <v>54.1</v>
      </c>
      <c r="C374">
        <v>34</v>
      </c>
      <c r="D374">
        <v>60</v>
      </c>
      <c r="E374" s="2">
        <v>66312000000</v>
      </c>
      <c r="F374" t="s">
        <v>498</v>
      </c>
      <c r="G374">
        <v>5.63</v>
      </c>
      <c r="H374">
        <v>5.0664514458108</v>
      </c>
      <c r="I374">
        <v>22.8816</v>
      </c>
      <c r="J374">
        <v>21.377</v>
      </c>
    </row>
    <row r="375" spans="1:10">
      <c r="A375">
        <v>2014</v>
      </c>
      <c r="B375">
        <v>1.6</v>
      </c>
      <c r="C375">
        <v>1.26</v>
      </c>
      <c r="D375">
        <v>4.7</v>
      </c>
      <c r="E375" s="2">
        <v>2784788020</v>
      </c>
      <c r="F375" t="s">
        <v>180</v>
      </c>
      <c r="G375">
        <v>1.2</v>
      </c>
      <c r="H375">
        <v>3.18603155113192</v>
      </c>
      <c r="I375">
        <v>17.9748</v>
      </c>
      <c r="J375">
        <v>16.946</v>
      </c>
    </row>
    <row r="376" spans="1:10">
      <c r="A376">
        <v>2009</v>
      </c>
      <c r="B376">
        <v>4.97</v>
      </c>
      <c r="C376">
        <v>3.81</v>
      </c>
      <c r="D376">
        <v>10.78</v>
      </c>
      <c r="E376" s="2">
        <v>6104176310.7</v>
      </c>
      <c r="F376" t="s">
        <v>499</v>
      </c>
      <c r="G376">
        <v>0.73</v>
      </c>
      <c r="H376">
        <v>0.593168656578195</v>
      </c>
      <c r="I376">
        <v>9.1996</v>
      </c>
      <c r="J376">
        <v>6.447</v>
      </c>
    </row>
    <row r="377" spans="1:10">
      <c r="A377">
        <v>2006</v>
      </c>
      <c r="B377">
        <v>3.04</v>
      </c>
      <c r="C377">
        <v>2.02</v>
      </c>
      <c r="D377">
        <v>4.14</v>
      </c>
      <c r="E377" s="2">
        <v>4104925000</v>
      </c>
      <c r="F377" t="s">
        <v>130</v>
      </c>
      <c r="G377">
        <v>1.37</v>
      </c>
      <c r="H377">
        <v>0.989276563980519</v>
      </c>
      <c r="I377">
        <v>21.1382</v>
      </c>
      <c r="J377">
        <v>18.983</v>
      </c>
    </row>
    <row r="378" spans="1:10">
      <c r="A378">
        <v>2000</v>
      </c>
      <c r="B378">
        <v>0.365</v>
      </c>
      <c r="C378">
        <v>0.285</v>
      </c>
      <c r="D378">
        <v>0.78</v>
      </c>
      <c r="E378" s="2">
        <v>959211112.5</v>
      </c>
      <c r="F378" t="s">
        <v>129</v>
      </c>
      <c r="G378">
        <v>0.5</v>
      </c>
      <c r="H378">
        <v>0.408763897972531</v>
      </c>
      <c r="I378">
        <v>40.0222</v>
      </c>
      <c r="J378">
        <v>34.043</v>
      </c>
    </row>
    <row r="379" spans="1:8">
      <c r="A379">
        <v>1991</v>
      </c>
      <c r="B379">
        <v>1.47</v>
      </c>
      <c r="C379">
        <v>0.41</v>
      </c>
      <c r="D379">
        <v>1.9</v>
      </c>
      <c r="E379" s="2">
        <v>1185776320</v>
      </c>
      <c r="F379" t="s">
        <v>1108</v>
      </c>
      <c r="G379">
        <v>2.49</v>
      </c>
      <c r="H379">
        <v>2.71186440677966</v>
      </c>
    </row>
    <row r="380" spans="1:8">
      <c r="A380">
        <v>1980</v>
      </c>
      <c r="B380">
        <v>4.48</v>
      </c>
      <c r="C380">
        <v>2.28</v>
      </c>
      <c r="D380">
        <v>7.72</v>
      </c>
      <c r="E380" s="2">
        <v>6173156275.2</v>
      </c>
      <c r="F380" t="s">
        <v>500</v>
      </c>
      <c r="G380">
        <v>2.31</v>
      </c>
      <c r="H380">
        <v>6.5633119150132</v>
      </c>
    </row>
    <row r="381" spans="1:8">
      <c r="A381">
        <v>1979</v>
      </c>
      <c r="B381">
        <v>0.53</v>
      </c>
      <c r="C381">
        <v>0.33</v>
      </c>
      <c r="D381">
        <v>1.42</v>
      </c>
      <c r="E381" s="2">
        <v>500000000</v>
      </c>
      <c r="F381" t="s">
        <v>858</v>
      </c>
      <c r="G381">
        <v>1.08</v>
      </c>
      <c r="H381">
        <v>9.1379</v>
      </c>
    </row>
    <row r="382" spans="1:9">
      <c r="A382">
        <v>1970</v>
      </c>
      <c r="B382">
        <v>49.55</v>
      </c>
      <c r="C382">
        <v>32.3</v>
      </c>
      <c r="D382">
        <v>60</v>
      </c>
      <c r="E382" s="2">
        <v>17748483750</v>
      </c>
      <c r="F382" t="s">
        <v>126</v>
      </c>
      <c r="G382" t="s">
        <v>127</v>
      </c>
      <c r="H382">
        <v>14.52</v>
      </c>
      <c r="I382">
        <v>20.6237177915693</v>
      </c>
    </row>
    <row r="383" spans="1:10">
      <c r="A383">
        <v>1929</v>
      </c>
      <c r="B383">
        <v>4.93</v>
      </c>
      <c r="C383">
        <v>4.2</v>
      </c>
      <c r="D383">
        <v>11.78</v>
      </c>
      <c r="E383" s="2">
        <v>49500000000</v>
      </c>
      <c r="F383" t="s">
        <v>943</v>
      </c>
      <c r="G383">
        <v>1.28</v>
      </c>
      <c r="H383">
        <v>0.872385047848998</v>
      </c>
      <c r="I383">
        <v>9.0726</v>
      </c>
      <c r="J383">
        <v>7.845</v>
      </c>
    </row>
    <row r="384" spans="1:10">
      <c r="A384">
        <v>1919</v>
      </c>
      <c r="B384">
        <v>3.02</v>
      </c>
      <c r="C384">
        <v>2.56</v>
      </c>
      <c r="D384">
        <v>8.16</v>
      </c>
      <c r="E384" s="2">
        <v>8051472000</v>
      </c>
      <c r="F384" t="s">
        <v>985</v>
      </c>
      <c r="G384">
        <v>0.96</v>
      </c>
      <c r="H384">
        <v>0.417925562495793</v>
      </c>
      <c r="I384">
        <v>70.3162</v>
      </c>
      <c r="J384">
        <v>60.811</v>
      </c>
    </row>
    <row r="385" spans="1:10">
      <c r="A385">
        <v>1918</v>
      </c>
      <c r="B385">
        <v>5.55</v>
      </c>
      <c r="C385">
        <v>3.83</v>
      </c>
      <c r="D385">
        <v>10.78</v>
      </c>
      <c r="E385" s="2">
        <v>19444846083.52</v>
      </c>
      <c r="F385" t="s">
        <v>186</v>
      </c>
      <c r="G385">
        <v>0.96</v>
      </c>
      <c r="H385">
        <v>1.262979063967</v>
      </c>
      <c r="I385">
        <v>4.8264</v>
      </c>
      <c r="J385">
        <v>3.792</v>
      </c>
    </row>
    <row r="386" spans="1:10">
      <c r="A386">
        <v>1899</v>
      </c>
      <c r="B386">
        <v>1.35</v>
      </c>
      <c r="C386">
        <v>1.2</v>
      </c>
      <c r="D386">
        <v>3.35</v>
      </c>
      <c r="E386" s="2">
        <v>2097367517.13</v>
      </c>
      <c r="F386" t="s">
        <v>48</v>
      </c>
      <c r="G386">
        <v>0.34</v>
      </c>
      <c r="H386">
        <v>0.343826458408688</v>
      </c>
      <c r="I386">
        <v>5.1172</v>
      </c>
      <c r="J386">
        <v>5.056</v>
      </c>
    </row>
    <row r="387" spans="1:10">
      <c r="A387">
        <v>1898</v>
      </c>
      <c r="B387">
        <v>2.92</v>
      </c>
      <c r="C387">
        <v>2.31</v>
      </c>
      <c r="D387">
        <v>5.6</v>
      </c>
      <c r="E387" s="2">
        <v>12607455410</v>
      </c>
      <c r="F387" t="s">
        <v>902</v>
      </c>
      <c r="G387">
        <v>0.38</v>
      </c>
      <c r="H387">
        <v>0.537732033211479</v>
      </c>
      <c r="I387">
        <v>230.7126</v>
      </c>
      <c r="J387">
        <v>184.962</v>
      </c>
    </row>
    <row r="388" spans="1:8">
      <c r="A388">
        <v>1886</v>
      </c>
      <c r="B388">
        <v>3.04</v>
      </c>
      <c r="C388">
        <v>2.03</v>
      </c>
      <c r="D388">
        <v>5.1</v>
      </c>
      <c r="E388" s="2">
        <v>7944744653.04</v>
      </c>
      <c r="F388" t="s">
        <v>519</v>
      </c>
      <c r="G388">
        <v>0.63</v>
      </c>
      <c r="H388">
        <v>1.16518848813492</v>
      </c>
    </row>
    <row r="389" spans="1:10">
      <c r="A389">
        <v>1883</v>
      </c>
      <c r="B389">
        <v>3.17</v>
      </c>
      <c r="C389">
        <v>2.28</v>
      </c>
      <c r="D389">
        <v>4.42</v>
      </c>
      <c r="E389" s="2">
        <v>10756165871.64</v>
      </c>
      <c r="F389" t="s">
        <v>502</v>
      </c>
      <c r="G389">
        <v>1.53</v>
      </c>
      <c r="H389">
        <v>1.28495231937934</v>
      </c>
      <c r="I389">
        <v>13.4081</v>
      </c>
      <c r="J389">
        <v>12.362</v>
      </c>
    </row>
    <row r="390" spans="1:10">
      <c r="A390">
        <v>1866</v>
      </c>
      <c r="B390">
        <v>2.44</v>
      </c>
      <c r="C390">
        <v>1.91</v>
      </c>
      <c r="D390">
        <v>5.3</v>
      </c>
      <c r="E390" s="2">
        <v>2490000000</v>
      </c>
      <c r="F390" t="s">
        <v>460</v>
      </c>
      <c r="G390">
        <v>0.67</v>
      </c>
      <c r="H390">
        <v>0.343103469652714</v>
      </c>
      <c r="I390">
        <v>8.2699</v>
      </c>
      <c r="J390">
        <v>9.805</v>
      </c>
    </row>
    <row r="391" spans="1:10">
      <c r="A391">
        <v>1833</v>
      </c>
      <c r="B391">
        <v>6.27</v>
      </c>
      <c r="C391">
        <v>4.2</v>
      </c>
      <c r="D391">
        <v>17.24</v>
      </c>
      <c r="E391" s="2">
        <v>13974135755.8</v>
      </c>
      <c r="F391" t="s">
        <v>501</v>
      </c>
      <c r="G391">
        <v>1.04</v>
      </c>
      <c r="H391">
        <v>1.65488982352843</v>
      </c>
      <c r="I391">
        <v>9.9651</v>
      </c>
      <c r="J391">
        <v>8.333</v>
      </c>
    </row>
    <row r="392" spans="1:8">
      <c r="A392">
        <v>1831</v>
      </c>
      <c r="B392">
        <v>2.95</v>
      </c>
      <c r="C392">
        <v>0.41</v>
      </c>
      <c r="D392">
        <v>3.75</v>
      </c>
      <c r="E392" s="2">
        <v>4344991635.6</v>
      </c>
      <c r="F392" t="s">
        <v>155</v>
      </c>
      <c r="G392">
        <v>12.41</v>
      </c>
      <c r="H392">
        <v>27.8216354948425</v>
      </c>
    </row>
    <row r="393" spans="1:10">
      <c r="A393">
        <v>1818</v>
      </c>
      <c r="B393">
        <v>6.48</v>
      </c>
      <c r="C393">
        <v>3.4</v>
      </c>
      <c r="D393">
        <v>6.98</v>
      </c>
      <c r="E393" s="2">
        <v>5963039720</v>
      </c>
      <c r="F393" t="s">
        <v>504</v>
      </c>
      <c r="G393">
        <v>1.73</v>
      </c>
      <c r="H393">
        <v>2.87263147954252</v>
      </c>
      <c r="I393">
        <v>35.5222</v>
      </c>
      <c r="J393">
        <v>23.438</v>
      </c>
    </row>
    <row r="394" spans="1:10">
      <c r="A394">
        <v>1816</v>
      </c>
      <c r="B394">
        <v>2.32</v>
      </c>
      <c r="C394">
        <v>2.03</v>
      </c>
      <c r="D394">
        <v>5.53</v>
      </c>
      <c r="E394" s="2">
        <v>26681063750</v>
      </c>
      <c r="F394" t="s">
        <v>694</v>
      </c>
      <c r="G394">
        <v>1.61</v>
      </c>
      <c r="H394">
        <v>3.62406469941112</v>
      </c>
      <c r="I394">
        <v>15.2069</v>
      </c>
      <c r="J394">
        <v>10.21</v>
      </c>
    </row>
    <row r="395" spans="1:10">
      <c r="A395">
        <v>1813</v>
      </c>
      <c r="B395">
        <v>5.11</v>
      </c>
      <c r="C395">
        <v>4.25</v>
      </c>
      <c r="D395">
        <v>8.7</v>
      </c>
      <c r="E395" s="2">
        <v>15671603621.44</v>
      </c>
      <c r="F395" t="s">
        <v>503</v>
      </c>
      <c r="G395">
        <v>0.59</v>
      </c>
      <c r="H395">
        <v>1.55498840995483</v>
      </c>
      <c r="I395">
        <v>3.843</v>
      </c>
      <c r="J395">
        <v>3.235</v>
      </c>
    </row>
    <row r="396" spans="1:10">
      <c r="A396">
        <v>1811</v>
      </c>
      <c r="B396">
        <v>1.15</v>
      </c>
      <c r="C396">
        <v>0.98</v>
      </c>
      <c r="D396">
        <v>3.6</v>
      </c>
      <c r="E396" s="2">
        <v>5234805280</v>
      </c>
      <c r="F396" t="s">
        <v>716</v>
      </c>
      <c r="G396">
        <v>0.9</v>
      </c>
      <c r="H396">
        <v>0.562454184187959</v>
      </c>
      <c r="I396">
        <v>3.338</v>
      </c>
      <c r="J396">
        <v>2.31</v>
      </c>
    </row>
    <row r="397" spans="1:10">
      <c r="A397">
        <v>1800</v>
      </c>
      <c r="B397">
        <v>7.55</v>
      </c>
      <c r="C397">
        <v>5.45</v>
      </c>
      <c r="D397">
        <v>17</v>
      </c>
      <c r="E397" s="2">
        <v>33560450000</v>
      </c>
      <c r="F397" t="s">
        <v>128</v>
      </c>
      <c r="G397">
        <v>0.82</v>
      </c>
      <c r="H397">
        <v>0.27421496190559</v>
      </c>
      <c r="I397">
        <v>7.0112</v>
      </c>
      <c r="J397">
        <v>5.874</v>
      </c>
    </row>
    <row r="398" spans="1:10">
      <c r="A398">
        <v>1788</v>
      </c>
      <c r="B398">
        <v>2.19</v>
      </c>
      <c r="C398">
        <v>1.56</v>
      </c>
      <c r="D398">
        <v>5.82</v>
      </c>
      <c r="E398" s="2">
        <v>16172793350.58</v>
      </c>
      <c r="F398" t="s">
        <v>505</v>
      </c>
      <c r="G398">
        <v>2.19</v>
      </c>
      <c r="H398">
        <v>6.62873399715505</v>
      </c>
      <c r="I398">
        <v>20.2213</v>
      </c>
      <c r="J398">
        <v>13.434</v>
      </c>
    </row>
    <row r="399" spans="1:10">
      <c r="A399">
        <v>1778</v>
      </c>
      <c r="B399">
        <v>5.55</v>
      </c>
      <c r="C399">
        <v>4.45</v>
      </c>
      <c r="D399">
        <v>13.5</v>
      </c>
      <c r="E399" s="2">
        <v>5700678300</v>
      </c>
      <c r="F399" t="s">
        <v>508</v>
      </c>
      <c r="G399">
        <v>4.3</v>
      </c>
      <c r="H399">
        <v>5.65632446439519</v>
      </c>
      <c r="I399">
        <v>28.3525</v>
      </c>
      <c r="J399">
        <v>23.14</v>
      </c>
    </row>
    <row r="400" spans="1:10">
      <c r="A400">
        <v>1777</v>
      </c>
      <c r="B400">
        <v>0.91</v>
      </c>
      <c r="C400">
        <v>0.72</v>
      </c>
      <c r="D400">
        <v>1.69</v>
      </c>
      <c r="E400" s="2">
        <v>5242673275.84</v>
      </c>
      <c r="F400" t="s">
        <v>374</v>
      </c>
      <c r="G400">
        <v>0.41</v>
      </c>
      <c r="H400">
        <v>0.530283524769182</v>
      </c>
      <c r="I400">
        <v>3.6279</v>
      </c>
      <c r="J400">
        <v>2.927</v>
      </c>
    </row>
    <row r="401" spans="1:9">
      <c r="A401">
        <v>1776</v>
      </c>
      <c r="B401">
        <v>15.62</v>
      </c>
      <c r="C401">
        <v>9.9</v>
      </c>
      <c r="D401">
        <v>26.95</v>
      </c>
      <c r="E401" s="2">
        <v>26990487732</v>
      </c>
      <c r="F401" t="s">
        <v>125</v>
      </c>
      <c r="G401">
        <v>1.31</v>
      </c>
      <c r="H401">
        <v>2.01482938309179</v>
      </c>
      <c r="I401">
        <v>19.2462</v>
      </c>
    </row>
    <row r="402" spans="1:10">
      <c r="A402">
        <v>1766</v>
      </c>
      <c r="B402">
        <v>7.42</v>
      </c>
      <c r="C402">
        <v>6.56</v>
      </c>
      <c r="D402">
        <v>20.65</v>
      </c>
      <c r="E402" s="2">
        <v>32826705960.4</v>
      </c>
      <c r="F402" t="s">
        <v>509</v>
      </c>
      <c r="G402">
        <v>1.78</v>
      </c>
      <c r="H402">
        <v>0.883738966027716</v>
      </c>
      <c r="I402">
        <v>30.8371</v>
      </c>
      <c r="J402">
        <v>14.06</v>
      </c>
    </row>
    <row r="403" spans="1:9">
      <c r="A403">
        <v>1718</v>
      </c>
      <c r="B403">
        <v>0.66</v>
      </c>
      <c r="C403">
        <v>0.46</v>
      </c>
      <c r="D403">
        <v>1.22</v>
      </c>
      <c r="E403" s="2">
        <v>576000000</v>
      </c>
      <c r="F403" t="s">
        <v>355</v>
      </c>
      <c r="G403">
        <v>2.2</v>
      </c>
      <c r="H403">
        <v>1.30837724877339</v>
      </c>
      <c r="I403">
        <v>9.2903</v>
      </c>
    </row>
    <row r="404" spans="1:10">
      <c r="A404">
        <v>1683</v>
      </c>
      <c r="B404">
        <v>0.7</v>
      </c>
      <c r="C404">
        <v>0.66</v>
      </c>
      <c r="D404">
        <v>8.65</v>
      </c>
      <c r="E404" s="2">
        <v>345000000</v>
      </c>
      <c r="F404" t="s">
        <v>354</v>
      </c>
      <c r="G404">
        <v>2.6</v>
      </c>
      <c r="H404">
        <v>2.15221459762944</v>
      </c>
      <c r="I404">
        <v>16.2315</v>
      </c>
      <c r="J404">
        <v>14.414</v>
      </c>
    </row>
    <row r="405" spans="1:10">
      <c r="A405">
        <v>1680</v>
      </c>
      <c r="B405">
        <v>1.09</v>
      </c>
      <c r="C405">
        <v>0.89</v>
      </c>
      <c r="D405">
        <v>4.96</v>
      </c>
      <c r="E405" s="2">
        <v>6943360732</v>
      </c>
      <c r="F405" t="s">
        <v>358</v>
      </c>
      <c r="G405">
        <v>0.94</v>
      </c>
      <c r="H405">
        <v>4.64330941325453</v>
      </c>
      <c r="I405">
        <v>14.4973</v>
      </c>
      <c r="J405">
        <v>12.735</v>
      </c>
    </row>
    <row r="406" spans="1:10">
      <c r="A406">
        <v>1669</v>
      </c>
      <c r="B406">
        <v>1.5</v>
      </c>
      <c r="C406">
        <v>1.14</v>
      </c>
      <c r="D406">
        <v>6.19</v>
      </c>
      <c r="E406" s="2">
        <v>608000000</v>
      </c>
      <c r="F406" t="s">
        <v>123</v>
      </c>
      <c r="G406">
        <v>1.03</v>
      </c>
      <c r="H406">
        <v>5.2090472926662</v>
      </c>
      <c r="I406">
        <v>17.1017</v>
      </c>
      <c r="J406">
        <v>11.512</v>
      </c>
    </row>
    <row r="407" spans="1:10">
      <c r="A407">
        <v>1668</v>
      </c>
      <c r="B407">
        <v>1.63</v>
      </c>
      <c r="C407">
        <v>1.35</v>
      </c>
      <c r="D407">
        <v>4.27</v>
      </c>
      <c r="E407" s="2">
        <v>13278874518.34</v>
      </c>
      <c r="F407" t="s">
        <v>697</v>
      </c>
      <c r="G407">
        <v>0.56</v>
      </c>
      <c r="H407">
        <v>2.41876730292874</v>
      </c>
      <c r="I407">
        <v>3.5621</v>
      </c>
      <c r="J407">
        <v>2.955</v>
      </c>
    </row>
    <row r="408" spans="1:10">
      <c r="A408">
        <v>1666</v>
      </c>
      <c r="B408">
        <v>11.72</v>
      </c>
      <c r="C408">
        <v>9</v>
      </c>
      <c r="D408">
        <v>14.9</v>
      </c>
      <c r="E408" s="2">
        <v>7355836800</v>
      </c>
      <c r="F408" t="s">
        <v>515</v>
      </c>
      <c r="G408">
        <v>3.15</v>
      </c>
      <c r="H408">
        <v>2.57597099905798</v>
      </c>
      <c r="I408">
        <v>25.9296</v>
      </c>
      <c r="J408">
        <v>26.02</v>
      </c>
    </row>
    <row r="409" spans="1:10">
      <c r="A409">
        <v>1661</v>
      </c>
      <c r="B409">
        <v>3.46</v>
      </c>
      <c r="C409">
        <v>2.64</v>
      </c>
      <c r="D409">
        <v>8.82</v>
      </c>
      <c r="E409" s="2">
        <v>5824742900</v>
      </c>
      <c r="F409" t="s">
        <v>513</v>
      </c>
      <c r="G409">
        <v>4.02</v>
      </c>
      <c r="H409">
        <v>7.35281034567227</v>
      </c>
      <c r="I409">
        <v>16.7568</v>
      </c>
      <c r="J409">
        <v>17.917</v>
      </c>
    </row>
    <row r="410" spans="1:10">
      <c r="A410">
        <v>1639</v>
      </c>
      <c r="B410">
        <v>0.65</v>
      </c>
      <c r="C410">
        <v>0.56</v>
      </c>
      <c r="D410">
        <v>3.8</v>
      </c>
      <c r="E410" s="2">
        <v>641855500</v>
      </c>
      <c r="F410" t="s">
        <v>516</v>
      </c>
      <c r="G410">
        <v>1.22</v>
      </c>
      <c r="H410">
        <v>1.00339610991046</v>
      </c>
      <c r="I410">
        <v>21.7144</v>
      </c>
      <c r="J410">
        <v>20.257</v>
      </c>
    </row>
    <row r="411" spans="1:10">
      <c r="A411">
        <v>1638</v>
      </c>
      <c r="B411">
        <v>1.56</v>
      </c>
      <c r="C411">
        <v>1.38</v>
      </c>
      <c r="D411">
        <v>3.26</v>
      </c>
      <c r="E411" s="2">
        <v>8011267539.6</v>
      </c>
      <c r="F411" t="s">
        <v>1147</v>
      </c>
      <c r="G411">
        <v>0.33</v>
      </c>
      <c r="H411">
        <v>0.452584426796166</v>
      </c>
      <c r="I411">
        <v>2.1893</v>
      </c>
      <c r="J411">
        <v>2.096</v>
      </c>
    </row>
    <row r="412" spans="1:10">
      <c r="A412">
        <v>1622</v>
      </c>
      <c r="B412">
        <v>5.92</v>
      </c>
      <c r="C412">
        <v>3.18</v>
      </c>
      <c r="D412">
        <v>6.15</v>
      </c>
      <c r="E412" s="2">
        <v>10601553826.17</v>
      </c>
      <c r="F412" t="s">
        <v>218</v>
      </c>
      <c r="G412">
        <v>3.47</v>
      </c>
      <c r="H412">
        <v>2.30409455355659</v>
      </c>
      <c r="I412">
        <v>24.4195</v>
      </c>
      <c r="J412">
        <v>20.231</v>
      </c>
    </row>
    <row r="413" spans="1:10">
      <c r="A413">
        <v>1599</v>
      </c>
      <c r="B413">
        <v>3.65</v>
      </c>
      <c r="C413">
        <v>3.28</v>
      </c>
      <c r="D413">
        <v>7.79</v>
      </c>
      <c r="E413" s="2">
        <v>1404331940</v>
      </c>
      <c r="F413" t="s">
        <v>124</v>
      </c>
      <c r="G413">
        <v>1.36</v>
      </c>
      <c r="H413">
        <v>1.14934176720745</v>
      </c>
      <c r="I413">
        <v>10.5326</v>
      </c>
      <c r="J413">
        <v>9.814</v>
      </c>
    </row>
    <row r="414" spans="1:8">
      <c r="A414">
        <v>1568</v>
      </c>
      <c r="B414">
        <v>3.46</v>
      </c>
      <c r="C414">
        <v>1.47</v>
      </c>
      <c r="D414">
        <v>3.8</v>
      </c>
      <c r="E414" s="2">
        <v>6920000000</v>
      </c>
      <c r="F414" t="s">
        <v>29</v>
      </c>
      <c r="G414">
        <v>4.3</v>
      </c>
      <c r="H414">
        <v>31.1121</v>
      </c>
    </row>
    <row r="415" spans="1:10">
      <c r="A415">
        <v>1566</v>
      </c>
      <c r="B415">
        <v>3.07</v>
      </c>
      <c r="C415">
        <v>2.75</v>
      </c>
      <c r="D415">
        <v>12.5</v>
      </c>
      <c r="E415" s="2">
        <v>2600394480</v>
      </c>
      <c r="F415" t="s">
        <v>476</v>
      </c>
      <c r="G415">
        <v>4.41</v>
      </c>
      <c r="H415">
        <v>2.50247770069375</v>
      </c>
      <c r="I415">
        <v>34.3822</v>
      </c>
      <c r="J415">
        <v>28.776</v>
      </c>
    </row>
    <row r="416" spans="1:8">
      <c r="A416">
        <v>1561</v>
      </c>
      <c r="B416">
        <v>0.84</v>
      </c>
      <c r="C416">
        <v>0.75</v>
      </c>
      <c r="D416">
        <v>1.27</v>
      </c>
      <c r="E416" s="2">
        <v>504000000</v>
      </c>
      <c r="F416" t="s">
        <v>25</v>
      </c>
      <c r="G416">
        <v>0.84</v>
      </c>
      <c r="H416">
        <v>12.1648</v>
      </c>
    </row>
    <row r="417" spans="1:8">
      <c r="A417">
        <v>1548</v>
      </c>
      <c r="B417">
        <v>1.38</v>
      </c>
      <c r="C417">
        <v>1.23</v>
      </c>
      <c r="D417">
        <v>1.79</v>
      </c>
      <c r="E417" s="2">
        <v>2324000000</v>
      </c>
      <c r="F417" t="s">
        <v>30</v>
      </c>
      <c r="G417">
        <v>2.42</v>
      </c>
      <c r="H417">
        <v>48.5252</v>
      </c>
    </row>
    <row r="418" spans="1:8">
      <c r="A418">
        <v>1543</v>
      </c>
      <c r="B418">
        <v>1.4</v>
      </c>
      <c r="C418">
        <v>1.2</v>
      </c>
      <c r="D418">
        <v>1.64</v>
      </c>
      <c r="E418" s="2">
        <v>410666667.6</v>
      </c>
      <c r="F418" t="s">
        <v>28</v>
      </c>
      <c r="G418">
        <v>0.95</v>
      </c>
      <c r="H418">
        <v>8.2218</v>
      </c>
    </row>
    <row r="419" spans="1:8">
      <c r="A419">
        <v>1538</v>
      </c>
      <c r="B419">
        <v>1.21</v>
      </c>
      <c r="C419">
        <v>0.92</v>
      </c>
      <c r="D419">
        <v>2.1</v>
      </c>
      <c r="E419" s="2">
        <v>984000000</v>
      </c>
      <c r="F419" t="s">
        <v>175</v>
      </c>
      <c r="G419">
        <v>2.38</v>
      </c>
      <c r="H419">
        <v>14.0449</v>
      </c>
    </row>
    <row r="420" spans="1:8">
      <c r="A420">
        <v>1533</v>
      </c>
      <c r="B420">
        <v>5.36</v>
      </c>
      <c r="C420">
        <v>5</v>
      </c>
      <c r="D420">
        <v>5.85</v>
      </c>
      <c r="E420" s="2">
        <v>187945500</v>
      </c>
      <c r="F420" t="s">
        <v>305</v>
      </c>
      <c r="G420">
        <v>1</v>
      </c>
      <c r="H420">
        <v>9.1906</v>
      </c>
    </row>
    <row r="421" spans="1:8">
      <c r="A421">
        <v>1532</v>
      </c>
      <c r="B421">
        <v>0.465</v>
      </c>
      <c r="C421">
        <v>0.41</v>
      </c>
      <c r="D421">
        <v>1.26</v>
      </c>
      <c r="E421" s="2">
        <v>362992320</v>
      </c>
      <c r="F421" t="s">
        <v>290</v>
      </c>
      <c r="G421">
        <v>1.11</v>
      </c>
      <c r="H421">
        <v>4.9556</v>
      </c>
    </row>
    <row r="422" spans="1:9">
      <c r="A422">
        <v>1530</v>
      </c>
      <c r="B422">
        <v>9.46</v>
      </c>
      <c r="C422">
        <v>6.9</v>
      </c>
      <c r="D422">
        <v>11.48</v>
      </c>
      <c r="E422" s="2">
        <v>23820019507.9</v>
      </c>
      <c r="F422" t="s">
        <v>390</v>
      </c>
      <c r="G422">
        <v>3.63</v>
      </c>
      <c r="H422">
        <v>11.4561222533493</v>
      </c>
      <c r="I422">
        <v>65.3003</v>
      </c>
    </row>
    <row r="423" spans="1:9">
      <c r="A423">
        <v>1528</v>
      </c>
      <c r="B423">
        <v>6.75</v>
      </c>
      <c r="C423">
        <v>5.97</v>
      </c>
      <c r="D423">
        <v>12.98</v>
      </c>
      <c r="E423" s="2">
        <v>7429063352.31</v>
      </c>
      <c r="F423" t="s">
        <v>428</v>
      </c>
      <c r="G423">
        <v>0.51</v>
      </c>
      <c r="H423">
        <v>2.34427900340976</v>
      </c>
      <c r="I423">
        <v>5.5764</v>
      </c>
    </row>
    <row r="424" spans="1:8">
      <c r="A424">
        <v>1527</v>
      </c>
      <c r="B424">
        <v>5.35</v>
      </c>
      <c r="C424">
        <v>4.8</v>
      </c>
      <c r="D424">
        <v>12.5</v>
      </c>
      <c r="E424" s="2">
        <v>182350000</v>
      </c>
      <c r="F424" t="s">
        <v>122</v>
      </c>
      <c r="G424">
        <v>1.12</v>
      </c>
      <c r="H424">
        <v>7.582</v>
      </c>
    </row>
    <row r="425" spans="1:10">
      <c r="A425">
        <v>1515</v>
      </c>
      <c r="B425">
        <v>7.04</v>
      </c>
      <c r="C425">
        <v>5.75</v>
      </c>
      <c r="D425">
        <v>17.2</v>
      </c>
      <c r="E425" s="2">
        <v>6086469900</v>
      </c>
      <c r="F425" t="s">
        <v>518</v>
      </c>
      <c r="G425">
        <v>3.01</v>
      </c>
      <c r="H425">
        <v>3.73437308101821</v>
      </c>
      <c r="I425">
        <v>21.1589</v>
      </c>
      <c r="J425">
        <v>17.273</v>
      </c>
    </row>
    <row r="426" spans="1:8">
      <c r="A426">
        <v>1508</v>
      </c>
      <c r="B426">
        <v>1.96</v>
      </c>
      <c r="C426">
        <v>1.7</v>
      </c>
      <c r="D426">
        <v>2.81</v>
      </c>
      <c r="E426" s="2">
        <v>13492421734</v>
      </c>
      <c r="F426" t="s">
        <v>286</v>
      </c>
      <c r="G426">
        <v>0.99</v>
      </c>
      <c r="H426">
        <v>12.6983</v>
      </c>
    </row>
    <row r="427" spans="1:9">
      <c r="A427">
        <v>1499</v>
      </c>
      <c r="B427">
        <v>0.41</v>
      </c>
      <c r="C427">
        <v>0.27</v>
      </c>
      <c r="D427">
        <v>0.97</v>
      </c>
      <c r="E427" s="2">
        <v>938080000</v>
      </c>
      <c r="F427" t="s">
        <v>364</v>
      </c>
      <c r="G427">
        <v>6.25</v>
      </c>
      <c r="H427">
        <v>2.36039147956246</v>
      </c>
      <c r="I427">
        <v>24.3663</v>
      </c>
    </row>
    <row r="428" spans="1:8">
      <c r="A428">
        <v>1495</v>
      </c>
      <c r="B428">
        <v>0.9</v>
      </c>
      <c r="C428">
        <v>0.74</v>
      </c>
      <c r="D428">
        <v>1.76</v>
      </c>
      <c r="E428" s="2">
        <v>324000000</v>
      </c>
      <c r="F428" t="s">
        <v>245</v>
      </c>
      <c r="G428">
        <v>1.09</v>
      </c>
      <c r="H428">
        <v>6.1689</v>
      </c>
    </row>
    <row r="429" spans="1:10">
      <c r="A429">
        <v>1480</v>
      </c>
      <c r="B429">
        <v>2.52</v>
      </c>
      <c r="C429">
        <v>1.32</v>
      </c>
      <c r="D429">
        <v>102</v>
      </c>
      <c r="E429" s="2">
        <v>636000000</v>
      </c>
      <c r="F429" t="s">
        <v>121</v>
      </c>
      <c r="G429">
        <v>1.43</v>
      </c>
      <c r="H429">
        <v>0.949480472948763</v>
      </c>
      <c r="I429">
        <v>14.3862</v>
      </c>
      <c r="J429">
        <v>8.531</v>
      </c>
    </row>
    <row r="430" spans="1:10">
      <c r="A430">
        <v>1478</v>
      </c>
      <c r="B430">
        <v>1.16</v>
      </c>
      <c r="C430">
        <v>0.96</v>
      </c>
      <c r="D430">
        <v>3.89</v>
      </c>
      <c r="E430" s="2">
        <v>1192416200</v>
      </c>
      <c r="F430" t="s">
        <v>569</v>
      </c>
      <c r="G430">
        <v>0.85</v>
      </c>
      <c r="H430">
        <v>0.533064198410318</v>
      </c>
      <c r="I430">
        <v>4.8777</v>
      </c>
      <c r="J430">
        <v>2.519</v>
      </c>
    </row>
    <row r="431" spans="1:8">
      <c r="A431">
        <v>1476</v>
      </c>
      <c r="B431">
        <v>3.21</v>
      </c>
      <c r="C431">
        <v>2.63</v>
      </c>
      <c r="D431">
        <v>7.09</v>
      </c>
      <c r="E431" s="2">
        <v>1433690280</v>
      </c>
      <c r="F431" t="s">
        <v>289</v>
      </c>
      <c r="G431">
        <v>1.07</v>
      </c>
      <c r="H431">
        <v>10.1267</v>
      </c>
    </row>
    <row r="432" spans="1:10">
      <c r="A432">
        <v>1470</v>
      </c>
      <c r="B432">
        <v>0.31</v>
      </c>
      <c r="C432">
        <v>0.26</v>
      </c>
      <c r="D432">
        <v>1.6</v>
      </c>
      <c r="E432" s="2">
        <v>248000000</v>
      </c>
      <c r="F432" t="s">
        <v>120</v>
      </c>
      <c r="G432">
        <v>1.42</v>
      </c>
      <c r="H432">
        <v>0.719257540603248</v>
      </c>
      <c r="I432">
        <v>15.337</v>
      </c>
      <c r="J432">
        <v>10.556</v>
      </c>
    </row>
    <row r="433" spans="1:10">
      <c r="A433">
        <v>1468</v>
      </c>
      <c r="B433">
        <v>0.205</v>
      </c>
      <c r="C433">
        <v>0.179</v>
      </c>
      <c r="D433">
        <v>0.415</v>
      </c>
      <c r="E433" s="2">
        <v>581190252</v>
      </c>
      <c r="F433" t="s">
        <v>421</v>
      </c>
      <c r="G433">
        <v>1.42</v>
      </c>
      <c r="H433">
        <v>1.79824561403508</v>
      </c>
      <c r="I433">
        <v>15.8626</v>
      </c>
      <c r="J433">
        <v>13.137</v>
      </c>
    </row>
    <row r="434" spans="1:10">
      <c r="A434">
        <v>1466</v>
      </c>
      <c r="B434">
        <v>1.7</v>
      </c>
      <c r="C434">
        <v>0.69</v>
      </c>
      <c r="D434">
        <v>3.5</v>
      </c>
      <c r="E434" s="2">
        <v>460735611.99</v>
      </c>
      <c r="F434" t="s">
        <v>871</v>
      </c>
      <c r="G434">
        <v>1.73</v>
      </c>
      <c r="H434">
        <v>2.08458850463911</v>
      </c>
      <c r="I434">
        <v>45.817</v>
      </c>
      <c r="J434">
        <v>33.862</v>
      </c>
    </row>
    <row r="435" spans="1:8">
      <c r="A435">
        <v>1459</v>
      </c>
      <c r="B435">
        <v>4.32</v>
      </c>
      <c r="C435">
        <v>1.42</v>
      </c>
      <c r="D435">
        <v>7.99</v>
      </c>
      <c r="E435" s="2">
        <v>616123200</v>
      </c>
      <c r="F435" t="s">
        <v>41</v>
      </c>
      <c r="G435">
        <v>2.53</v>
      </c>
      <c r="H435">
        <v>23.9014</v>
      </c>
    </row>
    <row r="436" spans="1:8">
      <c r="A436">
        <v>1447</v>
      </c>
      <c r="B436">
        <v>0.99</v>
      </c>
      <c r="C436">
        <v>0.98</v>
      </c>
      <c r="D436">
        <v>1.75</v>
      </c>
      <c r="E436" s="2">
        <v>436000000</v>
      </c>
      <c r="F436" t="s">
        <v>24</v>
      </c>
      <c r="G436">
        <v>1.11</v>
      </c>
      <c r="H436">
        <v>6.0155</v>
      </c>
    </row>
    <row r="437" spans="1:10">
      <c r="A437">
        <v>1428</v>
      </c>
      <c r="B437">
        <v>2.04</v>
      </c>
      <c r="C437">
        <v>1.12</v>
      </c>
      <c r="D437">
        <v>5.08</v>
      </c>
      <c r="E437" s="2">
        <v>3511867893.66</v>
      </c>
      <c r="F437" t="s">
        <v>68</v>
      </c>
      <c r="G437">
        <v>1.84</v>
      </c>
      <c r="H437">
        <v>3.59624739402362</v>
      </c>
      <c r="I437">
        <v>16.0817</v>
      </c>
      <c r="J437">
        <v>12.821</v>
      </c>
    </row>
    <row r="438" spans="1:10">
      <c r="A438">
        <v>1415</v>
      </c>
      <c r="B438">
        <v>2.75</v>
      </c>
      <c r="C438">
        <v>2.1</v>
      </c>
      <c r="D438">
        <v>8.85</v>
      </c>
      <c r="E438" s="2">
        <v>2294991888</v>
      </c>
      <c r="F438" t="s">
        <v>119</v>
      </c>
      <c r="G438">
        <v>1.12</v>
      </c>
      <c r="H438">
        <v>0.320428373913005</v>
      </c>
      <c r="I438">
        <v>5.5574</v>
      </c>
      <c r="J438">
        <v>4.095</v>
      </c>
    </row>
    <row r="439" spans="1:10">
      <c r="A439">
        <v>1398</v>
      </c>
      <c r="B439">
        <v>4.04</v>
      </c>
      <c r="C439">
        <v>3.72</v>
      </c>
      <c r="D439">
        <v>7.1</v>
      </c>
      <c r="E439" s="2">
        <v>354987642209.5</v>
      </c>
      <c r="F439" t="s">
        <v>208</v>
      </c>
      <c r="G439">
        <v>0.71</v>
      </c>
      <c r="H439">
        <v>1.77990024281451</v>
      </c>
      <c r="I439">
        <v>4.2268</v>
      </c>
      <c r="J439">
        <v>3.944</v>
      </c>
    </row>
    <row r="440" spans="1:10">
      <c r="A440">
        <v>1395</v>
      </c>
      <c r="B440">
        <v>0.45</v>
      </c>
      <c r="C440">
        <v>0.37</v>
      </c>
      <c r="D440">
        <v>1.52</v>
      </c>
      <c r="E440" s="2">
        <v>418880000</v>
      </c>
      <c r="F440" t="s">
        <v>1149</v>
      </c>
      <c r="G440">
        <v>0.83</v>
      </c>
      <c r="H440">
        <v>2.54188330444829</v>
      </c>
      <c r="I440">
        <v>45.2013</v>
      </c>
      <c r="J440">
        <v>26.761</v>
      </c>
    </row>
    <row r="441" spans="1:8">
      <c r="A441">
        <v>1386</v>
      </c>
      <c r="B441">
        <v>2.24</v>
      </c>
      <c r="C441">
        <v>0.35</v>
      </c>
      <c r="D441">
        <v>2.36</v>
      </c>
      <c r="E441" s="2">
        <v>1334028800</v>
      </c>
      <c r="F441" t="s">
        <v>118</v>
      </c>
      <c r="G441">
        <v>4.51</v>
      </c>
      <c r="H441">
        <v>1.53256704980842</v>
      </c>
    </row>
    <row r="442" spans="1:10">
      <c r="A442">
        <v>1385</v>
      </c>
      <c r="B442">
        <v>4.8</v>
      </c>
      <c r="C442">
        <v>4.18</v>
      </c>
      <c r="D442">
        <v>11.26</v>
      </c>
      <c r="E442" s="2">
        <v>1184993700</v>
      </c>
      <c r="F442" t="s">
        <v>517</v>
      </c>
      <c r="G442">
        <v>2.62</v>
      </c>
      <c r="H442">
        <v>2.71190056169394</v>
      </c>
      <c r="I442">
        <v>14.3735</v>
      </c>
      <c r="J442">
        <v>13.081</v>
      </c>
    </row>
    <row r="443" spans="1:10">
      <c r="A443">
        <v>1381</v>
      </c>
      <c r="B443">
        <v>3.1</v>
      </c>
      <c r="C443">
        <v>2.22</v>
      </c>
      <c r="D443">
        <v>4.85</v>
      </c>
      <c r="E443" s="2">
        <v>6660000000</v>
      </c>
      <c r="F443" t="s">
        <v>968</v>
      </c>
      <c r="G443">
        <v>2.75</v>
      </c>
      <c r="H443">
        <v>6.50899139953088</v>
      </c>
      <c r="I443">
        <v>34.8622</v>
      </c>
      <c r="J443">
        <v>23.802</v>
      </c>
    </row>
    <row r="444" spans="1:10">
      <c r="A444">
        <v>1378</v>
      </c>
      <c r="B444">
        <v>4.8</v>
      </c>
      <c r="C444">
        <v>3.08</v>
      </c>
      <c r="D444">
        <v>8.51</v>
      </c>
      <c r="E444" s="2">
        <v>35935841813.85</v>
      </c>
      <c r="F444" t="s">
        <v>347</v>
      </c>
      <c r="G444">
        <v>0.8</v>
      </c>
      <c r="H444">
        <v>0.551820392936653</v>
      </c>
      <c r="I444">
        <v>5.4086</v>
      </c>
      <c r="J444">
        <v>3.633</v>
      </c>
    </row>
    <row r="445" spans="1:10">
      <c r="A445">
        <v>1375</v>
      </c>
      <c r="B445">
        <v>3.33</v>
      </c>
      <c r="C445">
        <v>2.3</v>
      </c>
      <c r="D445">
        <v>9.92</v>
      </c>
      <c r="E445" s="2">
        <v>4187597150</v>
      </c>
      <c r="F445" t="s">
        <v>462</v>
      </c>
      <c r="G445">
        <v>1.04</v>
      </c>
      <c r="H445">
        <v>1.128288041011</v>
      </c>
      <c r="I445">
        <v>15.3601</v>
      </c>
      <c r="J445">
        <v>9.887</v>
      </c>
    </row>
    <row r="446" spans="1:10">
      <c r="A446">
        <v>1371</v>
      </c>
      <c r="B446">
        <v>0.255</v>
      </c>
      <c r="C446">
        <v>0.225</v>
      </c>
      <c r="D446">
        <v>1.01</v>
      </c>
      <c r="E446" s="2">
        <v>2218269906.58</v>
      </c>
      <c r="F446" t="s">
        <v>757</v>
      </c>
      <c r="G446">
        <v>1.35</v>
      </c>
      <c r="H446">
        <v>2.05371248025276</v>
      </c>
      <c r="I446">
        <v>22.1805</v>
      </c>
      <c r="J446">
        <v>20.079</v>
      </c>
    </row>
    <row r="447" spans="1:10">
      <c r="A447">
        <v>1363</v>
      </c>
      <c r="B447">
        <v>2.37</v>
      </c>
      <c r="C447">
        <v>1.86</v>
      </c>
      <c r="D447">
        <v>11.98</v>
      </c>
      <c r="E447" s="2">
        <v>14970796651.32</v>
      </c>
      <c r="F447" t="s">
        <v>520</v>
      </c>
      <c r="G447">
        <v>5.59</v>
      </c>
      <c r="H447">
        <v>2.35469448584202</v>
      </c>
      <c r="I447">
        <v>35.2526</v>
      </c>
      <c r="J447">
        <v>29.007</v>
      </c>
    </row>
    <row r="448" spans="1:8">
      <c r="A448">
        <v>1362</v>
      </c>
      <c r="B448">
        <v>1.75</v>
      </c>
      <c r="C448">
        <v>0.85</v>
      </c>
      <c r="D448">
        <v>2.65</v>
      </c>
      <c r="E448" s="2">
        <v>520800000</v>
      </c>
      <c r="F448" t="s">
        <v>20</v>
      </c>
      <c r="G448">
        <v>5.16</v>
      </c>
      <c r="H448">
        <v>0.614693149145708</v>
      </c>
    </row>
    <row r="449" spans="1:11">
      <c r="A449">
        <v>1360</v>
      </c>
      <c r="B449">
        <v>0.84</v>
      </c>
      <c r="C449">
        <v>0.8</v>
      </c>
      <c r="D449">
        <v>7.1</v>
      </c>
      <c r="E449" s="2">
        <v>1020000000</v>
      </c>
      <c r="F449" t="s">
        <v>368</v>
      </c>
      <c r="G449" t="s">
        <v>196</v>
      </c>
      <c r="H449">
        <v>7.22</v>
      </c>
      <c r="I449">
        <v>3.30482115085536</v>
      </c>
      <c r="J449">
        <v>22.213</v>
      </c>
      <c r="K449">
        <v>22.005</v>
      </c>
    </row>
    <row r="450" spans="1:10">
      <c r="A450">
        <v>1359</v>
      </c>
      <c r="B450">
        <v>2.47</v>
      </c>
      <c r="C450">
        <v>2.19</v>
      </c>
      <c r="D450">
        <v>5.23</v>
      </c>
      <c r="E450" s="2">
        <v>29382589451.88</v>
      </c>
      <c r="F450" t="s">
        <v>210</v>
      </c>
      <c r="G450">
        <v>0.72</v>
      </c>
      <c r="H450">
        <v>0.965270324490634</v>
      </c>
      <c r="I450">
        <v>6.1423</v>
      </c>
      <c r="J450">
        <v>5.75</v>
      </c>
    </row>
    <row r="451" spans="1:10">
      <c r="A451">
        <v>1358</v>
      </c>
      <c r="B451">
        <v>1.57</v>
      </c>
      <c r="C451">
        <v>1.34</v>
      </c>
      <c r="D451">
        <v>5.04</v>
      </c>
      <c r="E451" s="2">
        <v>2627499492.36</v>
      </c>
      <c r="F451" t="s">
        <v>521</v>
      </c>
      <c r="G451">
        <v>0.99</v>
      </c>
      <c r="H451">
        <v>3.20190461369081</v>
      </c>
      <c r="I451">
        <v>11.8968</v>
      </c>
      <c r="J451">
        <v>12.103</v>
      </c>
    </row>
    <row r="452" spans="1:8">
      <c r="A452">
        <v>1355</v>
      </c>
      <c r="B452">
        <v>0.61</v>
      </c>
      <c r="C452">
        <v>0.5</v>
      </c>
      <c r="D452">
        <v>2.84</v>
      </c>
      <c r="E452" s="2">
        <v>251856000</v>
      </c>
      <c r="F452" t="s">
        <v>147</v>
      </c>
      <c r="G452">
        <v>1.18</v>
      </c>
      <c r="H452">
        <v>8.16326530612245</v>
      </c>
    </row>
    <row r="453" spans="1:10">
      <c r="A453">
        <v>1349</v>
      </c>
      <c r="B453">
        <v>6.27</v>
      </c>
      <c r="C453">
        <v>5.37</v>
      </c>
      <c r="D453">
        <v>12.64</v>
      </c>
      <c r="E453" s="2">
        <v>2206600000</v>
      </c>
      <c r="F453" t="s">
        <v>522</v>
      </c>
      <c r="G453">
        <v>7.33</v>
      </c>
      <c r="H453">
        <v>9.82245868097244</v>
      </c>
      <c r="I453">
        <v>40.5104</v>
      </c>
      <c r="J453">
        <v>36.142</v>
      </c>
    </row>
    <row r="454" spans="1:10">
      <c r="A454">
        <v>1345</v>
      </c>
      <c r="B454">
        <v>1.72</v>
      </c>
      <c r="C454">
        <v>1.63</v>
      </c>
      <c r="D454">
        <v>7.79</v>
      </c>
      <c r="E454" s="2">
        <v>2360001180</v>
      </c>
      <c r="F454" t="s">
        <v>523</v>
      </c>
      <c r="G454">
        <v>1.83</v>
      </c>
      <c r="H454">
        <v>1.10074131258264</v>
      </c>
      <c r="I454">
        <v>7.2116</v>
      </c>
      <c r="J454">
        <v>7.742</v>
      </c>
    </row>
    <row r="455" spans="1:8">
      <c r="A455">
        <v>1341</v>
      </c>
      <c r="B455">
        <v>0.97</v>
      </c>
      <c r="C455">
        <v>0.48</v>
      </c>
      <c r="D455">
        <v>1.42</v>
      </c>
      <c r="E455" s="2">
        <v>1000000000</v>
      </c>
      <c r="F455" t="s">
        <v>1117</v>
      </c>
      <c r="G455">
        <v>3.36</v>
      </c>
      <c r="H455">
        <v>41.1117</v>
      </c>
    </row>
    <row r="456" spans="1:10">
      <c r="A456">
        <v>1339</v>
      </c>
      <c r="B456">
        <v>3</v>
      </c>
      <c r="C456">
        <v>2.65</v>
      </c>
      <c r="D456">
        <v>5.85</v>
      </c>
      <c r="E456" s="2">
        <v>26789538380</v>
      </c>
      <c r="F456" t="s">
        <v>314</v>
      </c>
      <c r="G456">
        <v>0.94</v>
      </c>
      <c r="H456">
        <v>2.39</v>
      </c>
      <c r="I456">
        <v>7.9457</v>
      </c>
      <c r="J456">
        <v>7.764</v>
      </c>
    </row>
    <row r="457" spans="1:10">
      <c r="A457">
        <v>1336</v>
      </c>
      <c r="B457">
        <v>24.1</v>
      </c>
      <c r="C457">
        <v>22</v>
      </c>
      <c r="D457">
        <v>56.55</v>
      </c>
      <c r="E457" s="2">
        <v>25904386863</v>
      </c>
      <c r="F457" t="s">
        <v>201</v>
      </c>
      <c r="G457">
        <v>1.08</v>
      </c>
      <c r="H457">
        <v>3.5</v>
      </c>
      <c r="I457">
        <v>9.7558</v>
      </c>
      <c r="J457">
        <v>9.972</v>
      </c>
    </row>
    <row r="458" spans="1:10">
      <c r="A458">
        <v>1333</v>
      </c>
      <c r="B458">
        <v>3.92</v>
      </c>
      <c r="C458">
        <v>2.43</v>
      </c>
      <c r="D458">
        <v>5.15</v>
      </c>
      <c r="E458" s="2">
        <v>21198450514.6</v>
      </c>
      <c r="F458" t="s">
        <v>427</v>
      </c>
      <c r="G458">
        <v>0.68</v>
      </c>
      <c r="H458">
        <v>1.02578121506427</v>
      </c>
      <c r="I458">
        <v>6.8442</v>
      </c>
      <c r="J458">
        <v>7.742</v>
      </c>
    </row>
    <row r="459" spans="1:10">
      <c r="A459">
        <v>1332</v>
      </c>
      <c r="B459">
        <v>0.34</v>
      </c>
      <c r="C459">
        <v>0.03</v>
      </c>
      <c r="D459">
        <v>0.7</v>
      </c>
      <c r="E459" s="2">
        <v>1811810926.61</v>
      </c>
      <c r="F459" t="s">
        <v>254</v>
      </c>
      <c r="G459">
        <v>2.91</v>
      </c>
      <c r="H459">
        <v>7.45798319327731</v>
      </c>
      <c r="I459">
        <v>175.0711</v>
      </c>
      <c r="J459">
        <v>94.828</v>
      </c>
    </row>
    <row r="460" spans="1:10">
      <c r="A460">
        <v>1330</v>
      </c>
      <c r="B460">
        <v>3.62</v>
      </c>
      <c r="C460">
        <v>3.13</v>
      </c>
      <c r="D460">
        <v>7.99</v>
      </c>
      <c r="E460" s="2">
        <v>1504218426.24</v>
      </c>
      <c r="F460" t="s">
        <v>681</v>
      </c>
      <c r="G460">
        <v>1.35</v>
      </c>
      <c r="H460">
        <v>2.49688397940642</v>
      </c>
      <c r="I460">
        <v>14.3616</v>
      </c>
      <c r="J460">
        <v>15.97</v>
      </c>
    </row>
    <row r="461" spans="1:10">
      <c r="A461">
        <v>1328</v>
      </c>
      <c r="B461">
        <v>0.242</v>
      </c>
      <c r="C461">
        <v>0.148</v>
      </c>
      <c r="D461">
        <v>1.13</v>
      </c>
      <c r="E461" s="2">
        <v>2043778500</v>
      </c>
      <c r="F461" t="s">
        <v>568</v>
      </c>
      <c r="G461">
        <v>2.8</v>
      </c>
      <c r="H461">
        <v>7.28155339805825</v>
      </c>
      <c r="I461">
        <v>45.9142</v>
      </c>
      <c r="J461">
        <v>44.898</v>
      </c>
    </row>
    <row r="462" spans="1:10">
      <c r="A462">
        <v>1327</v>
      </c>
      <c r="B462">
        <v>0.246</v>
      </c>
      <c r="C462">
        <v>0.179</v>
      </c>
      <c r="D462">
        <v>0.96</v>
      </c>
      <c r="E462" s="2">
        <v>293760000</v>
      </c>
      <c r="F462" t="s">
        <v>319</v>
      </c>
      <c r="G462">
        <v>0.4</v>
      </c>
      <c r="H462">
        <v>0.209778221970137</v>
      </c>
      <c r="I462">
        <v>2.04</v>
      </c>
      <c r="J462">
        <v>0.921</v>
      </c>
    </row>
    <row r="463" spans="1:8">
      <c r="A463">
        <v>1326</v>
      </c>
      <c r="B463">
        <v>0.54</v>
      </c>
      <c r="C463">
        <v>0.23</v>
      </c>
      <c r="D463">
        <v>5.45</v>
      </c>
      <c r="E463" s="2">
        <v>1337597166.67</v>
      </c>
      <c r="F463" t="s">
        <v>338</v>
      </c>
      <c r="G463">
        <v>3.21</v>
      </c>
      <c r="H463">
        <v>2.14661806399351</v>
      </c>
    </row>
    <row r="464" spans="1:10">
      <c r="A464">
        <v>1322</v>
      </c>
      <c r="B464">
        <v>2.41</v>
      </c>
      <c r="C464">
        <v>1.7</v>
      </c>
      <c r="D464">
        <v>7.25</v>
      </c>
      <c r="E464" s="2">
        <v>1732772881.77</v>
      </c>
      <c r="F464" t="s">
        <v>653</v>
      </c>
      <c r="G464">
        <v>1.23</v>
      </c>
      <c r="H464">
        <v>0.651633138654553</v>
      </c>
      <c r="I464">
        <v>5.692</v>
      </c>
      <c r="J464">
        <v>4.495</v>
      </c>
    </row>
    <row r="465" spans="1:10">
      <c r="A465">
        <v>1321</v>
      </c>
      <c r="B465">
        <v>10.22</v>
      </c>
      <c r="C465">
        <v>1.54</v>
      </c>
      <c r="D465">
        <v>14</v>
      </c>
      <c r="E465" s="2">
        <v>17936160000</v>
      </c>
      <c r="F465" t="s">
        <v>363</v>
      </c>
      <c r="G465">
        <v>3.23</v>
      </c>
      <c r="H465">
        <v>23.2068576084334</v>
      </c>
      <c r="I465">
        <v>30.1033</v>
      </c>
      <c r="J465">
        <v>20.756</v>
      </c>
    </row>
    <row r="466" spans="1:10">
      <c r="A466">
        <v>1314</v>
      </c>
      <c r="B466">
        <v>1.58</v>
      </c>
      <c r="C466">
        <v>1.35</v>
      </c>
      <c r="D466">
        <v>3.41</v>
      </c>
      <c r="E466" s="2">
        <v>2233902671</v>
      </c>
      <c r="F466" t="s">
        <v>525</v>
      </c>
      <c r="G466">
        <v>1.83</v>
      </c>
      <c r="H466">
        <v>1.16424729201974</v>
      </c>
      <c r="I466">
        <v>14.1919</v>
      </c>
      <c r="J466">
        <v>12.869</v>
      </c>
    </row>
    <row r="467" spans="1:8">
      <c r="A467">
        <v>1302</v>
      </c>
      <c r="B467">
        <v>1.26</v>
      </c>
      <c r="C467">
        <v>0.72</v>
      </c>
      <c r="D467">
        <v>3.08</v>
      </c>
      <c r="E467" s="2">
        <v>4920000000</v>
      </c>
      <c r="F467" t="s">
        <v>117</v>
      </c>
      <c r="G467">
        <v>21.71</v>
      </c>
      <c r="H467">
        <v>12.8438979789343</v>
      </c>
    </row>
    <row r="468" spans="1:10">
      <c r="A468">
        <v>1300</v>
      </c>
      <c r="B468">
        <v>1.47</v>
      </c>
      <c r="C468">
        <v>1.22</v>
      </c>
      <c r="D468">
        <v>2.8</v>
      </c>
      <c r="E468" s="2">
        <v>2313980000</v>
      </c>
      <c r="F468" t="s">
        <v>1067</v>
      </c>
      <c r="G468">
        <v>0.77</v>
      </c>
      <c r="H468">
        <v>0.514700256654587</v>
      </c>
      <c r="I468">
        <v>5.0142</v>
      </c>
      <c r="J468">
        <v>3.265</v>
      </c>
    </row>
    <row r="469" spans="1:10">
      <c r="A469">
        <v>1297</v>
      </c>
      <c r="B469">
        <v>3.34</v>
      </c>
      <c r="C469">
        <v>2.47</v>
      </c>
      <c r="D469">
        <v>7.76</v>
      </c>
      <c r="E469" s="2">
        <v>3561290100</v>
      </c>
      <c r="F469" t="s">
        <v>524</v>
      </c>
      <c r="G469">
        <v>3.61</v>
      </c>
      <c r="H469">
        <v>7.79976956089513</v>
      </c>
      <c r="I469">
        <v>21.1711</v>
      </c>
      <c r="J469">
        <v>21.043</v>
      </c>
    </row>
    <row r="470" spans="1:10">
      <c r="A470">
        <v>1293</v>
      </c>
      <c r="B470">
        <v>4.9</v>
      </c>
      <c r="C470">
        <v>2.1</v>
      </c>
      <c r="D470">
        <v>7.28</v>
      </c>
      <c r="E470" s="2">
        <v>12658691573.55</v>
      </c>
      <c r="F470" t="s">
        <v>230</v>
      </c>
      <c r="G470">
        <v>1.85</v>
      </c>
      <c r="H470">
        <v>0.355418895992799</v>
      </c>
      <c r="I470">
        <v>14.3265</v>
      </c>
      <c r="J470">
        <v>12.88</v>
      </c>
    </row>
    <row r="471" spans="1:10">
      <c r="A471">
        <v>1288</v>
      </c>
      <c r="B471">
        <v>2.7</v>
      </c>
      <c r="C471">
        <v>2.5</v>
      </c>
      <c r="D471">
        <v>4.55</v>
      </c>
      <c r="E471" s="2">
        <v>84224375283.04</v>
      </c>
      <c r="F471" t="s">
        <v>114</v>
      </c>
      <c r="G471">
        <v>0.62</v>
      </c>
      <c r="H471">
        <v>1.33489319663254</v>
      </c>
      <c r="I471">
        <v>3.9659</v>
      </c>
      <c r="J471">
        <v>3.908</v>
      </c>
    </row>
    <row r="472" spans="1:8">
      <c r="A472">
        <v>1281</v>
      </c>
      <c r="B472">
        <v>2.38</v>
      </c>
      <c r="C472">
        <v>1.2</v>
      </c>
      <c r="D472">
        <v>5.8</v>
      </c>
      <c r="E472" s="2">
        <v>1476079200</v>
      </c>
      <c r="F472" t="s">
        <v>1038</v>
      </c>
      <c r="G472">
        <v>20.44</v>
      </c>
      <c r="H472">
        <v>25.8126030512408</v>
      </c>
    </row>
    <row r="473" spans="1:10">
      <c r="A473">
        <v>1280</v>
      </c>
      <c r="B473">
        <v>0.6</v>
      </c>
      <c r="C473">
        <v>0.36</v>
      </c>
      <c r="D473">
        <v>2.7</v>
      </c>
      <c r="E473" s="2">
        <v>888684610.37</v>
      </c>
      <c r="F473" t="s">
        <v>652</v>
      </c>
      <c r="G473">
        <v>0.64</v>
      </c>
      <c r="H473">
        <v>0.245310172192459</v>
      </c>
      <c r="I473">
        <v>14.2133</v>
      </c>
      <c r="J473">
        <v>12.969</v>
      </c>
    </row>
    <row r="474" spans="1:10">
      <c r="A474">
        <v>1273</v>
      </c>
      <c r="B474">
        <v>0.79</v>
      </c>
      <c r="C474">
        <v>0.7</v>
      </c>
      <c r="D474">
        <v>1.58</v>
      </c>
      <c r="E474" s="2">
        <v>332000000</v>
      </c>
      <c r="F474" t="s">
        <v>115</v>
      </c>
      <c r="G474">
        <v>0.74</v>
      </c>
      <c r="H474">
        <v>2.94659300184162</v>
      </c>
      <c r="I474">
        <v>6.2788</v>
      </c>
      <c r="J474">
        <v>5.73</v>
      </c>
    </row>
    <row r="475" spans="1:10">
      <c r="A475">
        <v>1270</v>
      </c>
      <c r="B475">
        <v>2.51</v>
      </c>
      <c r="C475">
        <v>2.39</v>
      </c>
      <c r="D475">
        <v>3.72</v>
      </c>
      <c r="E475" s="2">
        <v>5168552020.61</v>
      </c>
      <c r="F475" t="s">
        <v>941</v>
      </c>
      <c r="G475">
        <v>0.44</v>
      </c>
      <c r="H475">
        <v>7.47415066469719</v>
      </c>
      <c r="I475">
        <v>3.5838</v>
      </c>
      <c r="J475">
        <v>8.87</v>
      </c>
    </row>
    <row r="476" spans="1:10">
      <c r="A476">
        <v>1262</v>
      </c>
      <c r="B476">
        <v>0.78</v>
      </c>
      <c r="C476">
        <v>0.53</v>
      </c>
      <c r="D476">
        <v>1.73</v>
      </c>
      <c r="E476" s="2">
        <v>1036602060</v>
      </c>
      <c r="F476" t="s">
        <v>346</v>
      </c>
      <c r="G476">
        <v>0.42</v>
      </c>
      <c r="H476">
        <v>0.607320330937257</v>
      </c>
      <c r="I476">
        <v>74.5921</v>
      </c>
      <c r="J476">
        <v>65.041</v>
      </c>
    </row>
    <row r="477" spans="1:10">
      <c r="A477">
        <v>1260</v>
      </c>
      <c r="B477">
        <v>1.78</v>
      </c>
      <c r="C477">
        <v>1.17</v>
      </c>
      <c r="D477">
        <v>3.33</v>
      </c>
      <c r="E477" s="2">
        <v>2192383920</v>
      </c>
      <c r="F477" t="s">
        <v>10</v>
      </c>
      <c r="G477">
        <v>1.91</v>
      </c>
      <c r="H477">
        <v>3.48023453754492</v>
      </c>
      <c r="I477">
        <v>11.0194</v>
      </c>
      <c r="J477">
        <v>8.643</v>
      </c>
    </row>
    <row r="478" spans="1:10">
      <c r="A478">
        <v>1250</v>
      </c>
      <c r="B478">
        <v>0.48</v>
      </c>
      <c r="C478">
        <v>0.11</v>
      </c>
      <c r="D478">
        <v>1.92</v>
      </c>
      <c r="E478" s="2">
        <v>8755906784.8</v>
      </c>
      <c r="F478" t="s">
        <v>360</v>
      </c>
      <c r="G478">
        <v>6.81</v>
      </c>
      <c r="H478">
        <v>37.3273609555804</v>
      </c>
      <c r="I478">
        <v>305.3853</v>
      </c>
      <c r="J478">
        <v>44.444</v>
      </c>
    </row>
    <row r="479" spans="1:10">
      <c r="A479">
        <v>1246</v>
      </c>
      <c r="B479">
        <v>0.016</v>
      </c>
      <c r="C479">
        <v>0.014</v>
      </c>
      <c r="D479">
        <v>1.26</v>
      </c>
      <c r="E479" s="2">
        <v>423300000</v>
      </c>
      <c r="F479" t="s">
        <v>14</v>
      </c>
      <c r="G479">
        <v>1.4</v>
      </c>
      <c r="H479">
        <v>0.923913043478261</v>
      </c>
      <c r="I479">
        <v>4.6741</v>
      </c>
      <c r="J479">
        <v>3.182</v>
      </c>
    </row>
    <row r="480" spans="1:10">
      <c r="A480">
        <v>1239</v>
      </c>
      <c r="B480">
        <v>0.28</v>
      </c>
      <c r="C480">
        <v>0.03</v>
      </c>
      <c r="D480">
        <v>0.68</v>
      </c>
      <c r="E480" s="2">
        <v>2900000000</v>
      </c>
      <c r="F480" t="s">
        <v>164</v>
      </c>
      <c r="G480">
        <v>11.42</v>
      </c>
      <c r="H480">
        <v>12.0188023802202</v>
      </c>
      <c r="I480">
        <v>164.4747</v>
      </c>
      <c r="J480">
        <v>161.111</v>
      </c>
    </row>
    <row r="481" spans="1:8">
      <c r="A481">
        <v>1236</v>
      </c>
      <c r="B481">
        <v>2.35</v>
      </c>
      <c r="C481">
        <v>1.18</v>
      </c>
      <c r="D481">
        <v>6.03</v>
      </c>
      <c r="E481" s="2">
        <v>4904729371.08</v>
      </c>
      <c r="F481" t="s">
        <v>1113</v>
      </c>
      <c r="G481">
        <v>1.88</v>
      </c>
      <c r="H481">
        <v>11.7463723286791</v>
      </c>
    </row>
    <row r="482" spans="1:10">
      <c r="A482">
        <v>1233</v>
      </c>
      <c r="B482">
        <v>3.23</v>
      </c>
      <c r="C482">
        <v>2.5</v>
      </c>
      <c r="D482">
        <v>3.94</v>
      </c>
      <c r="E482" s="2">
        <v>5513472000</v>
      </c>
      <c r="F482" t="s">
        <v>177</v>
      </c>
      <c r="G482">
        <v>0.65</v>
      </c>
      <c r="H482">
        <v>0.337352833305421</v>
      </c>
      <c r="I482">
        <v>3.2513</v>
      </c>
      <c r="J482">
        <v>3.286</v>
      </c>
    </row>
    <row r="483" spans="1:8">
      <c r="A483">
        <v>1229</v>
      </c>
      <c r="B483">
        <v>0.68</v>
      </c>
      <c r="C483">
        <v>0.34</v>
      </c>
      <c r="D483">
        <v>1.65</v>
      </c>
      <c r="E483" s="2">
        <v>535761508.8</v>
      </c>
      <c r="F483" t="s">
        <v>334</v>
      </c>
      <c r="G483">
        <v>4.1</v>
      </c>
      <c r="H483">
        <v>11.7845117845117</v>
      </c>
    </row>
    <row r="484" spans="1:8">
      <c r="A484">
        <v>1217</v>
      </c>
      <c r="B484">
        <v>0.099</v>
      </c>
      <c r="C484">
        <v>0.031</v>
      </c>
      <c r="D484">
        <v>0.2</v>
      </c>
      <c r="E484" s="2">
        <v>834409803.79</v>
      </c>
      <c r="F484" t="s">
        <v>1136</v>
      </c>
      <c r="G484">
        <v>1.73</v>
      </c>
      <c r="H484">
        <v>326.666666666666</v>
      </c>
    </row>
    <row r="485" spans="1:10">
      <c r="A485">
        <v>1211</v>
      </c>
      <c r="B485">
        <v>40.95</v>
      </c>
      <c r="C485">
        <v>18.7</v>
      </c>
      <c r="D485">
        <v>62.3</v>
      </c>
      <c r="E485" s="2">
        <v>38933250000</v>
      </c>
      <c r="F485" t="s">
        <v>526</v>
      </c>
      <c r="G485">
        <v>3.22</v>
      </c>
      <c r="H485">
        <v>1.35838286947558</v>
      </c>
      <c r="I485">
        <v>194.3511</v>
      </c>
      <c r="J485">
        <v>156.152</v>
      </c>
    </row>
    <row r="486" spans="1:8">
      <c r="A486">
        <v>1207</v>
      </c>
      <c r="B486">
        <v>0.26</v>
      </c>
      <c r="C486">
        <v>0.19</v>
      </c>
      <c r="D486">
        <v>0.97</v>
      </c>
      <c r="E486" s="2">
        <v>5346825567.72</v>
      </c>
      <c r="F486" t="s">
        <v>112</v>
      </c>
      <c r="G486">
        <v>0.52</v>
      </c>
      <c r="H486">
        <v>1.29482071713147</v>
      </c>
    </row>
    <row r="487" spans="1:10">
      <c r="A487">
        <v>1203</v>
      </c>
      <c r="B487">
        <v>0.87</v>
      </c>
      <c r="C487">
        <v>0.79</v>
      </c>
      <c r="D487">
        <v>2.23</v>
      </c>
      <c r="E487" s="2">
        <v>825909889.35</v>
      </c>
      <c r="F487" t="s">
        <v>110</v>
      </c>
      <c r="G487">
        <v>0.34</v>
      </c>
      <c r="H487">
        <v>0.294966127516125</v>
      </c>
      <c r="I487">
        <v>5.7001</v>
      </c>
      <c r="J487">
        <v>5.636</v>
      </c>
    </row>
    <row r="488" spans="1:8">
      <c r="A488">
        <v>1182</v>
      </c>
      <c r="B488">
        <v>0.61</v>
      </c>
      <c r="C488">
        <v>0.19</v>
      </c>
      <c r="D488">
        <v>1.49</v>
      </c>
      <c r="E488" s="2">
        <v>1005943928.4</v>
      </c>
      <c r="F488" t="s">
        <v>1128</v>
      </c>
      <c r="G488">
        <v>4.96</v>
      </c>
      <c r="H488">
        <v>5.32386867790594</v>
      </c>
    </row>
    <row r="489" spans="1:10">
      <c r="A489">
        <v>1180</v>
      </c>
      <c r="B489">
        <v>1.18</v>
      </c>
      <c r="C489">
        <v>1</v>
      </c>
      <c r="D489">
        <v>5.94</v>
      </c>
      <c r="E489" s="2">
        <v>1304709790.6</v>
      </c>
      <c r="F489" t="s">
        <v>109</v>
      </c>
      <c r="G489">
        <v>1.21</v>
      </c>
      <c r="H489">
        <v>1.13428466886205</v>
      </c>
      <c r="I489">
        <v>22.3245</v>
      </c>
      <c r="J489">
        <v>19.384</v>
      </c>
    </row>
    <row r="490" spans="1:10">
      <c r="A490">
        <v>1177</v>
      </c>
      <c r="B490">
        <v>5.79</v>
      </c>
      <c r="C490">
        <v>4.86</v>
      </c>
      <c r="D490">
        <v>10.76</v>
      </c>
      <c r="E490" s="2">
        <v>42027129825.03</v>
      </c>
      <c r="F490" t="s">
        <v>58</v>
      </c>
      <c r="G490">
        <v>5.53</v>
      </c>
      <c r="H490">
        <v>1.79800221975582</v>
      </c>
      <c r="I490">
        <v>27.7736</v>
      </c>
      <c r="J490">
        <v>25.429</v>
      </c>
    </row>
    <row r="491" spans="1:10">
      <c r="A491">
        <v>1171</v>
      </c>
      <c r="B491">
        <v>3.7</v>
      </c>
      <c r="C491">
        <v>2.88</v>
      </c>
      <c r="D491">
        <v>10.46</v>
      </c>
      <c r="E491" s="2">
        <v>7344000000</v>
      </c>
      <c r="F491" t="s">
        <v>889</v>
      </c>
      <c r="G491">
        <v>0.32</v>
      </c>
      <c r="H491">
        <v>0.380949487768004</v>
      </c>
      <c r="I491">
        <v>19.2525</v>
      </c>
      <c r="J491">
        <v>15.349</v>
      </c>
    </row>
    <row r="492" spans="1:10">
      <c r="A492">
        <v>1165</v>
      </c>
      <c r="B492">
        <v>1.38</v>
      </c>
      <c r="C492">
        <v>0.99</v>
      </c>
      <c r="D492">
        <v>10.5</v>
      </c>
      <c r="E492" s="2">
        <v>5715573406.2</v>
      </c>
      <c r="F492" t="s">
        <v>107</v>
      </c>
      <c r="G492">
        <v>0.57</v>
      </c>
      <c r="H492">
        <v>0.472458370039411</v>
      </c>
      <c r="I492">
        <v>3.495</v>
      </c>
      <c r="J492">
        <v>1.558</v>
      </c>
    </row>
    <row r="493" spans="1:10">
      <c r="A493">
        <v>1157</v>
      </c>
      <c r="B493">
        <v>2.53</v>
      </c>
      <c r="C493">
        <v>1.95</v>
      </c>
      <c r="D493">
        <v>6.88</v>
      </c>
      <c r="E493" s="2">
        <v>3734277061.34</v>
      </c>
      <c r="F493" t="s">
        <v>57</v>
      </c>
      <c r="G493">
        <v>0.42</v>
      </c>
      <c r="H493">
        <v>0.778936297680334</v>
      </c>
      <c r="I493">
        <v>27.7575</v>
      </c>
      <c r="J493">
        <v>22.407</v>
      </c>
    </row>
    <row r="494" spans="1:10">
      <c r="A494">
        <v>1143</v>
      </c>
      <c r="B494">
        <v>9.03</v>
      </c>
      <c r="C494">
        <v>0.6</v>
      </c>
      <c r="D494">
        <v>11.84</v>
      </c>
      <c r="E494" s="2">
        <v>4796741435.2</v>
      </c>
      <c r="F494" t="s">
        <v>69</v>
      </c>
      <c r="G494">
        <v>8.65</v>
      </c>
      <c r="H494">
        <v>2.5585452238727</v>
      </c>
      <c r="I494">
        <v>8313.2434</v>
      </c>
      <c r="J494">
        <v>6785.714</v>
      </c>
    </row>
    <row r="495" spans="1:8">
      <c r="A495">
        <v>1139</v>
      </c>
      <c r="B495">
        <v>0.425</v>
      </c>
      <c r="C495">
        <v>0.19</v>
      </c>
      <c r="D495">
        <v>0.83</v>
      </c>
      <c r="E495" s="2">
        <v>369432968.34</v>
      </c>
      <c r="F495" t="s">
        <v>359</v>
      </c>
      <c r="G495">
        <v>5.92</v>
      </c>
      <c r="H495">
        <v>36.1344537815126</v>
      </c>
    </row>
    <row r="496" spans="1:8">
      <c r="A496">
        <v>1137</v>
      </c>
      <c r="B496">
        <v>1.67</v>
      </c>
      <c r="C496">
        <v>1.14</v>
      </c>
      <c r="D496">
        <v>5</v>
      </c>
      <c r="E496" s="2">
        <v>1391508625.96</v>
      </c>
      <c r="F496" t="s">
        <v>1088</v>
      </c>
      <c r="G496">
        <v>0.49</v>
      </c>
      <c r="H496">
        <v>5.87431693989071</v>
      </c>
    </row>
    <row r="497" spans="1:10">
      <c r="A497">
        <v>1117</v>
      </c>
      <c r="B497">
        <v>1.7</v>
      </c>
      <c r="C497">
        <v>1.25</v>
      </c>
      <c r="D497">
        <v>4.19</v>
      </c>
      <c r="E497" s="2">
        <v>9018105401.1</v>
      </c>
      <c r="F497" t="s">
        <v>106</v>
      </c>
      <c r="G497">
        <v>1.02</v>
      </c>
      <c r="H497">
        <v>1.33850028035282</v>
      </c>
      <c r="I497">
        <v>9.8083</v>
      </c>
      <c r="J497">
        <v>7.139</v>
      </c>
    </row>
    <row r="498" spans="1:10">
      <c r="A498">
        <v>1112</v>
      </c>
      <c r="B498">
        <v>24.6</v>
      </c>
      <c r="C498">
        <v>11.8</v>
      </c>
      <c r="D498">
        <v>42</v>
      </c>
      <c r="E498" s="2">
        <v>14873496794</v>
      </c>
      <c r="F498" t="s">
        <v>527</v>
      </c>
      <c r="G498">
        <v>4.23</v>
      </c>
      <c r="H498">
        <v>2.83068359399143</v>
      </c>
      <c r="I498">
        <v>14.7437</v>
      </c>
      <c r="J498">
        <v>13.793</v>
      </c>
    </row>
    <row r="499" spans="1:10">
      <c r="A499">
        <v>1108</v>
      </c>
      <c r="B499">
        <v>4.42</v>
      </c>
      <c r="C499">
        <v>2</v>
      </c>
      <c r="D499">
        <v>9</v>
      </c>
      <c r="E499" s="2">
        <v>1102500000</v>
      </c>
      <c r="F499" t="s">
        <v>950</v>
      </c>
      <c r="G499">
        <v>124.6</v>
      </c>
      <c r="H499">
        <v>3.37006026538926</v>
      </c>
      <c r="I499">
        <v>116.0787</v>
      </c>
      <c r="J499">
        <v>112</v>
      </c>
    </row>
    <row r="500" spans="1:10">
      <c r="A500">
        <v>1105</v>
      </c>
      <c r="B500">
        <v>1.19</v>
      </c>
      <c r="C500">
        <v>0.99</v>
      </c>
      <c r="D500">
        <v>1.55</v>
      </c>
      <c r="E500" s="2">
        <v>1039327604.4</v>
      </c>
      <c r="F500" t="s">
        <v>250</v>
      </c>
      <c r="G500">
        <v>0.51</v>
      </c>
      <c r="H500">
        <v>0.557103064066852</v>
      </c>
      <c r="I500">
        <v>9.1036</v>
      </c>
      <c r="J500">
        <v>8.59</v>
      </c>
    </row>
    <row r="501" spans="1:8">
      <c r="A501">
        <v>1101</v>
      </c>
      <c r="B501">
        <v>0.236</v>
      </c>
      <c r="C501">
        <v>0.147</v>
      </c>
      <c r="D501">
        <v>1.78</v>
      </c>
      <c r="E501" s="2">
        <v>2768779171.43</v>
      </c>
      <c r="F501" t="s">
        <v>806</v>
      </c>
      <c r="G501">
        <v>82.05</v>
      </c>
      <c r="H501">
        <v>2.61832304520622</v>
      </c>
    </row>
    <row r="502" spans="1:10">
      <c r="A502">
        <v>1082</v>
      </c>
      <c r="B502">
        <v>0.081</v>
      </c>
      <c r="C502">
        <v>0.056</v>
      </c>
      <c r="D502">
        <v>0.909</v>
      </c>
      <c r="E502" s="2">
        <v>184807526.4</v>
      </c>
      <c r="F502" t="s">
        <v>283</v>
      </c>
      <c r="G502">
        <v>0.27</v>
      </c>
      <c r="H502">
        <v>0.888157894736842</v>
      </c>
      <c r="I502">
        <v>5.5955</v>
      </c>
      <c r="J502">
        <v>1.778</v>
      </c>
    </row>
    <row r="503" spans="1:8">
      <c r="A503">
        <v>1076</v>
      </c>
      <c r="B503">
        <v>0.144</v>
      </c>
      <c r="C503">
        <v>0.074</v>
      </c>
      <c r="D503">
        <v>0.65</v>
      </c>
      <c r="E503" s="2">
        <v>21941629997.82</v>
      </c>
      <c r="F503" t="s">
        <v>1082</v>
      </c>
      <c r="G503">
        <v>14.86</v>
      </c>
      <c r="H503">
        <v>74.2857142857142</v>
      </c>
    </row>
    <row r="504" spans="1:10">
      <c r="A504">
        <v>1070</v>
      </c>
      <c r="B504">
        <v>4.43</v>
      </c>
      <c r="C504">
        <v>2.55</v>
      </c>
      <c r="D504">
        <v>8.88</v>
      </c>
      <c r="E504" s="2">
        <v>6253802346.55</v>
      </c>
      <c r="F504" t="s">
        <v>231</v>
      </c>
      <c r="G504">
        <v>1.55</v>
      </c>
      <c r="H504">
        <v>0.183643885595152</v>
      </c>
      <c r="I504">
        <v>26.6688</v>
      </c>
      <c r="J504">
        <v>22.579</v>
      </c>
    </row>
    <row r="505" spans="1:10">
      <c r="A505">
        <v>1068</v>
      </c>
      <c r="B505">
        <v>1.23</v>
      </c>
      <c r="C505">
        <v>0.9</v>
      </c>
      <c r="D505">
        <v>4.19</v>
      </c>
      <c r="E505" s="2">
        <v>2369582345</v>
      </c>
      <c r="F505" t="s">
        <v>955</v>
      </c>
      <c r="G505">
        <v>0.16</v>
      </c>
      <c r="H505">
        <v>0.122831550701084</v>
      </c>
      <c r="I505">
        <v>41.7371</v>
      </c>
      <c r="J505">
        <v>32.154</v>
      </c>
    </row>
    <row r="506" spans="1:10">
      <c r="A506">
        <v>1065</v>
      </c>
      <c r="B506">
        <v>5.05</v>
      </c>
      <c r="C506">
        <v>3.38</v>
      </c>
      <c r="D506">
        <v>10.68</v>
      </c>
      <c r="E506" s="2">
        <v>1747600000</v>
      </c>
      <c r="F506" t="s">
        <v>145</v>
      </c>
      <c r="G506">
        <v>1.36</v>
      </c>
      <c r="H506">
        <v>3.21223703824545</v>
      </c>
      <c r="I506">
        <v>19.0379</v>
      </c>
      <c r="J506">
        <v>17.556</v>
      </c>
    </row>
    <row r="507" spans="1:8">
      <c r="A507">
        <v>1063</v>
      </c>
      <c r="B507">
        <v>0.172</v>
      </c>
      <c r="C507">
        <v>0.065</v>
      </c>
      <c r="D507">
        <v>1.56</v>
      </c>
      <c r="E507" s="2">
        <v>2404085548.56</v>
      </c>
      <c r="F507" t="s">
        <v>1126</v>
      </c>
      <c r="G507">
        <v>4.38</v>
      </c>
      <c r="H507">
        <v>7.97979797979797</v>
      </c>
    </row>
    <row r="508" spans="1:8">
      <c r="A508">
        <v>1060</v>
      </c>
      <c r="B508">
        <v>1.66</v>
      </c>
      <c r="C508">
        <v>1.24</v>
      </c>
      <c r="D508">
        <v>4.9</v>
      </c>
      <c r="E508" s="2">
        <v>42141717554.7</v>
      </c>
      <c r="F508" t="s">
        <v>528</v>
      </c>
      <c r="G508">
        <v>2.14</v>
      </c>
      <c r="H508">
        <v>185.525871416128</v>
      </c>
    </row>
    <row r="509" spans="1:10">
      <c r="A509">
        <v>1058</v>
      </c>
      <c r="B509">
        <v>0.7</v>
      </c>
      <c r="C509">
        <v>0.42</v>
      </c>
      <c r="D509">
        <v>1.82</v>
      </c>
      <c r="E509" s="2">
        <v>376613300</v>
      </c>
      <c r="F509" t="s">
        <v>104</v>
      </c>
      <c r="G509">
        <v>1.11</v>
      </c>
      <c r="H509">
        <v>0.546021840873634</v>
      </c>
      <c r="I509">
        <v>188.4951</v>
      </c>
      <c r="J509">
        <v>162.162</v>
      </c>
    </row>
    <row r="510" spans="1:10">
      <c r="A510">
        <v>1057</v>
      </c>
      <c r="B510">
        <v>6.97</v>
      </c>
      <c r="C510">
        <v>5.1</v>
      </c>
      <c r="D510">
        <v>16.56</v>
      </c>
      <c r="E510" s="2">
        <v>611333700</v>
      </c>
      <c r="F510" t="s">
        <v>890</v>
      </c>
      <c r="G510">
        <v>1.27</v>
      </c>
      <c r="H510">
        <v>2.17020851828268</v>
      </c>
      <c r="I510">
        <v>41.0575</v>
      </c>
      <c r="J510">
        <v>34.306</v>
      </c>
    </row>
    <row r="511" spans="1:10">
      <c r="A511">
        <v>1055</v>
      </c>
      <c r="B511">
        <v>4.58</v>
      </c>
      <c r="C511">
        <v>2.38</v>
      </c>
      <c r="D511">
        <v>10.36</v>
      </c>
      <c r="E511" s="2">
        <v>13695093300</v>
      </c>
      <c r="F511" t="s">
        <v>529</v>
      </c>
      <c r="G511">
        <v>0.98</v>
      </c>
      <c r="H511">
        <v>0.352027888333253</v>
      </c>
      <c r="I511">
        <v>21.6503</v>
      </c>
      <c r="J511">
        <v>20.327</v>
      </c>
    </row>
    <row r="512" spans="1:10">
      <c r="A512">
        <v>1053</v>
      </c>
      <c r="B512">
        <v>1.1</v>
      </c>
      <c r="C512">
        <v>0.81</v>
      </c>
      <c r="D512">
        <v>2.94</v>
      </c>
      <c r="E512" s="2">
        <v>575796104</v>
      </c>
      <c r="F512" t="s">
        <v>860</v>
      </c>
      <c r="G512">
        <v>0.58</v>
      </c>
      <c r="H512">
        <v>0.434417274535526</v>
      </c>
      <c r="I512">
        <v>73.808</v>
      </c>
      <c r="J512">
        <v>66.207</v>
      </c>
    </row>
    <row r="513" spans="1:10">
      <c r="A513">
        <v>1052</v>
      </c>
      <c r="B513">
        <v>4.99</v>
      </c>
      <c r="C513">
        <v>4.21</v>
      </c>
      <c r="D513">
        <v>6.09</v>
      </c>
      <c r="E513" s="2">
        <v>8365811475</v>
      </c>
      <c r="F513" t="s">
        <v>530</v>
      </c>
      <c r="G513">
        <v>0.82</v>
      </c>
      <c r="H513">
        <v>2.78057429403109</v>
      </c>
      <c r="I513">
        <v>13.1714</v>
      </c>
      <c r="J513">
        <v>9.53</v>
      </c>
    </row>
    <row r="514" spans="1:10">
      <c r="A514">
        <v>1049</v>
      </c>
      <c r="B514">
        <v>0.43</v>
      </c>
      <c r="C514">
        <v>0.385</v>
      </c>
      <c r="D514">
        <v>1.99</v>
      </c>
      <c r="E514" s="2">
        <v>365737537.88</v>
      </c>
      <c r="F514" t="s">
        <v>440</v>
      </c>
      <c r="G514">
        <v>0.75</v>
      </c>
      <c r="H514">
        <v>0.136442570081865</v>
      </c>
      <c r="I514">
        <v>151.0064</v>
      </c>
      <c r="J514">
        <v>126.471</v>
      </c>
    </row>
    <row r="515" spans="1:10">
      <c r="A515">
        <v>1046</v>
      </c>
      <c r="B515">
        <v>0.074</v>
      </c>
      <c r="C515">
        <v>0.053</v>
      </c>
      <c r="D515">
        <v>2.13</v>
      </c>
      <c r="E515" s="2">
        <v>114074800.92</v>
      </c>
      <c r="F515" t="s">
        <v>847</v>
      </c>
      <c r="G515">
        <v>0.15</v>
      </c>
      <c r="H515">
        <v>0.714948932219127</v>
      </c>
      <c r="I515">
        <v>0.7044</v>
      </c>
      <c r="J515">
        <v>0.19</v>
      </c>
    </row>
    <row r="516" spans="1:10">
      <c r="A516">
        <v>1044</v>
      </c>
      <c r="B516">
        <v>61.95</v>
      </c>
      <c r="C516">
        <v>60.8</v>
      </c>
      <c r="D516">
        <v>107.4</v>
      </c>
      <c r="E516" s="2">
        <v>75189850829.9</v>
      </c>
      <c r="F516" t="s">
        <v>105</v>
      </c>
      <c r="G516">
        <v>4.12</v>
      </c>
      <c r="H516">
        <v>2.90377208907402</v>
      </c>
      <c r="I516">
        <v>19.2016</v>
      </c>
      <c r="J516">
        <v>20.716</v>
      </c>
    </row>
    <row r="517" spans="1:8">
      <c r="A517">
        <v>1039</v>
      </c>
      <c r="B517">
        <v>0.86</v>
      </c>
      <c r="C517">
        <v>0.37</v>
      </c>
      <c r="D517">
        <v>2.77</v>
      </c>
      <c r="E517" s="2">
        <v>1348799999.36</v>
      </c>
      <c r="F517" t="s">
        <v>113</v>
      </c>
      <c r="G517">
        <v>4.99</v>
      </c>
      <c r="H517">
        <v>5.77430170647675</v>
      </c>
    </row>
    <row r="518" spans="1:10">
      <c r="A518">
        <v>1038</v>
      </c>
      <c r="B518">
        <v>75.7</v>
      </c>
      <c r="C518">
        <v>52.9</v>
      </c>
      <c r="D518">
        <v>81.1</v>
      </c>
      <c r="E518" s="2">
        <v>197872966535.3</v>
      </c>
      <c r="F518" t="s">
        <v>1077</v>
      </c>
      <c r="G518">
        <v>1.84</v>
      </c>
      <c r="H518">
        <v>29.0263628586981</v>
      </c>
      <c r="I518">
        <v>6.2259</v>
      </c>
      <c r="J518">
        <v>5.454</v>
      </c>
    </row>
    <row r="519" spans="1:10">
      <c r="A519">
        <v>1036</v>
      </c>
      <c r="B519">
        <v>5.41</v>
      </c>
      <c r="C519">
        <v>4.99</v>
      </c>
      <c r="D519">
        <v>10.14</v>
      </c>
      <c r="E519" s="2">
        <v>2111241391.44</v>
      </c>
      <c r="F519" t="s">
        <v>173</v>
      </c>
      <c r="G519">
        <v>0.77</v>
      </c>
      <c r="H519">
        <v>23.2618025751072</v>
      </c>
      <c r="I519">
        <v>13.0561</v>
      </c>
      <c r="J519">
        <v>10.161</v>
      </c>
    </row>
    <row r="520" spans="1:10">
      <c r="A520">
        <v>1035</v>
      </c>
      <c r="B520">
        <v>1.61</v>
      </c>
      <c r="C520">
        <v>1.39</v>
      </c>
      <c r="D520">
        <v>5.66</v>
      </c>
      <c r="E520" s="2">
        <v>833492343.8</v>
      </c>
      <c r="F520" t="s">
        <v>531</v>
      </c>
      <c r="G520">
        <v>1.35</v>
      </c>
      <c r="H520">
        <v>2.45213930328109</v>
      </c>
      <c r="I520">
        <v>20.0234</v>
      </c>
      <c r="J520">
        <v>15.814</v>
      </c>
    </row>
    <row r="521" spans="1:10">
      <c r="A521">
        <v>1033</v>
      </c>
      <c r="B521">
        <v>1.76</v>
      </c>
      <c r="C521">
        <v>1.49</v>
      </c>
      <c r="D521">
        <v>4.96</v>
      </c>
      <c r="E521" s="2">
        <v>3801000000</v>
      </c>
      <c r="F521" t="s">
        <v>1051</v>
      </c>
      <c r="G521">
        <v>0.86</v>
      </c>
      <c r="H521">
        <v>0.439823907726363</v>
      </c>
      <c r="I521">
        <v>16.2824</v>
      </c>
      <c r="J521">
        <v>15.682</v>
      </c>
    </row>
    <row r="522" spans="1:10">
      <c r="A522">
        <v>1031</v>
      </c>
      <c r="B522">
        <v>3.05</v>
      </c>
      <c r="C522">
        <v>0.8</v>
      </c>
      <c r="D522">
        <v>4.05</v>
      </c>
      <c r="E522" s="2">
        <v>42613324484.58</v>
      </c>
      <c r="F522" t="s">
        <v>966</v>
      </c>
      <c r="G522">
        <v>2.34</v>
      </c>
      <c r="H522">
        <v>12.6006441223832</v>
      </c>
      <c r="I522">
        <v>33.8299</v>
      </c>
      <c r="J522">
        <v>32.414</v>
      </c>
    </row>
    <row r="523" spans="1:10">
      <c r="A523">
        <v>1030</v>
      </c>
      <c r="B523">
        <v>1.03</v>
      </c>
      <c r="C523">
        <v>0.62</v>
      </c>
      <c r="D523">
        <v>1.87</v>
      </c>
      <c r="E523" s="2">
        <v>5884320000</v>
      </c>
      <c r="F523" t="s">
        <v>533</v>
      </c>
      <c r="G523">
        <v>0.6</v>
      </c>
      <c r="H523">
        <v>0.205355367048016</v>
      </c>
      <c r="I523">
        <v>4.7818</v>
      </c>
      <c r="J523">
        <v>4.065</v>
      </c>
    </row>
    <row r="524" spans="1:8">
      <c r="A524">
        <v>1029</v>
      </c>
      <c r="B524">
        <v>0.149</v>
      </c>
      <c r="C524">
        <v>0.12</v>
      </c>
      <c r="D524">
        <v>0.71</v>
      </c>
      <c r="E524" s="2">
        <v>1120371321.34</v>
      </c>
      <c r="F524" t="s">
        <v>883</v>
      </c>
      <c r="G524">
        <v>0.33</v>
      </c>
      <c r="H524">
        <v>1.28995639947369</v>
      </c>
    </row>
    <row r="525" spans="1:10">
      <c r="A525">
        <v>1027</v>
      </c>
      <c r="B525">
        <v>1.23</v>
      </c>
      <c r="C525">
        <v>0.05</v>
      </c>
      <c r="D525">
        <v>3.3</v>
      </c>
      <c r="E525" s="2">
        <v>18150000000</v>
      </c>
      <c r="F525" t="s">
        <v>675</v>
      </c>
      <c r="G525">
        <v>35.91</v>
      </c>
      <c r="H525">
        <v>21.2246742275621</v>
      </c>
      <c r="I525">
        <v>198.3839</v>
      </c>
      <c r="J525">
        <v>255.738</v>
      </c>
    </row>
    <row r="526" spans="1:10">
      <c r="A526">
        <v>1025</v>
      </c>
      <c r="B526">
        <v>6.2</v>
      </c>
      <c r="C526">
        <v>3.05</v>
      </c>
      <c r="D526">
        <v>8.1</v>
      </c>
      <c r="E526" s="2">
        <v>3326721600</v>
      </c>
      <c r="F526" t="s">
        <v>103</v>
      </c>
      <c r="G526">
        <v>1.56</v>
      </c>
      <c r="H526">
        <v>0.268165236058621</v>
      </c>
      <c r="I526">
        <v>16.1714</v>
      </c>
      <c r="J526">
        <v>14.275</v>
      </c>
    </row>
    <row r="527" spans="1:10">
      <c r="A527">
        <v>1022</v>
      </c>
      <c r="B527">
        <v>1.93</v>
      </c>
      <c r="C527">
        <v>1.49</v>
      </c>
      <c r="D527">
        <v>4.47</v>
      </c>
      <c r="E527" s="2">
        <v>2934205055</v>
      </c>
      <c r="F527" t="s">
        <v>674</v>
      </c>
      <c r="G527">
        <v>1.88</v>
      </c>
      <c r="H527">
        <v>5.67428116794795</v>
      </c>
      <c r="I527">
        <v>20.3185</v>
      </c>
      <c r="J527">
        <v>12.074</v>
      </c>
    </row>
    <row r="528" spans="1:8">
      <c r="A528">
        <v>1020</v>
      </c>
      <c r="B528">
        <v>0.28</v>
      </c>
      <c r="C528">
        <v>0.18</v>
      </c>
      <c r="D528">
        <v>0.88</v>
      </c>
      <c r="E528" s="2">
        <v>757945860</v>
      </c>
      <c r="F528" t="s">
        <v>102</v>
      </c>
      <c r="G528">
        <v>0.93</v>
      </c>
      <c r="H528">
        <v>1.75176129206112</v>
      </c>
    </row>
    <row r="529" spans="1:10">
      <c r="A529">
        <v>1019</v>
      </c>
      <c r="B529">
        <v>0.335</v>
      </c>
      <c r="C529">
        <v>0.23</v>
      </c>
      <c r="D529">
        <v>1.89</v>
      </c>
      <c r="E529" s="2">
        <v>5004530160</v>
      </c>
      <c r="F529" t="s">
        <v>1107</v>
      </c>
      <c r="G529">
        <v>1.73</v>
      </c>
      <c r="H529">
        <v>1.10415293342122</v>
      </c>
      <c r="I529">
        <v>20.3293</v>
      </c>
      <c r="J529">
        <v>1.691</v>
      </c>
    </row>
    <row r="530" spans="1:10">
      <c r="A530">
        <v>1011</v>
      </c>
      <c r="B530">
        <v>2.14</v>
      </c>
      <c r="C530">
        <v>0.85</v>
      </c>
      <c r="D530">
        <v>3.24</v>
      </c>
      <c r="E530" s="2">
        <v>3349695270</v>
      </c>
      <c r="F530" t="s">
        <v>193</v>
      </c>
      <c r="G530">
        <v>3.26</v>
      </c>
      <c r="H530">
        <v>2.90837957724497</v>
      </c>
      <c r="I530">
        <v>1283.6123</v>
      </c>
      <c r="J530">
        <v>883.333</v>
      </c>
    </row>
    <row r="531" spans="1:8">
      <c r="A531">
        <v>1003</v>
      </c>
      <c r="B531">
        <v>2</v>
      </c>
      <c r="C531">
        <v>0.61</v>
      </c>
      <c r="D531">
        <v>6.8</v>
      </c>
      <c r="E531" s="2">
        <v>4617110816</v>
      </c>
      <c r="F531" t="s">
        <v>369</v>
      </c>
      <c r="G531">
        <v>4.57</v>
      </c>
      <c r="H531">
        <v>15.6372165754495</v>
      </c>
    </row>
    <row r="532" spans="1:10">
      <c r="A532">
        <v>998</v>
      </c>
      <c r="B532">
        <v>4.57</v>
      </c>
      <c r="C532">
        <v>4</v>
      </c>
      <c r="D532">
        <v>7.4</v>
      </c>
      <c r="E532" s="2">
        <v>68904414583.51</v>
      </c>
      <c r="F532" t="s">
        <v>199</v>
      </c>
      <c r="G532">
        <v>0.65</v>
      </c>
      <c r="H532">
        <v>1.23830573351334</v>
      </c>
      <c r="I532">
        <v>4.4529</v>
      </c>
      <c r="J532">
        <v>4.064</v>
      </c>
    </row>
    <row r="533" spans="1:10">
      <c r="A533">
        <v>996</v>
      </c>
      <c r="B533">
        <v>1.1</v>
      </c>
      <c r="C533">
        <v>0.8</v>
      </c>
      <c r="D533">
        <v>1.79</v>
      </c>
      <c r="E533" s="2">
        <v>16370616314.8</v>
      </c>
      <c r="F533" t="s">
        <v>99</v>
      </c>
      <c r="G533">
        <v>3.1</v>
      </c>
      <c r="H533">
        <v>15.3203342618384</v>
      </c>
      <c r="I533">
        <v>380.5527</v>
      </c>
      <c r="J533">
        <v>345.455</v>
      </c>
    </row>
    <row r="534" spans="1:10">
      <c r="A534">
        <v>992</v>
      </c>
      <c r="B534">
        <v>6.42</v>
      </c>
      <c r="C534">
        <v>6.02</v>
      </c>
      <c r="D534">
        <v>14.3</v>
      </c>
      <c r="E534" s="2">
        <v>72872774989.44</v>
      </c>
      <c r="F534" t="s">
        <v>108</v>
      </c>
      <c r="G534">
        <v>3.52</v>
      </c>
      <c r="H534">
        <v>0.196956101990144</v>
      </c>
      <c r="I534">
        <v>11.3397</v>
      </c>
      <c r="J534">
        <v>11.423</v>
      </c>
    </row>
    <row r="535" spans="1:8">
      <c r="A535">
        <v>988</v>
      </c>
      <c r="B535">
        <v>0.5</v>
      </c>
      <c r="C535">
        <v>0.41</v>
      </c>
      <c r="D535">
        <v>2.2</v>
      </c>
      <c r="E535" s="2">
        <v>1995861185</v>
      </c>
      <c r="F535" t="s">
        <v>353</v>
      </c>
      <c r="G535">
        <v>1.69</v>
      </c>
      <c r="H535">
        <v>1.12536574386675</v>
      </c>
    </row>
    <row r="536" spans="1:10">
      <c r="A536">
        <v>978</v>
      </c>
      <c r="B536">
        <v>1.19</v>
      </c>
      <c r="C536">
        <v>0.91</v>
      </c>
      <c r="D536">
        <v>2.76</v>
      </c>
      <c r="E536" s="2">
        <v>5837256853.4</v>
      </c>
      <c r="F536" t="s">
        <v>532</v>
      </c>
      <c r="G536">
        <v>0.94</v>
      </c>
      <c r="H536">
        <v>0.754427420715732</v>
      </c>
      <c r="I536">
        <v>26.3734</v>
      </c>
      <c r="J536">
        <v>10.733</v>
      </c>
    </row>
    <row r="537" spans="1:8">
      <c r="A537">
        <v>974</v>
      </c>
      <c r="B537">
        <v>2.97</v>
      </c>
      <c r="C537">
        <v>2.78</v>
      </c>
      <c r="D537">
        <v>7.5</v>
      </c>
      <c r="E537" s="2">
        <v>859752720</v>
      </c>
      <c r="F537" t="s">
        <v>352</v>
      </c>
      <c r="G537">
        <v>2.99</v>
      </c>
      <c r="H537">
        <v>22.2152</v>
      </c>
    </row>
    <row r="538" spans="1:10">
      <c r="A538">
        <v>968</v>
      </c>
      <c r="B538">
        <v>2.32</v>
      </c>
      <c r="C538">
        <v>1.97</v>
      </c>
      <c r="D538">
        <v>3.97</v>
      </c>
      <c r="E538" s="2">
        <v>16872000000</v>
      </c>
      <c r="F538" t="s">
        <v>101</v>
      </c>
      <c r="G538">
        <v>3.11</v>
      </c>
      <c r="H538">
        <v>3.84378843788437</v>
      </c>
      <c r="I538">
        <v>34.2251</v>
      </c>
      <c r="J538">
        <v>30.404</v>
      </c>
    </row>
    <row r="539" spans="1:10">
      <c r="A539">
        <v>967</v>
      </c>
      <c r="B539">
        <v>3.42</v>
      </c>
      <c r="C539">
        <v>2.35</v>
      </c>
      <c r="D539">
        <v>9.47</v>
      </c>
      <c r="E539" s="2">
        <v>5045788160.35</v>
      </c>
      <c r="F539" t="s">
        <v>100</v>
      </c>
      <c r="G539">
        <v>0.87</v>
      </c>
      <c r="H539">
        <v>1.03831180245554</v>
      </c>
      <c r="I539">
        <v>8.0235</v>
      </c>
      <c r="J539">
        <v>7.045</v>
      </c>
    </row>
    <row r="540" spans="1:10">
      <c r="A540">
        <v>966</v>
      </c>
      <c r="B540">
        <v>15.7</v>
      </c>
      <c r="C540">
        <v>13.66</v>
      </c>
      <c r="D540">
        <v>33.3</v>
      </c>
      <c r="E540" s="2">
        <v>58438741427.88</v>
      </c>
      <c r="F540" t="s">
        <v>534</v>
      </c>
      <c r="G540">
        <v>0.92</v>
      </c>
      <c r="H540">
        <v>0.44</v>
      </c>
      <c r="I540">
        <v>14.7443</v>
      </c>
      <c r="J540">
        <v>11.402</v>
      </c>
    </row>
    <row r="541" spans="1:10">
      <c r="A541">
        <v>963</v>
      </c>
      <c r="B541">
        <v>15.9</v>
      </c>
      <c r="C541">
        <v>9.6</v>
      </c>
      <c r="D541">
        <v>20.95</v>
      </c>
      <c r="E541" s="2">
        <v>5468679036.76</v>
      </c>
      <c r="F541" t="s">
        <v>535</v>
      </c>
      <c r="G541">
        <v>4.8</v>
      </c>
      <c r="H541">
        <v>6.3503211274345</v>
      </c>
      <c r="I541">
        <v>26.986</v>
      </c>
      <c r="J541">
        <v>28.553</v>
      </c>
    </row>
    <row r="542" spans="1:10">
      <c r="A542">
        <v>958</v>
      </c>
      <c r="B542">
        <v>1.89</v>
      </c>
      <c r="C542">
        <v>1.39</v>
      </c>
      <c r="D542">
        <v>3.8</v>
      </c>
      <c r="E542" s="2">
        <v>8595004233.6</v>
      </c>
      <c r="F542" t="s">
        <v>945</v>
      </c>
      <c r="G542">
        <v>0.92</v>
      </c>
      <c r="H542">
        <v>1.94905223104396</v>
      </c>
      <c r="I542">
        <v>14.2269</v>
      </c>
      <c r="J542">
        <v>10.387</v>
      </c>
    </row>
    <row r="543" spans="1:8">
      <c r="A543">
        <v>953</v>
      </c>
      <c r="B543">
        <v>1.33</v>
      </c>
      <c r="C543">
        <v>0.27</v>
      </c>
      <c r="D543">
        <v>1.45</v>
      </c>
      <c r="E543" s="2">
        <v>1587377400</v>
      </c>
      <c r="F543" t="s">
        <v>470</v>
      </c>
      <c r="G543">
        <v>4.38</v>
      </c>
      <c r="H543">
        <v>7.88109196646183</v>
      </c>
    </row>
    <row r="544" spans="1:10">
      <c r="A544">
        <v>952</v>
      </c>
      <c r="B544">
        <v>0.88</v>
      </c>
      <c r="C544">
        <v>0.31</v>
      </c>
      <c r="D544">
        <v>2.6</v>
      </c>
      <c r="E544" s="2">
        <v>1314858108.33</v>
      </c>
      <c r="F544" t="s">
        <v>365</v>
      </c>
      <c r="G544">
        <v>2.05</v>
      </c>
      <c r="H544">
        <v>2.00368493781667</v>
      </c>
      <c r="I544">
        <v>36.4863</v>
      </c>
      <c r="J544">
        <v>35.974</v>
      </c>
    </row>
    <row r="545" spans="1:8">
      <c r="A545">
        <v>951</v>
      </c>
      <c r="B545">
        <v>4.1</v>
      </c>
      <c r="C545">
        <v>3.05</v>
      </c>
      <c r="D545">
        <v>6.96</v>
      </c>
      <c r="E545" s="2">
        <v>4200808188.3</v>
      </c>
      <c r="F545" t="s">
        <v>234</v>
      </c>
      <c r="G545">
        <v>1.37</v>
      </c>
      <c r="H545">
        <v>0.198446981607712</v>
      </c>
    </row>
    <row r="546" spans="1:8">
      <c r="A546">
        <v>943</v>
      </c>
      <c r="B546">
        <v>0.152</v>
      </c>
      <c r="C546">
        <v>0.071</v>
      </c>
      <c r="D546">
        <v>1.8</v>
      </c>
      <c r="E546" s="2">
        <v>181552645.4</v>
      </c>
      <c r="F546" t="s">
        <v>1116</v>
      </c>
      <c r="G546">
        <v>0.27</v>
      </c>
      <c r="H546">
        <v>0.886150234741784</v>
      </c>
    </row>
    <row r="547" spans="1:10">
      <c r="A547">
        <v>940</v>
      </c>
      <c r="B547">
        <v>5.2</v>
      </c>
      <c r="C547">
        <v>4.3</v>
      </c>
      <c r="D547">
        <v>8.09</v>
      </c>
      <c r="E547" s="2">
        <v>10223147235.6</v>
      </c>
      <c r="F547" t="s">
        <v>550</v>
      </c>
      <c r="G547">
        <v>4.91</v>
      </c>
      <c r="H547">
        <v>8.05899431809904</v>
      </c>
      <c r="I547">
        <v>42.8431</v>
      </c>
      <c r="J547">
        <v>37.599</v>
      </c>
    </row>
    <row r="548" spans="1:10">
      <c r="A548">
        <v>926</v>
      </c>
      <c r="B548">
        <v>0.9</v>
      </c>
      <c r="C548">
        <v>0.48</v>
      </c>
      <c r="D548">
        <v>1.7</v>
      </c>
      <c r="E548" s="2">
        <v>1391400029.8</v>
      </c>
      <c r="F548" t="s">
        <v>690</v>
      </c>
      <c r="G548">
        <v>0.97</v>
      </c>
      <c r="H548">
        <v>1.52568816593288</v>
      </c>
      <c r="I548">
        <v>24.7089</v>
      </c>
      <c r="J548">
        <v>20.38</v>
      </c>
    </row>
    <row r="549" spans="1:10">
      <c r="A549">
        <v>921</v>
      </c>
      <c r="B549">
        <v>2.64</v>
      </c>
      <c r="C549">
        <v>2.51</v>
      </c>
      <c r="D549">
        <v>10.7</v>
      </c>
      <c r="E549" s="2">
        <v>1263871972</v>
      </c>
      <c r="F549" t="s">
        <v>861</v>
      </c>
      <c r="G549">
        <v>0.75</v>
      </c>
      <c r="H549">
        <v>0.108658936963336</v>
      </c>
      <c r="I549">
        <v>4.4567</v>
      </c>
      <c r="J549">
        <v>4.921</v>
      </c>
    </row>
    <row r="550" spans="1:10">
      <c r="A550">
        <v>911</v>
      </c>
      <c r="B550">
        <v>0.054</v>
      </c>
      <c r="C550">
        <v>0.025</v>
      </c>
      <c r="D550">
        <v>1.02</v>
      </c>
      <c r="E550" s="2">
        <v>1080874800</v>
      </c>
      <c r="F550" t="s">
        <v>687</v>
      </c>
      <c r="G550">
        <v>0.72</v>
      </c>
      <c r="H550">
        <v>0.413476263399693</v>
      </c>
      <c r="I550">
        <v>5.2635</v>
      </c>
      <c r="J550">
        <v>33.761</v>
      </c>
    </row>
    <row r="551" spans="1:10">
      <c r="A551">
        <v>906</v>
      </c>
      <c r="B551">
        <v>4.2</v>
      </c>
      <c r="C551">
        <v>3.5</v>
      </c>
      <c r="D551">
        <v>6.93</v>
      </c>
      <c r="E551" s="2">
        <v>4189752000</v>
      </c>
      <c r="F551" t="s">
        <v>537</v>
      </c>
      <c r="G551">
        <v>0.8</v>
      </c>
      <c r="H551">
        <v>0.626777082781813</v>
      </c>
      <c r="I551">
        <v>9.6882</v>
      </c>
      <c r="J551">
        <v>8.651</v>
      </c>
    </row>
    <row r="552" spans="1:8">
      <c r="A552">
        <v>904</v>
      </c>
      <c r="B552">
        <v>0.255</v>
      </c>
      <c r="C552">
        <v>0.103</v>
      </c>
      <c r="D552">
        <v>0.545</v>
      </c>
      <c r="E552" s="2">
        <v>304032694.64</v>
      </c>
      <c r="F552" t="s">
        <v>1492</v>
      </c>
      <c r="G552">
        <v>0.06</v>
      </c>
      <c r="H552">
        <v>0.678276526477282</v>
      </c>
    </row>
    <row r="553" spans="1:10">
      <c r="A553">
        <v>902</v>
      </c>
      <c r="B553">
        <v>6.64</v>
      </c>
      <c r="C553">
        <v>5.63</v>
      </c>
      <c r="D553">
        <v>11.9</v>
      </c>
      <c r="E553" s="2">
        <v>31445565213.6</v>
      </c>
      <c r="F553" t="s">
        <v>433</v>
      </c>
      <c r="G553">
        <v>1.05</v>
      </c>
      <c r="H553">
        <v>0.587218257705101</v>
      </c>
      <c r="I553">
        <v>7.5601</v>
      </c>
      <c r="J553">
        <v>6.252</v>
      </c>
    </row>
    <row r="554" spans="1:10">
      <c r="A554">
        <v>895</v>
      </c>
      <c r="B554">
        <v>10.1</v>
      </c>
      <c r="C554">
        <v>8.6</v>
      </c>
      <c r="D554">
        <v>19.3</v>
      </c>
      <c r="E554" s="2">
        <v>2041402500</v>
      </c>
      <c r="F554" t="s">
        <v>927</v>
      </c>
      <c r="G554">
        <v>2.76</v>
      </c>
      <c r="H554">
        <v>3.11590495600323</v>
      </c>
      <c r="I554">
        <v>28.1859</v>
      </c>
      <c r="J554">
        <v>25.102</v>
      </c>
    </row>
    <row r="555" spans="1:10">
      <c r="A555">
        <v>882</v>
      </c>
      <c r="B555">
        <v>3.81</v>
      </c>
      <c r="C555">
        <v>3.25</v>
      </c>
      <c r="D555">
        <v>8.69</v>
      </c>
      <c r="E555" s="2">
        <v>4173075786.25</v>
      </c>
      <c r="F555" t="s">
        <v>536</v>
      </c>
      <c r="G555">
        <v>0.35</v>
      </c>
      <c r="H555">
        <v>0.771167456336855</v>
      </c>
      <c r="I555">
        <v>5.8888</v>
      </c>
      <c r="J555">
        <v>5.332</v>
      </c>
    </row>
    <row r="556" spans="1:10">
      <c r="A556">
        <v>874</v>
      </c>
      <c r="B556">
        <v>17</v>
      </c>
      <c r="C556">
        <v>15.6</v>
      </c>
      <c r="D556">
        <v>34.1</v>
      </c>
      <c r="E556" s="2">
        <v>3769086000</v>
      </c>
      <c r="F556" t="s">
        <v>969</v>
      </c>
      <c r="G556">
        <v>2.24</v>
      </c>
      <c r="H556">
        <v>0.903210297222152</v>
      </c>
      <c r="I556">
        <v>14.8411</v>
      </c>
      <c r="J556">
        <v>14.584</v>
      </c>
    </row>
    <row r="557" spans="1:10">
      <c r="A557">
        <v>863</v>
      </c>
      <c r="B557">
        <v>3</v>
      </c>
      <c r="C557">
        <v>2.46</v>
      </c>
      <c r="D557">
        <v>4.2</v>
      </c>
      <c r="E557" s="2">
        <v>740430582</v>
      </c>
      <c r="F557" t="s">
        <v>343</v>
      </c>
      <c r="G557">
        <v>1.43</v>
      </c>
      <c r="H557">
        <v>1.97678232262144</v>
      </c>
      <c r="I557">
        <v>14.4347</v>
      </c>
      <c r="J557">
        <v>14.629</v>
      </c>
    </row>
    <row r="558" spans="1:8">
      <c r="A558">
        <v>862</v>
      </c>
      <c r="B558">
        <v>0.52</v>
      </c>
      <c r="C558">
        <v>0.26</v>
      </c>
      <c r="D558">
        <v>2.12</v>
      </c>
      <c r="E558" s="2">
        <v>1321837834.92</v>
      </c>
      <c r="F558" t="s">
        <v>1036</v>
      </c>
      <c r="G558">
        <v>4.23</v>
      </c>
      <c r="H558">
        <v>53.6842105263157</v>
      </c>
    </row>
    <row r="559" spans="1:10">
      <c r="A559">
        <v>861</v>
      </c>
      <c r="B559">
        <v>9.3</v>
      </c>
      <c r="C559">
        <v>5.82</v>
      </c>
      <c r="D559">
        <v>15.4</v>
      </c>
      <c r="E559" s="2">
        <v>10240054526.54</v>
      </c>
      <c r="F559" t="s">
        <v>282</v>
      </c>
      <c r="G559">
        <v>1.17</v>
      </c>
      <c r="H559">
        <v>0.14030006789682</v>
      </c>
      <c r="I559">
        <v>14.6088</v>
      </c>
      <c r="J559">
        <v>12.299</v>
      </c>
    </row>
    <row r="560" spans="1:10">
      <c r="A560">
        <v>855</v>
      </c>
      <c r="B560">
        <v>3.42</v>
      </c>
      <c r="C560">
        <v>2.46</v>
      </c>
      <c r="D560">
        <v>5.1</v>
      </c>
      <c r="E560" s="2">
        <v>5197924137.78</v>
      </c>
      <c r="F560" t="s">
        <v>98</v>
      </c>
      <c r="G560">
        <v>1.17</v>
      </c>
      <c r="H560">
        <v>1.50006579235931</v>
      </c>
      <c r="I560">
        <v>14.0159</v>
      </c>
      <c r="J560">
        <v>12.61</v>
      </c>
    </row>
    <row r="561" spans="1:10">
      <c r="A561">
        <v>848</v>
      </c>
      <c r="B561">
        <v>0.83</v>
      </c>
      <c r="C561">
        <v>0.77</v>
      </c>
      <c r="D561">
        <v>2</v>
      </c>
      <c r="E561" s="2">
        <v>4318973400</v>
      </c>
      <c r="F561" t="s">
        <v>1151</v>
      </c>
      <c r="G561">
        <v>0.45</v>
      </c>
      <c r="H561">
        <v>0.78309148857861</v>
      </c>
      <c r="I561">
        <v>2.531</v>
      </c>
      <c r="J561">
        <v>2.406</v>
      </c>
    </row>
    <row r="562" spans="1:10">
      <c r="A562">
        <v>837</v>
      </c>
      <c r="B562">
        <v>3.95</v>
      </c>
      <c r="C562">
        <v>3.65</v>
      </c>
      <c r="D562">
        <v>6.12</v>
      </c>
      <c r="E562" s="2">
        <v>992500000</v>
      </c>
      <c r="F562" t="s">
        <v>1035</v>
      </c>
      <c r="G562">
        <v>1.35</v>
      </c>
      <c r="H562">
        <v>2.55367263473469</v>
      </c>
      <c r="I562">
        <v>6.1644</v>
      </c>
      <c r="J562">
        <v>6.18</v>
      </c>
    </row>
    <row r="563" spans="1:8">
      <c r="A563">
        <v>835</v>
      </c>
      <c r="B563">
        <v>0.083</v>
      </c>
      <c r="C563">
        <v>0.054</v>
      </c>
      <c r="D563">
        <v>0.223</v>
      </c>
      <c r="E563" s="2">
        <v>797443561.42</v>
      </c>
      <c r="F563" t="s">
        <v>869</v>
      </c>
      <c r="G563">
        <v>30.74</v>
      </c>
      <c r="H563">
        <v>59.2857142857142</v>
      </c>
    </row>
    <row r="564" spans="1:8">
      <c r="A564">
        <v>827</v>
      </c>
      <c r="B564">
        <v>0.4</v>
      </c>
      <c r="C564">
        <v>0.35</v>
      </c>
      <c r="D564">
        <v>2.85</v>
      </c>
      <c r="E564" s="2">
        <v>1686951178.58</v>
      </c>
      <c r="F564" t="s">
        <v>13</v>
      </c>
      <c r="G564">
        <v>0.83</v>
      </c>
      <c r="H564">
        <v>0.778304545129754</v>
      </c>
    </row>
    <row r="565" spans="1:8">
      <c r="A565">
        <v>821</v>
      </c>
      <c r="B565">
        <v>1.42</v>
      </c>
      <c r="C565">
        <v>0.58</v>
      </c>
      <c r="D565">
        <v>2.96</v>
      </c>
      <c r="E565" s="2">
        <v>773103560.6</v>
      </c>
      <c r="F565" t="s">
        <v>458</v>
      </c>
      <c r="G565">
        <v>1.4</v>
      </c>
      <c r="H565">
        <v>6.61938534278959</v>
      </c>
    </row>
    <row r="566" spans="1:8">
      <c r="A566">
        <v>819</v>
      </c>
      <c r="B566">
        <v>5.28</v>
      </c>
      <c r="C566">
        <v>1.8</v>
      </c>
      <c r="D566">
        <v>7.42</v>
      </c>
      <c r="E566" s="2">
        <v>6164912215</v>
      </c>
      <c r="F566" t="s">
        <v>538</v>
      </c>
      <c r="G566">
        <v>1.72</v>
      </c>
      <c r="H566">
        <v>0.315188813858942</v>
      </c>
    </row>
    <row r="567" spans="1:10">
      <c r="A567">
        <v>818</v>
      </c>
      <c r="B567">
        <v>1.19</v>
      </c>
      <c r="C567">
        <v>1</v>
      </c>
      <c r="D567">
        <v>4.09</v>
      </c>
      <c r="E567" s="2">
        <v>3359968940.35</v>
      </c>
      <c r="F567" t="s">
        <v>540</v>
      </c>
      <c r="G567">
        <v>1.04</v>
      </c>
      <c r="H567">
        <v>3.47701149425287</v>
      </c>
      <c r="I567">
        <v>8.4619</v>
      </c>
      <c r="J567">
        <v>7.692</v>
      </c>
    </row>
    <row r="568" spans="1:10">
      <c r="A568">
        <v>817</v>
      </c>
      <c r="B568">
        <v>2.15</v>
      </c>
      <c r="C568">
        <v>1.73</v>
      </c>
      <c r="D568">
        <v>3.34</v>
      </c>
      <c r="E568" s="2">
        <v>23264547127.62</v>
      </c>
      <c r="F568" t="s">
        <v>185</v>
      </c>
      <c r="G568">
        <v>0.55</v>
      </c>
      <c r="H568">
        <v>1.46653212243525</v>
      </c>
      <c r="I568">
        <v>4.3928</v>
      </c>
      <c r="J568">
        <v>3.301</v>
      </c>
    </row>
    <row r="569" spans="1:10">
      <c r="A569">
        <v>816</v>
      </c>
      <c r="B569">
        <v>1.53</v>
      </c>
      <c r="C569">
        <v>1.18</v>
      </c>
      <c r="D569">
        <v>5.01</v>
      </c>
      <c r="E569" s="2">
        <v>4472188228.8</v>
      </c>
      <c r="F569" t="s">
        <v>539</v>
      </c>
      <c r="G569">
        <v>0.65</v>
      </c>
      <c r="H569">
        <v>0.769873501288582</v>
      </c>
      <c r="I569">
        <v>6.2661</v>
      </c>
      <c r="J569">
        <v>5.024</v>
      </c>
    </row>
    <row r="570" spans="1:10">
      <c r="A570">
        <v>815</v>
      </c>
      <c r="B570">
        <v>1.73</v>
      </c>
      <c r="C570">
        <v>1.06</v>
      </c>
      <c r="D570">
        <v>6.4</v>
      </c>
      <c r="E570" s="2">
        <v>2537023462.53</v>
      </c>
      <c r="F570" t="s">
        <v>187</v>
      </c>
      <c r="G570">
        <v>1.15</v>
      </c>
      <c r="H570">
        <v>1.66993804699669</v>
      </c>
      <c r="I570">
        <v>8.1701</v>
      </c>
      <c r="J570">
        <v>5.136</v>
      </c>
    </row>
    <row r="571" spans="1:10">
      <c r="A571">
        <v>812</v>
      </c>
      <c r="B571">
        <v>0.57</v>
      </c>
      <c r="C571">
        <v>0.45</v>
      </c>
      <c r="D571">
        <v>1.77</v>
      </c>
      <c r="E571" s="2">
        <v>1489144449.49</v>
      </c>
      <c r="F571" t="s">
        <v>691</v>
      </c>
      <c r="G571">
        <v>2.82</v>
      </c>
      <c r="H571">
        <v>23.1939163498098</v>
      </c>
      <c r="I571">
        <v>131.8877</v>
      </c>
      <c r="J571">
        <v>84.127</v>
      </c>
    </row>
    <row r="572" spans="1:10">
      <c r="A572">
        <v>806</v>
      </c>
      <c r="B572">
        <v>7.49</v>
      </c>
      <c r="C572">
        <v>5.34</v>
      </c>
      <c r="D572">
        <v>18.1</v>
      </c>
      <c r="E572" s="2">
        <v>14235104198.7</v>
      </c>
      <c r="F572" t="s">
        <v>278</v>
      </c>
      <c r="G572">
        <v>3.65</v>
      </c>
      <c r="H572">
        <v>7.54014884449667</v>
      </c>
      <c r="I572">
        <v>17.7014</v>
      </c>
      <c r="J572">
        <v>14.616</v>
      </c>
    </row>
    <row r="573" spans="1:8">
      <c r="A573">
        <v>803</v>
      </c>
      <c r="B573">
        <v>0.218</v>
      </c>
      <c r="C573">
        <v>0.15</v>
      </c>
      <c r="D573">
        <v>0.42</v>
      </c>
      <c r="E573" s="2">
        <v>2223604370.51</v>
      </c>
      <c r="F573" t="s">
        <v>97</v>
      </c>
      <c r="G573">
        <v>0.72</v>
      </c>
      <c r="H573">
        <v>1.09555984555984</v>
      </c>
    </row>
    <row r="574" spans="1:9">
      <c r="A574">
        <v>802</v>
      </c>
      <c r="B574">
        <v>0.42</v>
      </c>
      <c r="C574">
        <v>0.13</v>
      </c>
      <c r="D574">
        <v>0.47</v>
      </c>
      <c r="E574" s="2">
        <v>646603789.92</v>
      </c>
      <c r="F574" t="s">
        <v>884</v>
      </c>
      <c r="G574">
        <v>0.97</v>
      </c>
      <c r="H574">
        <v>18.3760683760683</v>
      </c>
      <c r="I574">
        <v>4.1317</v>
      </c>
    </row>
    <row r="575" spans="1:8">
      <c r="A575">
        <v>801</v>
      </c>
      <c r="B575">
        <v>1.03</v>
      </c>
      <c r="C575">
        <v>0.8</v>
      </c>
      <c r="D575">
        <v>2</v>
      </c>
      <c r="E575" s="2">
        <v>3025462498.08</v>
      </c>
      <c r="F575" t="s">
        <v>436</v>
      </c>
      <c r="G575">
        <v>0.69</v>
      </c>
      <c r="H575">
        <v>2.60005098139179</v>
      </c>
    </row>
    <row r="576" spans="1:10">
      <c r="A576">
        <v>799</v>
      </c>
      <c r="B576">
        <v>3.4</v>
      </c>
      <c r="C576">
        <v>2.49</v>
      </c>
      <c r="D576">
        <v>9.16</v>
      </c>
      <c r="E576" s="2">
        <v>4846329308.48</v>
      </c>
      <c r="F576" t="s">
        <v>463</v>
      </c>
      <c r="G576">
        <v>3.41</v>
      </c>
      <c r="H576">
        <v>3.01704088116107</v>
      </c>
      <c r="I576">
        <v>9.4143</v>
      </c>
      <c r="J576">
        <v>9.012</v>
      </c>
    </row>
    <row r="577" spans="1:10">
      <c r="A577">
        <v>798</v>
      </c>
      <c r="B577">
        <v>0.85</v>
      </c>
      <c r="C577">
        <v>0.4</v>
      </c>
      <c r="D577">
        <v>1.4</v>
      </c>
      <c r="E577" s="2">
        <v>3280000000</v>
      </c>
      <c r="F577" t="s">
        <v>310</v>
      </c>
      <c r="G577">
        <v>1.09</v>
      </c>
      <c r="H577">
        <v>2.92810293210229</v>
      </c>
      <c r="I577">
        <v>6.318</v>
      </c>
      <c r="J577">
        <v>6.019</v>
      </c>
    </row>
    <row r="578" spans="1:10">
      <c r="A578">
        <v>794</v>
      </c>
      <c r="B578">
        <v>0.7</v>
      </c>
      <c r="C578">
        <v>0.6</v>
      </c>
      <c r="D578">
        <v>1.36</v>
      </c>
      <c r="E578" s="2">
        <v>253610000</v>
      </c>
      <c r="F578" t="s">
        <v>801</v>
      </c>
      <c r="G578">
        <v>0.44</v>
      </c>
      <c r="H578">
        <v>0.289651177225141</v>
      </c>
      <c r="I578">
        <v>4.7021</v>
      </c>
      <c r="J578">
        <v>4.298</v>
      </c>
    </row>
    <row r="579" spans="1:10">
      <c r="A579">
        <v>777</v>
      </c>
      <c r="B579">
        <v>20.05</v>
      </c>
      <c r="C579">
        <v>11.8</v>
      </c>
      <c r="D579">
        <v>42.05</v>
      </c>
      <c r="E579" s="2">
        <v>10007128498.5</v>
      </c>
      <c r="F579" t="s">
        <v>541</v>
      </c>
      <c r="G579">
        <v>1.93</v>
      </c>
      <c r="H579">
        <v>7.08700555428524</v>
      </c>
      <c r="I579">
        <v>45.298</v>
      </c>
      <c r="J579">
        <v>43.606</v>
      </c>
    </row>
    <row r="580" spans="1:8">
      <c r="A580">
        <v>769</v>
      </c>
      <c r="B580">
        <v>0.58</v>
      </c>
      <c r="C580">
        <v>0.41</v>
      </c>
      <c r="D580">
        <v>1.64</v>
      </c>
      <c r="E580" s="2">
        <v>1381603165.79</v>
      </c>
      <c r="F580" t="s">
        <v>978</v>
      </c>
      <c r="G580">
        <v>0.42</v>
      </c>
      <c r="H580">
        <v>1.03818405771599</v>
      </c>
    </row>
    <row r="581" spans="1:11">
      <c r="A581">
        <v>765</v>
      </c>
      <c r="B581">
        <v>1.66</v>
      </c>
      <c r="C581">
        <v>0.71</v>
      </c>
      <c r="D581">
        <v>2.3</v>
      </c>
      <c r="E581" s="2">
        <v>500193118.71</v>
      </c>
      <c r="F581" t="s">
        <v>1493</v>
      </c>
      <c r="G581" t="s">
        <v>1494</v>
      </c>
      <c r="H581">
        <v>2.67</v>
      </c>
      <c r="I581">
        <v>3.0934088152042</v>
      </c>
      <c r="J581">
        <v>65.1548</v>
      </c>
      <c r="K581">
        <v>45.977</v>
      </c>
    </row>
    <row r="582" spans="1:9">
      <c r="A582">
        <v>758</v>
      </c>
      <c r="B582">
        <v>0.45</v>
      </c>
      <c r="C582">
        <v>0.23</v>
      </c>
      <c r="D582">
        <v>0.83</v>
      </c>
      <c r="E582" s="2">
        <v>533153983.17</v>
      </c>
      <c r="F582" t="s">
        <v>1495</v>
      </c>
      <c r="G582" t="s">
        <v>195</v>
      </c>
      <c r="H582">
        <v>0.93</v>
      </c>
      <c r="I582">
        <v>1.34884951071145</v>
      </c>
    </row>
    <row r="583" spans="1:10">
      <c r="A583">
        <v>750</v>
      </c>
      <c r="B583">
        <v>4.33</v>
      </c>
      <c r="C583">
        <v>3.1</v>
      </c>
      <c r="D583">
        <v>15.28</v>
      </c>
      <c r="E583" s="2">
        <v>2940108013.08</v>
      </c>
      <c r="F583" t="s">
        <v>542</v>
      </c>
      <c r="G583">
        <v>0.74</v>
      </c>
      <c r="H583">
        <v>0.508897910329474</v>
      </c>
      <c r="I583">
        <v>4.0244</v>
      </c>
      <c r="J583">
        <v>3.402</v>
      </c>
    </row>
    <row r="584" spans="1:10">
      <c r="A584">
        <v>746</v>
      </c>
      <c r="B584">
        <v>2.28</v>
      </c>
      <c r="C584">
        <v>1.76</v>
      </c>
      <c r="D584">
        <v>5</v>
      </c>
      <c r="E584" s="2">
        <v>1996500000</v>
      </c>
      <c r="F584" t="s">
        <v>1015</v>
      </c>
      <c r="G584">
        <v>0.85</v>
      </c>
      <c r="H584">
        <v>1.11495047224141</v>
      </c>
      <c r="I584">
        <v>7.4033</v>
      </c>
      <c r="J584">
        <v>4.974</v>
      </c>
    </row>
    <row r="585" spans="1:8">
      <c r="A585">
        <v>745</v>
      </c>
      <c r="B585">
        <v>0.062</v>
      </c>
      <c r="C585">
        <v>0.038</v>
      </c>
      <c r="D585">
        <v>0.405</v>
      </c>
      <c r="E585" s="2">
        <v>588864600</v>
      </c>
      <c r="F585" t="s">
        <v>1111</v>
      </c>
      <c r="G585">
        <v>0.46</v>
      </c>
      <c r="H585">
        <v>28.5714285714285</v>
      </c>
    </row>
    <row r="586" spans="1:10">
      <c r="A586">
        <v>737</v>
      </c>
      <c r="B586">
        <v>3.65</v>
      </c>
      <c r="C586">
        <v>3.45</v>
      </c>
      <c r="D586">
        <v>4.09</v>
      </c>
      <c r="E586" s="2">
        <v>11248169532.95</v>
      </c>
      <c r="F586" t="s">
        <v>383</v>
      </c>
      <c r="G586">
        <v>1.41</v>
      </c>
      <c r="H586">
        <v>4.45502258025143</v>
      </c>
      <c r="I586">
        <v>17.2601</v>
      </c>
      <c r="J586">
        <v>16.785</v>
      </c>
    </row>
    <row r="587" spans="1:8">
      <c r="A587">
        <v>736</v>
      </c>
      <c r="B587">
        <v>0.365</v>
      </c>
      <c r="C587">
        <v>0.075</v>
      </c>
      <c r="D587">
        <v>3.85</v>
      </c>
      <c r="E587" s="2">
        <v>364318661.63</v>
      </c>
      <c r="F587" t="s">
        <v>320</v>
      </c>
      <c r="G587">
        <v>0.43</v>
      </c>
      <c r="H587">
        <v>18.0943511848181</v>
      </c>
    </row>
    <row r="588" spans="1:10">
      <c r="A588">
        <v>735</v>
      </c>
      <c r="B588">
        <v>0.61</v>
      </c>
      <c r="C588">
        <v>0.38</v>
      </c>
      <c r="D588">
        <v>0.84</v>
      </c>
      <c r="E588" s="2">
        <v>7594453870.08</v>
      </c>
      <c r="F588" t="s">
        <v>273</v>
      </c>
      <c r="G588">
        <v>0.76</v>
      </c>
      <c r="H588">
        <v>2.38212235041927</v>
      </c>
      <c r="I588">
        <v>22.1027</v>
      </c>
      <c r="J588">
        <v>20</v>
      </c>
    </row>
    <row r="589" spans="1:8">
      <c r="A589">
        <v>729</v>
      </c>
      <c r="B589">
        <v>0.445</v>
      </c>
      <c r="C589">
        <v>0.3</v>
      </c>
      <c r="D589">
        <v>0.88</v>
      </c>
      <c r="E589" s="2">
        <v>9663975687.52</v>
      </c>
      <c r="F589" t="s">
        <v>1002</v>
      </c>
      <c r="G589">
        <v>3.88</v>
      </c>
      <c r="H589">
        <v>26.5060240963855</v>
      </c>
    </row>
    <row r="590" spans="1:8">
      <c r="A590">
        <v>726</v>
      </c>
      <c r="B590">
        <v>0.425</v>
      </c>
      <c r="C590">
        <v>0.11</v>
      </c>
      <c r="D590">
        <v>1.32</v>
      </c>
      <c r="E590" s="2">
        <v>4339081241</v>
      </c>
      <c r="F590" t="s">
        <v>340</v>
      </c>
      <c r="G590">
        <v>2.77</v>
      </c>
      <c r="H590">
        <v>326.923076923076</v>
      </c>
    </row>
    <row r="591" spans="1:9">
      <c r="A591">
        <v>722</v>
      </c>
      <c r="B591">
        <v>1.15</v>
      </c>
      <c r="C591">
        <v>0.98</v>
      </c>
      <c r="D591">
        <v>1.97</v>
      </c>
      <c r="E591" s="2">
        <v>846400000</v>
      </c>
      <c r="F591" t="s">
        <v>1011</v>
      </c>
      <c r="G591">
        <v>2.07</v>
      </c>
      <c r="H591">
        <v>1.92953020134228</v>
      </c>
      <c r="I591">
        <v>20.4484</v>
      </c>
    </row>
    <row r="592" spans="1:8">
      <c r="A592">
        <v>718</v>
      </c>
      <c r="B592">
        <v>0.74</v>
      </c>
      <c r="C592">
        <v>0.63</v>
      </c>
      <c r="D592">
        <v>1.89</v>
      </c>
      <c r="E592" s="2">
        <v>1245906721.88</v>
      </c>
      <c r="F592" t="s">
        <v>63</v>
      </c>
      <c r="G592">
        <v>1.3</v>
      </c>
      <c r="H592">
        <v>52.8662420382165</v>
      </c>
    </row>
    <row r="593" spans="1:10">
      <c r="A593">
        <v>717</v>
      </c>
      <c r="B593">
        <v>0.57</v>
      </c>
      <c r="C593">
        <v>0.28</v>
      </c>
      <c r="D593">
        <v>2.03</v>
      </c>
      <c r="E593" s="2">
        <v>3448767434.4</v>
      </c>
      <c r="F593" t="s">
        <v>680</v>
      </c>
      <c r="G593">
        <v>0.95</v>
      </c>
      <c r="H593">
        <v>4.09556313993174</v>
      </c>
      <c r="I593">
        <v>8.0157</v>
      </c>
      <c r="J593">
        <v>5.583</v>
      </c>
    </row>
    <row r="594" spans="1:10">
      <c r="A594">
        <v>716</v>
      </c>
      <c r="B594">
        <v>0.76</v>
      </c>
      <c r="C594">
        <v>0.66</v>
      </c>
      <c r="D594">
        <v>1.68</v>
      </c>
      <c r="E594" s="2">
        <v>1836859137.68</v>
      </c>
      <c r="F594" t="s">
        <v>956</v>
      </c>
      <c r="G594">
        <v>0.38</v>
      </c>
      <c r="H594">
        <v>0.1650171458677</v>
      </c>
      <c r="I594">
        <v>8.452</v>
      </c>
      <c r="J594">
        <v>8.018</v>
      </c>
    </row>
    <row r="595" spans="1:10">
      <c r="A595">
        <v>715</v>
      </c>
      <c r="B595">
        <v>0.87</v>
      </c>
      <c r="C595">
        <v>0.59</v>
      </c>
      <c r="D595">
        <v>1.76</v>
      </c>
      <c r="E595" s="2">
        <v>14366961224.29</v>
      </c>
      <c r="F595" t="s">
        <v>96</v>
      </c>
      <c r="G595">
        <v>2.24</v>
      </c>
      <c r="H595">
        <v>30.2721088435374</v>
      </c>
      <c r="I595">
        <v>162.7191</v>
      </c>
      <c r="J595">
        <v>78.571</v>
      </c>
    </row>
    <row r="596" spans="1:10">
      <c r="A596">
        <v>710</v>
      </c>
      <c r="B596">
        <v>5.46</v>
      </c>
      <c r="C596">
        <v>4.73</v>
      </c>
      <c r="D596">
        <v>8.06</v>
      </c>
      <c r="E596" s="2">
        <v>1818536169.96</v>
      </c>
      <c r="F596" t="s">
        <v>1121</v>
      </c>
      <c r="G596">
        <v>0.95</v>
      </c>
      <c r="H596">
        <v>0.722606120434353</v>
      </c>
      <c r="I596">
        <v>6.0496</v>
      </c>
      <c r="J596">
        <v>6.808</v>
      </c>
    </row>
    <row r="597" spans="1:10">
      <c r="A597">
        <v>708</v>
      </c>
      <c r="B597">
        <v>1.43</v>
      </c>
      <c r="C597">
        <v>0.25</v>
      </c>
      <c r="D597">
        <v>16.1</v>
      </c>
      <c r="E597" s="2">
        <v>12614400000</v>
      </c>
      <c r="F597" t="s">
        <v>439</v>
      </c>
      <c r="G597">
        <v>21.95</v>
      </c>
      <c r="H597">
        <v>3.01279405695418</v>
      </c>
      <c r="I597">
        <v>1144.7863</v>
      </c>
      <c r="J597">
        <v>1269.231</v>
      </c>
    </row>
    <row r="598" spans="1:8">
      <c r="A598">
        <v>704</v>
      </c>
      <c r="B598">
        <v>0.055</v>
      </c>
      <c r="C598">
        <v>0.04</v>
      </c>
      <c r="D598">
        <v>0.21</v>
      </c>
      <c r="E598" s="2">
        <v>248914946.06</v>
      </c>
      <c r="F598" t="s">
        <v>853</v>
      </c>
      <c r="G598">
        <v>1.62</v>
      </c>
      <c r="H598">
        <v>0.375683060109289</v>
      </c>
    </row>
    <row r="599" spans="1:10">
      <c r="A599">
        <v>700</v>
      </c>
      <c r="B599">
        <v>147.6</v>
      </c>
      <c r="C599">
        <v>104.5</v>
      </c>
      <c r="D599">
        <v>171</v>
      </c>
      <c r="E599" s="2">
        <v>1384297372108.8</v>
      </c>
      <c r="F599" t="s">
        <v>543</v>
      </c>
      <c r="G599">
        <v>10.75</v>
      </c>
      <c r="H599">
        <v>11.4356838734652</v>
      </c>
      <c r="I599">
        <v>46.4966</v>
      </c>
      <c r="J599">
        <v>43.563</v>
      </c>
    </row>
    <row r="600" spans="1:10">
      <c r="A600">
        <v>699</v>
      </c>
      <c r="B600">
        <v>9.04</v>
      </c>
      <c r="C600">
        <v>8.08</v>
      </c>
      <c r="D600">
        <v>22</v>
      </c>
      <c r="E600" s="2">
        <v>22175446032.66</v>
      </c>
      <c r="F600" t="s">
        <v>544</v>
      </c>
      <c r="G600">
        <v>2.8</v>
      </c>
      <c r="H600">
        <v>3.68959409791171</v>
      </c>
      <c r="I600">
        <v>40.6653</v>
      </c>
      <c r="J600">
        <v>35.515</v>
      </c>
    </row>
    <row r="601" spans="1:10">
      <c r="A601">
        <v>698</v>
      </c>
      <c r="B601">
        <v>1.32</v>
      </c>
      <c r="C601">
        <v>0.77</v>
      </c>
      <c r="D601">
        <v>1.75</v>
      </c>
      <c r="E601" s="2">
        <v>7615114500</v>
      </c>
      <c r="F601" t="s">
        <v>472</v>
      </c>
      <c r="G601">
        <v>2.09</v>
      </c>
      <c r="H601">
        <v>1.25459862277143</v>
      </c>
      <c r="I601">
        <v>15.1786</v>
      </c>
      <c r="J601">
        <v>12.818</v>
      </c>
    </row>
    <row r="602" spans="1:10">
      <c r="A602">
        <v>696</v>
      </c>
      <c r="B602">
        <v>12.14</v>
      </c>
      <c r="C602">
        <v>6.76</v>
      </c>
      <c r="D602">
        <v>15.6</v>
      </c>
      <c r="E602" s="2">
        <v>11526466320</v>
      </c>
      <c r="F602" t="s">
        <v>545</v>
      </c>
      <c r="G602">
        <v>2.57</v>
      </c>
      <c r="H602">
        <v>4.65330799825487</v>
      </c>
      <c r="I602">
        <v>17.5029</v>
      </c>
      <c r="J602">
        <v>15.803</v>
      </c>
    </row>
    <row r="603" spans="1:10">
      <c r="A603">
        <v>694</v>
      </c>
      <c r="B603">
        <v>6.95</v>
      </c>
      <c r="C603">
        <v>5.26</v>
      </c>
      <c r="D603">
        <v>9.71</v>
      </c>
      <c r="E603" s="2">
        <v>13550214440</v>
      </c>
      <c r="F603" t="s">
        <v>546</v>
      </c>
      <c r="G603">
        <v>1.45</v>
      </c>
      <c r="H603">
        <v>2.98719427516687</v>
      </c>
      <c r="I603">
        <v>17.95</v>
      </c>
      <c r="J603">
        <v>17.401</v>
      </c>
    </row>
    <row r="604" spans="1:8">
      <c r="A604">
        <v>692</v>
      </c>
      <c r="B604">
        <v>0.107</v>
      </c>
      <c r="C604">
        <v>0.07</v>
      </c>
      <c r="D604">
        <v>1.01</v>
      </c>
      <c r="E604" s="2">
        <v>436453765.37</v>
      </c>
      <c r="F604" t="s">
        <v>865</v>
      </c>
      <c r="G604">
        <v>0.23</v>
      </c>
      <c r="H604">
        <v>0.221899626710908</v>
      </c>
    </row>
    <row r="605" spans="1:8">
      <c r="A605">
        <v>689</v>
      </c>
      <c r="B605">
        <v>0.22</v>
      </c>
      <c r="C605">
        <v>0.142</v>
      </c>
      <c r="D605">
        <v>1.77</v>
      </c>
      <c r="E605" s="2">
        <v>947665435.37</v>
      </c>
      <c r="F605" t="s">
        <v>917</v>
      </c>
      <c r="G605">
        <v>1.47</v>
      </c>
      <c r="H605">
        <v>2.37417943107221</v>
      </c>
    </row>
    <row r="606" spans="1:10">
      <c r="A606">
        <v>686</v>
      </c>
      <c r="B606">
        <v>0.62</v>
      </c>
      <c r="C606">
        <v>0.52</v>
      </c>
      <c r="D606">
        <v>1.61</v>
      </c>
      <c r="E606" s="2">
        <v>2993297784.75</v>
      </c>
      <c r="F606" t="s">
        <v>308</v>
      </c>
      <c r="G606">
        <v>1.19</v>
      </c>
      <c r="H606">
        <v>2.97122271757273</v>
      </c>
      <c r="I606">
        <v>8.1647</v>
      </c>
      <c r="J606">
        <v>6.02</v>
      </c>
    </row>
    <row r="607" spans="1:10">
      <c r="A607">
        <v>683</v>
      </c>
      <c r="B607">
        <v>19.42</v>
      </c>
      <c r="C607">
        <v>16.66</v>
      </c>
      <c r="D607">
        <v>34.4</v>
      </c>
      <c r="E607" s="2">
        <v>28430010241.6</v>
      </c>
      <c r="F607" t="s">
        <v>990</v>
      </c>
      <c r="G607">
        <v>0.35</v>
      </c>
      <c r="H607">
        <v>3.17245599626391</v>
      </c>
      <c r="I607">
        <v>4.1972</v>
      </c>
      <c r="J607">
        <v>3.685</v>
      </c>
    </row>
    <row r="608" spans="1:10">
      <c r="A608">
        <v>665</v>
      </c>
      <c r="B608">
        <v>3.95</v>
      </c>
      <c r="C608">
        <v>2.71</v>
      </c>
      <c r="D608">
        <v>9.2</v>
      </c>
      <c r="E608" s="2">
        <v>21371277183.8</v>
      </c>
      <c r="F608" t="s">
        <v>547</v>
      </c>
      <c r="G608">
        <v>1</v>
      </c>
      <c r="H608">
        <v>2.48737840167467</v>
      </c>
      <c r="I608">
        <v>20.9879</v>
      </c>
      <c r="J608">
        <v>9.598</v>
      </c>
    </row>
    <row r="609" spans="1:8">
      <c r="A609">
        <v>661</v>
      </c>
      <c r="B609">
        <v>0.131</v>
      </c>
      <c r="C609">
        <v>0.1</v>
      </c>
      <c r="D609">
        <v>0.41</v>
      </c>
      <c r="E609" s="2">
        <v>2505381158.84</v>
      </c>
      <c r="F609" t="s">
        <v>95</v>
      </c>
      <c r="G609">
        <v>0.58</v>
      </c>
      <c r="H609">
        <v>0.0544104187681557</v>
      </c>
    </row>
    <row r="610" spans="1:8">
      <c r="A610">
        <v>660</v>
      </c>
      <c r="B610">
        <v>0.11</v>
      </c>
      <c r="C610">
        <v>0.036</v>
      </c>
      <c r="D610">
        <v>0.27</v>
      </c>
      <c r="E610" s="2">
        <v>1789775391.36</v>
      </c>
      <c r="F610" t="s">
        <v>1056</v>
      </c>
      <c r="G610">
        <v>990</v>
      </c>
      <c r="H610">
        <v>5.33980582524271</v>
      </c>
    </row>
    <row r="611" spans="1:10">
      <c r="A611">
        <v>656</v>
      </c>
      <c r="B611">
        <v>10.36</v>
      </c>
      <c r="C611">
        <v>8.47</v>
      </c>
      <c r="D611">
        <v>22</v>
      </c>
      <c r="E611" s="2">
        <v>90575949634.88</v>
      </c>
      <c r="F611" t="s">
        <v>670</v>
      </c>
      <c r="G611">
        <v>1.02</v>
      </c>
      <c r="H611">
        <v>0.996737065624497</v>
      </c>
      <c r="I611">
        <v>10.5687</v>
      </c>
      <c r="J611">
        <v>7.779</v>
      </c>
    </row>
    <row r="612" spans="1:8">
      <c r="A612">
        <v>651</v>
      </c>
      <c r="B612">
        <v>0.194</v>
      </c>
      <c r="C612">
        <v>0.127</v>
      </c>
      <c r="D612">
        <v>0.45</v>
      </c>
      <c r="E612" s="2">
        <v>2327608864.96</v>
      </c>
      <c r="F612" t="s">
        <v>179</v>
      </c>
      <c r="G612">
        <v>0</v>
      </c>
      <c r="H612">
        <v>14.8091603053435</v>
      </c>
    </row>
    <row r="613" spans="1:8">
      <c r="A613">
        <v>648</v>
      </c>
      <c r="B613">
        <v>0.103</v>
      </c>
      <c r="C613">
        <v>0.08</v>
      </c>
      <c r="D613">
        <v>0.574</v>
      </c>
      <c r="E613" s="2">
        <v>271704921.9</v>
      </c>
      <c r="F613" t="s">
        <v>1129</v>
      </c>
      <c r="G613">
        <v>0.37</v>
      </c>
      <c r="H613">
        <v>1.91176470588235</v>
      </c>
    </row>
    <row r="614" spans="1:10">
      <c r="A614">
        <v>635</v>
      </c>
      <c r="B614">
        <v>9.06</v>
      </c>
      <c r="C614">
        <v>6.77</v>
      </c>
      <c r="D614">
        <v>9.9</v>
      </c>
      <c r="E614" s="2">
        <v>1961280000</v>
      </c>
      <c r="F614" t="s">
        <v>384</v>
      </c>
      <c r="G614">
        <v>0.31</v>
      </c>
      <c r="H614">
        <v>1.27560338287769</v>
      </c>
      <c r="I614">
        <v>2.5886</v>
      </c>
      <c r="J614">
        <v>2.609</v>
      </c>
    </row>
    <row r="615" spans="1:10">
      <c r="A615">
        <v>622</v>
      </c>
      <c r="B615">
        <v>0.38</v>
      </c>
      <c r="C615">
        <v>0.19</v>
      </c>
      <c r="D615">
        <v>1.01</v>
      </c>
      <c r="E615" s="2">
        <v>2805600198.96</v>
      </c>
      <c r="F615" t="s">
        <v>958</v>
      </c>
      <c r="G615">
        <v>0.46</v>
      </c>
      <c r="H615">
        <v>22.0338983050847</v>
      </c>
      <c r="I615">
        <v>5.4874</v>
      </c>
      <c r="J615">
        <v>4.712</v>
      </c>
    </row>
    <row r="616" spans="1:8">
      <c r="A616">
        <v>621</v>
      </c>
      <c r="B616">
        <v>0.087</v>
      </c>
      <c r="C616">
        <v>0.049</v>
      </c>
      <c r="D616">
        <v>0.28</v>
      </c>
      <c r="E616" s="2">
        <v>1286831804.7</v>
      </c>
      <c r="F616" t="s">
        <v>17</v>
      </c>
      <c r="G616">
        <v>0.4</v>
      </c>
      <c r="H616">
        <v>32.2222222222222</v>
      </c>
    </row>
    <row r="617" spans="1:11">
      <c r="A617">
        <v>613</v>
      </c>
      <c r="B617">
        <v>0.136</v>
      </c>
      <c r="C617">
        <v>0.074</v>
      </c>
      <c r="D617">
        <v>0.181</v>
      </c>
      <c r="E617" s="2">
        <v>1302738745.84</v>
      </c>
      <c r="F617" t="s">
        <v>215</v>
      </c>
      <c r="G617" t="s">
        <v>88</v>
      </c>
      <c r="H617">
        <v>0.44</v>
      </c>
      <c r="I617">
        <v>23.728813559322</v>
      </c>
      <c r="J617">
        <v>4.4079</v>
      </c>
      <c r="K617">
        <v>3.459</v>
      </c>
    </row>
    <row r="618" spans="1:8">
      <c r="A618">
        <v>612</v>
      </c>
      <c r="B618">
        <v>0.43</v>
      </c>
      <c r="C618">
        <v>0.203</v>
      </c>
      <c r="D618">
        <v>1.47</v>
      </c>
      <c r="E618" s="2">
        <v>487088800</v>
      </c>
      <c r="F618" t="s">
        <v>891</v>
      </c>
      <c r="G618">
        <v>1.61</v>
      </c>
      <c r="H618">
        <v>4400</v>
      </c>
    </row>
    <row r="619" spans="1:8">
      <c r="A619">
        <v>606</v>
      </c>
      <c r="B619">
        <v>2.29</v>
      </c>
      <c r="C619">
        <v>2.01</v>
      </c>
      <c r="D619">
        <v>5.15</v>
      </c>
      <c r="E619" s="2">
        <v>12337219851.8</v>
      </c>
      <c r="F619" t="s">
        <v>473</v>
      </c>
      <c r="G619">
        <v>0.44</v>
      </c>
      <c r="H619">
        <v>0.155234370871426</v>
      </c>
    </row>
    <row r="620" spans="1:10">
      <c r="A620">
        <v>605</v>
      </c>
      <c r="B620">
        <v>0.56</v>
      </c>
      <c r="C620">
        <v>0.31</v>
      </c>
      <c r="D620">
        <v>1.15</v>
      </c>
      <c r="E620" s="2">
        <v>2110715384.8</v>
      </c>
      <c r="F620" t="s">
        <v>94</v>
      </c>
      <c r="G620">
        <v>0.71</v>
      </c>
      <c r="H620">
        <v>3.07950727883538</v>
      </c>
      <c r="I620">
        <v>7.1883</v>
      </c>
      <c r="J620">
        <v>5.802</v>
      </c>
    </row>
    <row r="621" spans="1:10">
      <c r="A621">
        <v>604</v>
      </c>
      <c r="B621">
        <v>3</v>
      </c>
      <c r="C621">
        <v>2.08</v>
      </c>
      <c r="D621">
        <v>4.66</v>
      </c>
      <c r="E621" s="2">
        <v>22299731303.76</v>
      </c>
      <c r="F621" t="s">
        <v>970</v>
      </c>
      <c r="G621">
        <v>0.67</v>
      </c>
      <c r="H621">
        <v>1.71795892826668</v>
      </c>
      <c r="I621">
        <v>7.1215</v>
      </c>
      <c r="J621">
        <v>5.185</v>
      </c>
    </row>
    <row r="622" spans="1:8">
      <c r="A622">
        <v>596</v>
      </c>
      <c r="B622">
        <v>1.29</v>
      </c>
      <c r="C622">
        <v>1.24</v>
      </c>
      <c r="D622">
        <v>2.93</v>
      </c>
      <c r="E622" s="2">
        <v>1171997230.3</v>
      </c>
      <c r="F622" t="s">
        <v>805</v>
      </c>
      <c r="G622">
        <v>0.65</v>
      </c>
      <c r="H622">
        <v>1.08514190317195</v>
      </c>
    </row>
    <row r="623" spans="1:10">
      <c r="A623">
        <v>590</v>
      </c>
      <c r="B623">
        <v>17.14</v>
      </c>
      <c r="C623">
        <v>12.78</v>
      </c>
      <c r="D623">
        <v>30.8</v>
      </c>
      <c r="E623" s="2">
        <v>10309613846</v>
      </c>
      <c r="F623" t="s">
        <v>21</v>
      </c>
      <c r="G623">
        <v>1.2</v>
      </c>
      <c r="H623">
        <v>0.733543314980825</v>
      </c>
      <c r="I623">
        <v>6.3844</v>
      </c>
      <c r="J623">
        <v>4.976</v>
      </c>
    </row>
    <row r="624" spans="1:10">
      <c r="A624">
        <v>587</v>
      </c>
      <c r="B624">
        <v>0.76</v>
      </c>
      <c r="C624">
        <v>0.56</v>
      </c>
      <c r="D624">
        <v>2.52</v>
      </c>
      <c r="E624" s="2">
        <v>5766162489.36</v>
      </c>
      <c r="F624" t="s">
        <v>1496</v>
      </c>
      <c r="G624">
        <v>0.67</v>
      </c>
      <c r="H624">
        <v>2.52672497570456</v>
      </c>
      <c r="I624">
        <v>8.8899</v>
      </c>
      <c r="J624">
        <v>5.983</v>
      </c>
    </row>
    <row r="625" spans="1:10">
      <c r="A625">
        <v>585</v>
      </c>
      <c r="B625">
        <v>0.092</v>
      </c>
      <c r="C625">
        <v>0.087</v>
      </c>
      <c r="D625">
        <v>0.47</v>
      </c>
      <c r="E625" s="2">
        <v>897193144.8</v>
      </c>
      <c r="F625" t="s">
        <v>280</v>
      </c>
      <c r="G625">
        <v>0.97</v>
      </c>
      <c r="H625">
        <v>81.8181818181818</v>
      </c>
      <c r="I625">
        <v>259.6796</v>
      </c>
      <c r="J625">
        <v>346.667</v>
      </c>
    </row>
    <row r="626" spans="1:10">
      <c r="A626">
        <v>583</v>
      </c>
      <c r="B626">
        <v>1.77</v>
      </c>
      <c r="C626">
        <v>1.77</v>
      </c>
      <c r="D626">
        <v>2</v>
      </c>
      <c r="E626" s="2">
        <v>2764133944.92</v>
      </c>
      <c r="F626" t="s">
        <v>996</v>
      </c>
      <c r="G626">
        <v>0.84</v>
      </c>
      <c r="H626">
        <v>2.49295774647887</v>
      </c>
      <c r="I626">
        <v>20.2599</v>
      </c>
      <c r="J626">
        <v>20.205</v>
      </c>
    </row>
    <row r="627" spans="1:10">
      <c r="A627">
        <v>579</v>
      </c>
      <c r="B627">
        <v>2.38</v>
      </c>
      <c r="C627">
        <v>1.99</v>
      </c>
      <c r="D627">
        <v>4.19</v>
      </c>
      <c r="E627" s="2">
        <v>5895160000</v>
      </c>
      <c r="F627" t="s">
        <v>548</v>
      </c>
      <c r="G627">
        <v>0.92</v>
      </c>
      <c r="H627">
        <v>0.891123017465155</v>
      </c>
      <c r="I627">
        <v>11.3681</v>
      </c>
      <c r="J627">
        <v>9.348</v>
      </c>
    </row>
    <row r="628" spans="1:9">
      <c r="A628">
        <v>574</v>
      </c>
      <c r="B628">
        <v>0.56</v>
      </c>
      <c r="C628">
        <v>0.5</v>
      </c>
      <c r="D628">
        <v>2.48</v>
      </c>
      <c r="E628" s="2">
        <v>610000000</v>
      </c>
      <c r="F628" t="s">
        <v>93</v>
      </c>
      <c r="G628">
        <v>0.68</v>
      </c>
      <c r="H628">
        <v>0.526913534007345</v>
      </c>
      <c r="I628">
        <v>10.6182</v>
      </c>
    </row>
    <row r="629" spans="1:10">
      <c r="A629">
        <v>572</v>
      </c>
      <c r="B629">
        <v>0.19</v>
      </c>
      <c r="C629">
        <v>0.052</v>
      </c>
      <c r="D629">
        <v>1.38</v>
      </c>
      <c r="E629" s="2">
        <v>1086186543.62</v>
      </c>
      <c r="F629" t="s">
        <v>852</v>
      </c>
      <c r="G629">
        <v>3.57</v>
      </c>
      <c r="H629">
        <v>7.61133603238866</v>
      </c>
      <c r="I629">
        <v>400.0687</v>
      </c>
      <c r="J629">
        <v>145</v>
      </c>
    </row>
    <row r="630" spans="1:10">
      <c r="A630">
        <v>570</v>
      </c>
      <c r="B630">
        <v>4.33</v>
      </c>
      <c r="C630">
        <v>3.15</v>
      </c>
      <c r="D630">
        <v>7.03</v>
      </c>
      <c r="E630" s="2">
        <v>19324952285.3</v>
      </c>
      <c r="F630" t="s">
        <v>549</v>
      </c>
      <c r="G630">
        <v>1.49</v>
      </c>
      <c r="H630">
        <v>5.02983426941155</v>
      </c>
      <c r="I630">
        <v>37.4132</v>
      </c>
      <c r="J630">
        <v>20.559</v>
      </c>
    </row>
    <row r="631" spans="1:10">
      <c r="A631">
        <v>560</v>
      </c>
      <c r="B631">
        <v>1.91</v>
      </c>
      <c r="C631">
        <v>1.6</v>
      </c>
      <c r="D631">
        <v>4.85</v>
      </c>
      <c r="E631" s="2">
        <v>2138400000</v>
      </c>
      <c r="F631" t="s">
        <v>551</v>
      </c>
      <c r="G631">
        <v>0.78</v>
      </c>
      <c r="H631">
        <v>1.09501161375953</v>
      </c>
      <c r="I631">
        <v>9.6643</v>
      </c>
      <c r="J631">
        <v>8.011</v>
      </c>
    </row>
    <row r="632" spans="1:10">
      <c r="A632">
        <v>556</v>
      </c>
      <c r="B632">
        <v>0.99</v>
      </c>
      <c r="C632">
        <v>0.67</v>
      </c>
      <c r="D632">
        <v>2.27</v>
      </c>
      <c r="E632" s="2">
        <v>814800000</v>
      </c>
      <c r="F632" t="s">
        <v>876</v>
      </c>
      <c r="G632">
        <v>0.5</v>
      </c>
      <c r="H632">
        <v>0.684495685807165</v>
      </c>
      <c r="I632">
        <v>22.9796</v>
      </c>
      <c r="J632">
        <v>18.433</v>
      </c>
    </row>
    <row r="633" spans="1:10">
      <c r="A633">
        <v>552</v>
      </c>
      <c r="B633">
        <v>3.26</v>
      </c>
      <c r="C633">
        <v>2.59</v>
      </c>
      <c r="D633">
        <v>4.69</v>
      </c>
      <c r="E633" s="2">
        <v>8035172006.4</v>
      </c>
      <c r="F633" t="s">
        <v>92</v>
      </c>
      <c r="G633">
        <v>0.78</v>
      </c>
      <c r="H633">
        <v>0.24553660239197</v>
      </c>
      <c r="I633">
        <v>8.6553</v>
      </c>
      <c r="J633">
        <v>7.419</v>
      </c>
    </row>
    <row r="634" spans="1:10">
      <c r="A634">
        <v>550</v>
      </c>
      <c r="B634">
        <v>2.04</v>
      </c>
      <c r="C634">
        <v>1.15</v>
      </c>
      <c r="D634">
        <v>4.5</v>
      </c>
      <c r="E634" s="2">
        <v>667568000</v>
      </c>
      <c r="F634" t="s">
        <v>357</v>
      </c>
      <c r="G634">
        <v>4.87</v>
      </c>
      <c r="H634">
        <v>1.96560196560196</v>
      </c>
      <c r="I634">
        <v>8.4595</v>
      </c>
      <c r="J634">
        <v>9.421</v>
      </c>
    </row>
    <row r="635" spans="1:10">
      <c r="A635">
        <v>547</v>
      </c>
      <c r="B635">
        <v>0.435</v>
      </c>
      <c r="C635">
        <v>0.09</v>
      </c>
      <c r="D635">
        <v>3.03</v>
      </c>
      <c r="E635" s="2">
        <v>4665186137.92</v>
      </c>
      <c r="F635" t="s">
        <v>336</v>
      </c>
      <c r="G635">
        <v>10.35</v>
      </c>
      <c r="H635">
        <v>8.14144736842105</v>
      </c>
      <c r="I635">
        <v>121.1443</v>
      </c>
      <c r="J635">
        <v>93.182</v>
      </c>
    </row>
    <row r="636" spans="1:10">
      <c r="A636">
        <v>546</v>
      </c>
      <c r="B636">
        <v>2.72</v>
      </c>
      <c r="C636">
        <v>2.18</v>
      </c>
      <c r="D636">
        <v>6.82</v>
      </c>
      <c r="E636" s="2">
        <v>5827115894.42</v>
      </c>
      <c r="F636" t="s">
        <v>560</v>
      </c>
      <c r="G636">
        <v>0.83</v>
      </c>
      <c r="H636">
        <v>0.405245615196594</v>
      </c>
      <c r="I636">
        <v>7.4393</v>
      </c>
      <c r="J636">
        <v>6.562</v>
      </c>
    </row>
    <row r="637" spans="1:10">
      <c r="A637">
        <v>543</v>
      </c>
      <c r="B637">
        <v>2.01</v>
      </c>
      <c r="C637">
        <v>1.84</v>
      </c>
      <c r="D637">
        <v>5.16</v>
      </c>
      <c r="E637" s="2">
        <v>2296625242.52</v>
      </c>
      <c r="F637" t="s">
        <v>552</v>
      </c>
      <c r="G637">
        <v>2.1</v>
      </c>
      <c r="H637">
        <v>1.85379632557112</v>
      </c>
      <c r="I637">
        <v>8.3024</v>
      </c>
      <c r="J637">
        <v>8.117</v>
      </c>
    </row>
    <row r="638" spans="1:10">
      <c r="A638">
        <v>538</v>
      </c>
      <c r="B638">
        <v>3.04</v>
      </c>
      <c r="C638">
        <v>2.73</v>
      </c>
      <c r="D638">
        <v>6.66</v>
      </c>
      <c r="E638" s="2">
        <v>3274616460</v>
      </c>
      <c r="F638" t="s">
        <v>382</v>
      </c>
      <c r="G638">
        <v>0.98</v>
      </c>
      <c r="H638">
        <v>1.00324382169013</v>
      </c>
      <c r="I638">
        <v>11.8833</v>
      </c>
      <c r="J638">
        <v>11.639</v>
      </c>
    </row>
    <row r="639" spans="1:10">
      <c r="A639">
        <v>536</v>
      </c>
      <c r="B639">
        <v>1.65</v>
      </c>
      <c r="C639">
        <v>1.4</v>
      </c>
      <c r="D639">
        <v>2.13</v>
      </c>
      <c r="E639" s="2">
        <v>1326343074.7</v>
      </c>
      <c r="F639" t="s">
        <v>804</v>
      </c>
      <c r="G639">
        <v>3.78</v>
      </c>
      <c r="H639">
        <v>5.63237774030354</v>
      </c>
      <c r="I639">
        <v>17.8793</v>
      </c>
      <c r="J639">
        <v>17.021</v>
      </c>
    </row>
    <row r="640" spans="1:10">
      <c r="A640">
        <v>530</v>
      </c>
      <c r="B640">
        <v>7.34</v>
      </c>
      <c r="C640">
        <v>2.83</v>
      </c>
      <c r="D640">
        <v>35.4</v>
      </c>
      <c r="E640" s="2">
        <v>51020298541.6</v>
      </c>
      <c r="F640" t="s">
        <v>379</v>
      </c>
      <c r="G640">
        <v>5.12</v>
      </c>
      <c r="H640">
        <v>69.5238095238095</v>
      </c>
      <c r="I640">
        <v>42.0251</v>
      </c>
      <c r="J640">
        <v>51.984</v>
      </c>
    </row>
    <row r="641" spans="1:10">
      <c r="A641">
        <v>525</v>
      </c>
      <c r="B641">
        <v>3.57</v>
      </c>
      <c r="C641">
        <v>2.88</v>
      </c>
      <c r="D641">
        <v>5.43</v>
      </c>
      <c r="E641" s="2">
        <v>5281497000</v>
      </c>
      <c r="F641" t="s">
        <v>553</v>
      </c>
      <c r="G641">
        <v>0.77</v>
      </c>
      <c r="H641">
        <v>1.41736830366841</v>
      </c>
      <c r="I641">
        <v>31.5759</v>
      </c>
      <c r="J641">
        <v>28.229</v>
      </c>
    </row>
    <row r="642" spans="1:10">
      <c r="A642">
        <v>510</v>
      </c>
      <c r="B642">
        <v>0.295</v>
      </c>
      <c r="C642">
        <v>0.17</v>
      </c>
      <c r="D642">
        <v>1.13</v>
      </c>
      <c r="E642" s="2">
        <v>1219636078.46</v>
      </c>
      <c r="F642" t="s">
        <v>554</v>
      </c>
      <c r="G642">
        <v>1.94</v>
      </c>
      <c r="H642">
        <v>4.05777166437414</v>
      </c>
      <c r="I642">
        <v>37.3263</v>
      </c>
      <c r="J642">
        <v>30.12</v>
      </c>
    </row>
    <row r="643" spans="1:8">
      <c r="A643">
        <v>500</v>
      </c>
      <c r="B643">
        <v>1.17</v>
      </c>
      <c r="C643">
        <v>0.62</v>
      </c>
      <c r="D643">
        <v>4.25</v>
      </c>
      <c r="E643" s="2">
        <v>1528055723.72</v>
      </c>
      <c r="F643" t="s">
        <v>91</v>
      </c>
      <c r="G643">
        <v>1.73</v>
      </c>
      <c r="H643">
        <v>6.72086720867208</v>
      </c>
    </row>
    <row r="644" spans="1:10">
      <c r="A644">
        <v>498</v>
      </c>
      <c r="B644">
        <v>0.135</v>
      </c>
      <c r="C644">
        <v>0.104</v>
      </c>
      <c r="D644">
        <v>0.33</v>
      </c>
      <c r="E644" s="2">
        <v>617943677.22</v>
      </c>
      <c r="F644" t="s">
        <v>555</v>
      </c>
      <c r="G644">
        <v>0.14</v>
      </c>
      <c r="H644">
        <v>1.11940298507462</v>
      </c>
      <c r="I644">
        <v>7.1831</v>
      </c>
      <c r="J644">
        <v>5.851</v>
      </c>
    </row>
    <row r="645" spans="1:10">
      <c r="A645">
        <v>493</v>
      </c>
      <c r="B645">
        <v>1.09</v>
      </c>
      <c r="C645">
        <v>0.96</v>
      </c>
      <c r="D645">
        <v>2.51</v>
      </c>
      <c r="E645" s="2">
        <v>19166577966.86</v>
      </c>
      <c r="F645" t="s">
        <v>556</v>
      </c>
      <c r="G645">
        <v>0.88</v>
      </c>
      <c r="H645">
        <v>0.234238314235026</v>
      </c>
      <c r="I645">
        <v>11.9774</v>
      </c>
      <c r="J645">
        <v>11.311</v>
      </c>
    </row>
    <row r="646" spans="1:8">
      <c r="A646">
        <v>476</v>
      </c>
      <c r="B646">
        <v>0.25</v>
      </c>
      <c r="C646">
        <v>0.2</v>
      </c>
      <c r="D646">
        <v>1.18</v>
      </c>
      <c r="E646" s="2">
        <v>926511700</v>
      </c>
      <c r="F646" t="s">
        <v>586</v>
      </c>
      <c r="G646">
        <v>0.28</v>
      </c>
      <c r="H646">
        <v>3.76506024096385</v>
      </c>
    </row>
    <row r="647" spans="1:8">
      <c r="A647">
        <v>471</v>
      </c>
      <c r="B647">
        <v>0.06</v>
      </c>
      <c r="C647">
        <v>0.057</v>
      </c>
      <c r="D647">
        <v>0.55</v>
      </c>
      <c r="E647" s="2">
        <v>375191356.62</v>
      </c>
      <c r="F647" t="s">
        <v>380</v>
      </c>
      <c r="G647">
        <v>0.86</v>
      </c>
      <c r="H647">
        <v>25.7991279894739</v>
      </c>
    </row>
    <row r="648" spans="1:10">
      <c r="A648">
        <v>465</v>
      </c>
      <c r="B648">
        <v>1.15</v>
      </c>
      <c r="C648">
        <v>0.8</v>
      </c>
      <c r="D648">
        <v>2.01</v>
      </c>
      <c r="E648" s="2">
        <v>361050000</v>
      </c>
      <c r="F648" t="s">
        <v>89</v>
      </c>
      <c r="G648">
        <v>0.5</v>
      </c>
      <c r="H648">
        <v>0.137106059011289</v>
      </c>
      <c r="I648">
        <v>8.4029</v>
      </c>
      <c r="J648">
        <v>6.957</v>
      </c>
    </row>
    <row r="649" spans="1:10">
      <c r="A649">
        <v>460</v>
      </c>
      <c r="B649">
        <v>1.87</v>
      </c>
      <c r="C649">
        <v>1.41</v>
      </c>
      <c r="D649">
        <v>6.68</v>
      </c>
      <c r="E649" s="2">
        <v>21039289878.18</v>
      </c>
      <c r="F649" t="s">
        <v>1021</v>
      </c>
      <c r="G649">
        <v>1.63</v>
      </c>
      <c r="H649">
        <v>4.35202412642119</v>
      </c>
      <c r="I649">
        <v>10.0678</v>
      </c>
      <c r="J649">
        <v>21.711</v>
      </c>
    </row>
    <row r="650" spans="1:8">
      <c r="A650">
        <v>451</v>
      </c>
      <c r="B650">
        <v>0.45</v>
      </c>
      <c r="C650">
        <v>0.31</v>
      </c>
      <c r="D650">
        <v>1.44</v>
      </c>
      <c r="E650" s="2">
        <v>8773909102.86</v>
      </c>
      <c r="F650" t="s">
        <v>345</v>
      </c>
      <c r="G650">
        <v>1.63</v>
      </c>
      <c r="H650">
        <v>2.67131242740998</v>
      </c>
    </row>
    <row r="651" spans="1:8">
      <c r="A651">
        <v>445</v>
      </c>
      <c r="B651">
        <v>0.335</v>
      </c>
      <c r="C651">
        <v>0.248</v>
      </c>
      <c r="D651">
        <v>1.05</v>
      </c>
      <c r="E651" s="2">
        <v>1366321429.05</v>
      </c>
      <c r="F651" t="s">
        <v>90</v>
      </c>
      <c r="G651">
        <v>1.22</v>
      </c>
      <c r="H651">
        <v>0.929116251247234</v>
      </c>
    </row>
    <row r="652" spans="1:11">
      <c r="A652">
        <v>442</v>
      </c>
      <c r="B652">
        <v>2.5</v>
      </c>
      <c r="C652">
        <v>2.1</v>
      </c>
      <c r="D652">
        <v>15.2</v>
      </c>
      <c r="E652" s="2">
        <v>400000000</v>
      </c>
      <c r="F652" t="s">
        <v>87</v>
      </c>
      <c r="G652" t="s">
        <v>88</v>
      </c>
      <c r="H652">
        <v>1.13</v>
      </c>
      <c r="I652">
        <v>0.269361720467181</v>
      </c>
      <c r="J652">
        <v>19.6637</v>
      </c>
      <c r="K652">
        <v>13.442</v>
      </c>
    </row>
    <row r="653" spans="1:8">
      <c r="A653">
        <v>439</v>
      </c>
      <c r="B653">
        <v>2.96</v>
      </c>
      <c r="C653">
        <v>1.11</v>
      </c>
      <c r="D653">
        <v>6.38</v>
      </c>
      <c r="E653" s="2">
        <v>16244394563.04</v>
      </c>
      <c r="F653" t="s">
        <v>566</v>
      </c>
      <c r="G653">
        <v>9.3</v>
      </c>
      <c r="H653">
        <v>78.6301369863013</v>
      </c>
    </row>
    <row r="654" spans="1:10">
      <c r="A654">
        <v>434</v>
      </c>
      <c r="B654">
        <v>2.56</v>
      </c>
      <c r="C654">
        <v>2.33</v>
      </c>
      <c r="D654">
        <v>10.86</v>
      </c>
      <c r="E654" s="2">
        <v>2035086085.62</v>
      </c>
      <c r="F654" t="s">
        <v>557</v>
      </c>
      <c r="G654">
        <v>1.09</v>
      </c>
      <c r="H654">
        <v>1.87774311090642</v>
      </c>
      <c r="I654">
        <v>5.8113</v>
      </c>
      <c r="J654">
        <v>4.715</v>
      </c>
    </row>
    <row r="655" spans="1:8">
      <c r="A655">
        <v>426</v>
      </c>
      <c r="B655">
        <v>1.39</v>
      </c>
      <c r="C655">
        <v>0.5</v>
      </c>
      <c r="D655">
        <v>1.78</v>
      </c>
      <c r="E655" s="2">
        <v>589323000</v>
      </c>
      <c r="F655" t="s">
        <v>983</v>
      </c>
      <c r="G655">
        <v>3.57</v>
      </c>
      <c r="H655">
        <v>3.38397790055248</v>
      </c>
    </row>
    <row r="656" spans="1:10">
      <c r="A656">
        <v>419</v>
      </c>
      <c r="B656">
        <v>1</v>
      </c>
      <c r="C656">
        <v>0.43</v>
      </c>
      <c r="D656">
        <v>1.98</v>
      </c>
      <c r="E656" s="2">
        <v>13498106577</v>
      </c>
      <c r="F656" t="s">
        <v>251</v>
      </c>
      <c r="G656">
        <v>4.69</v>
      </c>
      <c r="H656">
        <v>50.251256281407</v>
      </c>
      <c r="I656">
        <v>244.6284</v>
      </c>
      <c r="J656">
        <v>77.57</v>
      </c>
    </row>
    <row r="657" spans="1:10">
      <c r="A657">
        <v>410</v>
      </c>
      <c r="B657">
        <v>3.79</v>
      </c>
      <c r="C657">
        <v>2.91</v>
      </c>
      <c r="D657">
        <v>6.72</v>
      </c>
      <c r="E657" s="2">
        <v>19654200837.18</v>
      </c>
      <c r="F657" t="s">
        <v>994</v>
      </c>
      <c r="G657">
        <v>0.42</v>
      </c>
      <c r="H657">
        <v>10.2076847987914</v>
      </c>
      <c r="I657">
        <v>3.8527</v>
      </c>
      <c r="J657">
        <v>3.4</v>
      </c>
    </row>
    <row r="658" spans="1:10">
      <c r="A658">
        <v>403</v>
      </c>
      <c r="B658">
        <v>0.62</v>
      </c>
      <c r="C658">
        <v>0.35</v>
      </c>
      <c r="D658">
        <v>0.84</v>
      </c>
      <c r="E658" s="2">
        <v>309829819.92</v>
      </c>
      <c r="F658" t="s">
        <v>1049</v>
      </c>
      <c r="G658">
        <v>0.56</v>
      </c>
      <c r="H658">
        <v>0.160082483177772</v>
      </c>
      <c r="I658">
        <v>116.8728</v>
      </c>
      <c r="J658">
        <v>92</v>
      </c>
    </row>
    <row r="659" spans="1:8">
      <c r="A659">
        <v>402</v>
      </c>
      <c r="B659">
        <v>0.275</v>
      </c>
      <c r="C659">
        <v>0.16</v>
      </c>
      <c r="D659">
        <v>0.73</v>
      </c>
      <c r="E659" s="2">
        <v>2202330894.57</v>
      </c>
      <c r="F659" t="s">
        <v>558</v>
      </c>
      <c r="G659">
        <v>1.95</v>
      </c>
      <c r="H659">
        <v>6.33802816901408</v>
      </c>
    </row>
    <row r="660" spans="1:10">
      <c r="A660">
        <v>400</v>
      </c>
      <c r="B660">
        <v>9.23</v>
      </c>
      <c r="C660">
        <v>3.23</v>
      </c>
      <c r="D660">
        <v>16.8</v>
      </c>
      <c r="E660" s="2">
        <v>12301219530</v>
      </c>
      <c r="F660" t="s">
        <v>559</v>
      </c>
      <c r="G660">
        <v>6.12</v>
      </c>
      <c r="H660">
        <v>1.13675929498339</v>
      </c>
      <c r="I660">
        <v>50.6796</v>
      </c>
      <c r="J660">
        <v>39.361</v>
      </c>
    </row>
    <row r="661" spans="1:10">
      <c r="A661">
        <v>392</v>
      </c>
      <c r="B661">
        <v>38.55</v>
      </c>
      <c r="C661">
        <v>32.4</v>
      </c>
      <c r="D661">
        <v>76.45</v>
      </c>
      <c r="E661" s="2">
        <v>50287730505.6</v>
      </c>
      <c r="F661" t="s">
        <v>431</v>
      </c>
      <c r="G661">
        <v>0.85</v>
      </c>
      <c r="H661">
        <v>0.848916656740983</v>
      </c>
      <c r="I661">
        <v>10.4079</v>
      </c>
      <c r="J661">
        <v>10.195</v>
      </c>
    </row>
    <row r="662" spans="1:10">
      <c r="A662">
        <v>390</v>
      </c>
      <c r="B662">
        <v>5.24</v>
      </c>
      <c r="C662">
        <v>3.98</v>
      </c>
      <c r="D662">
        <v>12.3</v>
      </c>
      <c r="E662" s="2">
        <v>22172945300</v>
      </c>
      <c r="F662" t="s">
        <v>561</v>
      </c>
      <c r="G662">
        <v>0.86</v>
      </c>
      <c r="H662">
        <v>0.168213347004011</v>
      </c>
      <c r="I662">
        <v>9.3823</v>
      </c>
      <c r="J662">
        <v>8.018</v>
      </c>
    </row>
    <row r="663" spans="1:10">
      <c r="A663">
        <v>388</v>
      </c>
      <c r="B663">
        <v>173.3</v>
      </c>
      <c r="C663">
        <v>151.3</v>
      </c>
      <c r="D663">
        <v>311.4</v>
      </c>
      <c r="E663" s="2">
        <v>211493856875</v>
      </c>
      <c r="F663" t="s">
        <v>42</v>
      </c>
      <c r="G663">
        <v>7.09</v>
      </c>
      <c r="H663">
        <v>15.8102052616363</v>
      </c>
      <c r="I663">
        <v>26.5829</v>
      </c>
      <c r="J663">
        <v>36.455</v>
      </c>
    </row>
    <row r="664" spans="1:10">
      <c r="A664">
        <v>382</v>
      </c>
      <c r="B664">
        <v>1.1</v>
      </c>
      <c r="C664">
        <v>1.03</v>
      </c>
      <c r="D664">
        <v>2.37</v>
      </c>
      <c r="E664" s="2">
        <v>3178610232.42</v>
      </c>
      <c r="F664" t="s">
        <v>426</v>
      </c>
      <c r="G664">
        <v>0.72</v>
      </c>
      <c r="H664">
        <v>0.327607579245617</v>
      </c>
      <c r="I664">
        <v>4.6856</v>
      </c>
      <c r="J664">
        <v>5.345</v>
      </c>
    </row>
    <row r="665" spans="1:9">
      <c r="A665">
        <v>376</v>
      </c>
      <c r="B665">
        <v>5.98</v>
      </c>
      <c r="C665">
        <v>2.4</v>
      </c>
      <c r="D665">
        <v>25</v>
      </c>
      <c r="E665" s="2">
        <v>14324038272.18</v>
      </c>
      <c r="F665" t="s">
        <v>211</v>
      </c>
      <c r="G665">
        <v>3.01</v>
      </c>
      <c r="H665">
        <v>72.5394896719319</v>
      </c>
      <c r="I665">
        <v>4.065</v>
      </c>
    </row>
    <row r="666" spans="1:10">
      <c r="A666">
        <v>371</v>
      </c>
      <c r="B666">
        <v>4.49</v>
      </c>
      <c r="C666">
        <v>3.53</v>
      </c>
      <c r="D666">
        <v>7.37</v>
      </c>
      <c r="E666" s="2">
        <v>40123841233.56</v>
      </c>
      <c r="F666" t="s">
        <v>297</v>
      </c>
      <c r="G666">
        <v>2.43</v>
      </c>
      <c r="H666">
        <v>3.28651885649105</v>
      </c>
      <c r="I666">
        <v>22.3604</v>
      </c>
      <c r="J666">
        <v>21.002</v>
      </c>
    </row>
    <row r="667" spans="1:10">
      <c r="A667">
        <v>368</v>
      </c>
      <c r="B667">
        <v>1.19</v>
      </c>
      <c r="C667">
        <v>1.1</v>
      </c>
      <c r="D667">
        <v>2.55</v>
      </c>
      <c r="E667" s="2">
        <v>5189730000</v>
      </c>
      <c r="F667" t="s">
        <v>562</v>
      </c>
      <c r="G667">
        <v>0.32</v>
      </c>
      <c r="H667">
        <v>0.551444695598752</v>
      </c>
      <c r="I667">
        <v>359.3626</v>
      </c>
      <c r="J667">
        <v>338.889</v>
      </c>
    </row>
    <row r="668" spans="1:10">
      <c r="A668">
        <v>365</v>
      </c>
      <c r="B668">
        <v>1.65</v>
      </c>
      <c r="C668">
        <v>0.35</v>
      </c>
      <c r="D668">
        <v>1.77</v>
      </c>
      <c r="E668" s="2">
        <v>866250000</v>
      </c>
      <c r="F668" t="s">
        <v>16</v>
      </c>
      <c r="G668">
        <v>2.57</v>
      </c>
      <c r="H668">
        <v>0.944854835938842</v>
      </c>
      <c r="I668">
        <v>341.716</v>
      </c>
      <c r="J668">
        <v>245.833</v>
      </c>
    </row>
    <row r="669" spans="1:8">
      <c r="A669">
        <v>362</v>
      </c>
      <c r="B669">
        <v>0.201</v>
      </c>
      <c r="C669">
        <v>0.16</v>
      </c>
      <c r="D669">
        <v>1.23</v>
      </c>
      <c r="E669" s="2">
        <v>486111501.88</v>
      </c>
      <c r="F669" t="s">
        <v>337</v>
      </c>
      <c r="G669">
        <v>0.24</v>
      </c>
      <c r="H669">
        <v>2.11398963730569</v>
      </c>
    </row>
    <row r="670" spans="1:8">
      <c r="A670">
        <v>360</v>
      </c>
      <c r="B670">
        <v>0.4</v>
      </c>
      <c r="C670">
        <v>0.33</v>
      </c>
      <c r="D670">
        <v>2.42</v>
      </c>
      <c r="E670" s="2">
        <v>1761762422.04</v>
      </c>
      <c r="F670" t="s">
        <v>676</v>
      </c>
      <c r="G670">
        <v>3.66</v>
      </c>
      <c r="H670">
        <v>0.885934199895105</v>
      </c>
    </row>
    <row r="671" spans="1:10">
      <c r="A671">
        <v>354</v>
      </c>
      <c r="B671">
        <v>2.7</v>
      </c>
      <c r="C671">
        <v>2.12</v>
      </c>
      <c r="D671">
        <v>5.79</v>
      </c>
      <c r="E671" s="2">
        <v>5939292352.44</v>
      </c>
      <c r="F671" t="s">
        <v>682</v>
      </c>
      <c r="G671">
        <v>1.65</v>
      </c>
      <c r="H671">
        <v>0.93703173875881</v>
      </c>
      <c r="I671">
        <v>23.7451</v>
      </c>
      <c r="J671">
        <v>18.806</v>
      </c>
    </row>
    <row r="672" spans="1:8">
      <c r="A672">
        <v>343</v>
      </c>
      <c r="B672">
        <v>1.37</v>
      </c>
      <c r="C672">
        <v>0.83</v>
      </c>
      <c r="D672">
        <v>2.18</v>
      </c>
      <c r="E672" s="2">
        <v>1662822356.02</v>
      </c>
      <c r="F672" t="s">
        <v>356</v>
      </c>
      <c r="G672">
        <v>6.28</v>
      </c>
      <c r="H672">
        <v>53.515625</v>
      </c>
    </row>
    <row r="673" spans="1:8">
      <c r="A673">
        <v>338</v>
      </c>
      <c r="B673">
        <v>3.59</v>
      </c>
      <c r="C673">
        <v>2.17</v>
      </c>
      <c r="D673">
        <v>5.35</v>
      </c>
      <c r="E673" s="2">
        <v>12651900000</v>
      </c>
      <c r="F673" t="s">
        <v>563</v>
      </c>
      <c r="G673">
        <v>1.69</v>
      </c>
      <c r="H673">
        <v>0.370543326225732</v>
      </c>
    </row>
    <row r="674" spans="1:10">
      <c r="A674">
        <v>337</v>
      </c>
      <c r="B674">
        <v>2.3</v>
      </c>
      <c r="C674">
        <v>2.02</v>
      </c>
      <c r="D674">
        <v>8.6</v>
      </c>
      <c r="E674" s="2">
        <v>6537203438.22</v>
      </c>
      <c r="F674" t="s">
        <v>86</v>
      </c>
      <c r="G674">
        <v>0.77</v>
      </c>
      <c r="H674">
        <v>2.15733117555962</v>
      </c>
      <c r="I674">
        <v>111.6827</v>
      </c>
      <c r="J674">
        <v>40.909</v>
      </c>
    </row>
    <row r="675" spans="1:10">
      <c r="A675">
        <v>336</v>
      </c>
      <c r="B675">
        <v>2.75</v>
      </c>
      <c r="C675">
        <v>2.26</v>
      </c>
      <c r="D675">
        <v>9.31</v>
      </c>
      <c r="E675" s="2">
        <v>8698642290.8</v>
      </c>
      <c r="F675" t="s">
        <v>311</v>
      </c>
      <c r="G675">
        <v>0.92</v>
      </c>
      <c r="H675">
        <v>2.43076655959718</v>
      </c>
      <c r="I675">
        <v>4.3787</v>
      </c>
      <c r="J675">
        <v>4.42</v>
      </c>
    </row>
    <row r="676" spans="1:10">
      <c r="A676">
        <v>327</v>
      </c>
      <c r="B676">
        <v>8.5</v>
      </c>
      <c r="C676">
        <v>5.57</v>
      </c>
      <c r="D676">
        <v>14.2</v>
      </c>
      <c r="E676" s="2">
        <v>9418758580</v>
      </c>
      <c r="F676" t="s">
        <v>85</v>
      </c>
      <c r="G676">
        <v>3.27</v>
      </c>
      <c r="H676">
        <v>4.08409277207194</v>
      </c>
      <c r="I676">
        <v>24.0393</v>
      </c>
      <c r="J676">
        <v>20.121</v>
      </c>
    </row>
    <row r="677" spans="1:10">
      <c r="A677">
        <v>322</v>
      </c>
      <c r="B677">
        <v>7.33</v>
      </c>
      <c r="C677">
        <v>7.07</v>
      </c>
      <c r="D677">
        <v>23.25</v>
      </c>
      <c r="E677" s="2">
        <v>42525793622.4</v>
      </c>
      <c r="F677" t="s">
        <v>84</v>
      </c>
      <c r="G677">
        <v>1.78</v>
      </c>
      <c r="H677">
        <v>0.529209358429524</v>
      </c>
      <c r="I677">
        <v>13.6911</v>
      </c>
      <c r="J677">
        <v>15.558</v>
      </c>
    </row>
    <row r="678" spans="1:10">
      <c r="A678">
        <v>317</v>
      </c>
      <c r="B678">
        <v>11.6</v>
      </c>
      <c r="C678">
        <v>9.52</v>
      </c>
      <c r="D678">
        <v>40</v>
      </c>
      <c r="E678" s="2">
        <v>7400889962.5</v>
      </c>
      <c r="F678" t="s">
        <v>564</v>
      </c>
      <c r="G678">
        <v>1.56</v>
      </c>
      <c r="H678">
        <v>0.633141026724768</v>
      </c>
      <c r="I678">
        <v>93.2709</v>
      </c>
      <c r="J678">
        <v>56.474</v>
      </c>
    </row>
    <row r="679" spans="1:10">
      <c r="A679">
        <v>308</v>
      </c>
      <c r="B679">
        <v>2.77</v>
      </c>
      <c r="C679">
        <v>1.57</v>
      </c>
      <c r="D679">
        <v>4.09</v>
      </c>
      <c r="E679" s="2">
        <v>15589896995.75</v>
      </c>
      <c r="F679" t="s">
        <v>1078</v>
      </c>
      <c r="G679">
        <v>0.97</v>
      </c>
      <c r="H679">
        <v>3.59593392630241</v>
      </c>
      <c r="I679">
        <v>8.9655</v>
      </c>
      <c r="J679">
        <v>8.503</v>
      </c>
    </row>
    <row r="680" spans="1:8">
      <c r="A680">
        <v>307</v>
      </c>
      <c r="B680">
        <v>0.2</v>
      </c>
      <c r="C680">
        <v>0.19</v>
      </c>
      <c r="D680">
        <v>1.17</v>
      </c>
      <c r="E680" s="2">
        <v>885010505.15</v>
      </c>
      <c r="F680" t="s">
        <v>323</v>
      </c>
      <c r="G680">
        <v>0.11</v>
      </c>
      <c r="H680">
        <v>4.39189189189189</v>
      </c>
    </row>
    <row r="681" spans="1:8">
      <c r="A681">
        <v>299</v>
      </c>
      <c r="B681">
        <v>0.2</v>
      </c>
      <c r="C681">
        <v>0.059</v>
      </c>
      <c r="D681">
        <v>4.5</v>
      </c>
      <c r="E681" s="2">
        <v>2849564499.6</v>
      </c>
      <c r="F681" t="s">
        <v>367</v>
      </c>
      <c r="G681">
        <v>4.43</v>
      </c>
      <c r="H681">
        <v>0.451075641915336</v>
      </c>
    </row>
    <row r="682" spans="1:10">
      <c r="A682">
        <v>296</v>
      </c>
      <c r="B682">
        <v>1.43</v>
      </c>
      <c r="C682">
        <v>1.16</v>
      </c>
      <c r="D682">
        <v>2.78</v>
      </c>
      <c r="E682" s="2">
        <v>1888691675.35</v>
      </c>
      <c r="F682" t="s">
        <v>933</v>
      </c>
      <c r="G682">
        <v>0.57</v>
      </c>
      <c r="H682">
        <v>1.02793137671912</v>
      </c>
      <c r="I682">
        <v>3.7453</v>
      </c>
      <c r="J682">
        <v>3.513</v>
      </c>
    </row>
    <row r="683" spans="1:8">
      <c r="A683">
        <v>291</v>
      </c>
      <c r="B683">
        <v>15.68</v>
      </c>
      <c r="C683">
        <v>11.74</v>
      </c>
      <c r="D683">
        <v>26.15</v>
      </c>
      <c r="E683" s="2">
        <v>36740303452.9</v>
      </c>
      <c r="F683" t="s">
        <v>1014</v>
      </c>
      <c r="G683">
        <v>0.83</v>
      </c>
      <c r="H683">
        <v>0.912695534440656</v>
      </c>
    </row>
    <row r="684" spans="1:10">
      <c r="A684">
        <v>285</v>
      </c>
      <c r="B684">
        <v>4.78</v>
      </c>
      <c r="C684">
        <v>2.93</v>
      </c>
      <c r="D684">
        <v>13.94</v>
      </c>
      <c r="E684" s="2">
        <v>10815381600</v>
      </c>
      <c r="F684" t="s">
        <v>886</v>
      </c>
      <c r="G684">
        <v>0.84</v>
      </c>
      <c r="H684">
        <v>0.448814740579609</v>
      </c>
      <c r="I684">
        <v>9.5925</v>
      </c>
      <c r="J684">
        <v>6.355</v>
      </c>
    </row>
    <row r="685" spans="1:10">
      <c r="A685">
        <v>283</v>
      </c>
      <c r="B685">
        <v>3.74</v>
      </c>
      <c r="C685">
        <v>3.44</v>
      </c>
      <c r="D685">
        <v>29.5</v>
      </c>
      <c r="E685" s="2">
        <v>13469325984.01</v>
      </c>
      <c r="F685" t="s">
        <v>381</v>
      </c>
      <c r="G685">
        <v>0.81</v>
      </c>
      <c r="H685">
        <v>92.6289926289926</v>
      </c>
      <c r="I685">
        <v>20.5681</v>
      </c>
      <c r="J685">
        <v>30.174</v>
      </c>
    </row>
    <row r="686" spans="1:10">
      <c r="A686">
        <v>279</v>
      </c>
      <c r="B686">
        <v>0.41</v>
      </c>
      <c r="C686">
        <v>0.09</v>
      </c>
      <c r="D686">
        <v>0.92</v>
      </c>
      <c r="E686" s="2">
        <v>4232896293</v>
      </c>
      <c r="F686" t="s">
        <v>882</v>
      </c>
      <c r="G686">
        <v>1.29</v>
      </c>
      <c r="H686">
        <v>-8.85529157667386</v>
      </c>
      <c r="I686">
        <v>7.9413</v>
      </c>
      <c r="J686">
        <v>8.14</v>
      </c>
    </row>
    <row r="687" spans="1:10">
      <c r="A687">
        <v>272</v>
      </c>
      <c r="B687">
        <v>2.06</v>
      </c>
      <c r="C687">
        <v>1.43</v>
      </c>
      <c r="D687">
        <v>2.75</v>
      </c>
      <c r="E687" s="2">
        <v>16534858189.34</v>
      </c>
      <c r="F687" t="s">
        <v>1048</v>
      </c>
      <c r="G687">
        <v>0.29</v>
      </c>
      <c r="H687">
        <v>2.97479032710245</v>
      </c>
      <c r="I687">
        <v>7.4374</v>
      </c>
      <c r="J687">
        <v>6.335</v>
      </c>
    </row>
    <row r="688" spans="1:8">
      <c r="A688">
        <v>269</v>
      </c>
      <c r="B688">
        <v>0.102</v>
      </c>
      <c r="C688">
        <v>0.028</v>
      </c>
      <c r="D688">
        <v>0.345</v>
      </c>
      <c r="E688" s="2">
        <v>675239597</v>
      </c>
      <c r="F688" t="s">
        <v>1029</v>
      </c>
      <c r="G688">
        <v>0.25</v>
      </c>
      <c r="H688">
        <v>0.89605734767025</v>
      </c>
    </row>
    <row r="689" spans="1:10">
      <c r="A689">
        <v>268</v>
      </c>
      <c r="B689">
        <v>2.67</v>
      </c>
      <c r="C689">
        <v>2.18</v>
      </c>
      <c r="D689">
        <v>6.41</v>
      </c>
      <c r="E689" s="2">
        <v>8042750012</v>
      </c>
      <c r="F689" t="s">
        <v>695</v>
      </c>
      <c r="G689">
        <v>2.14</v>
      </c>
      <c r="H689">
        <v>3.64300771167769</v>
      </c>
      <c r="I689">
        <v>32.6425</v>
      </c>
      <c r="J689">
        <v>25.676</v>
      </c>
    </row>
    <row r="690" spans="1:8">
      <c r="A690">
        <v>264</v>
      </c>
      <c r="B690">
        <v>1.69</v>
      </c>
      <c r="C690">
        <v>0.58</v>
      </c>
      <c r="D690">
        <v>2.69</v>
      </c>
      <c r="E690" s="2">
        <v>560125440</v>
      </c>
      <c r="F690" t="s">
        <v>453</v>
      </c>
      <c r="G690">
        <v>7.49</v>
      </c>
      <c r="H690">
        <v>4.10819086501658</v>
      </c>
    </row>
    <row r="691" spans="1:8">
      <c r="A691">
        <v>261</v>
      </c>
      <c r="B691">
        <v>0.027</v>
      </c>
      <c r="C691">
        <v>0.01</v>
      </c>
      <c r="D691">
        <v>0.083</v>
      </c>
      <c r="E691" s="2">
        <v>2823990825.71</v>
      </c>
      <c r="F691" t="s">
        <v>162</v>
      </c>
      <c r="G691">
        <v>5</v>
      </c>
      <c r="H691">
        <v>2.28346456692913</v>
      </c>
    </row>
    <row r="692" spans="1:8">
      <c r="A692">
        <v>260</v>
      </c>
      <c r="B692">
        <v>0.205</v>
      </c>
      <c r="C692">
        <v>0.18</v>
      </c>
      <c r="D692">
        <v>0.76</v>
      </c>
      <c r="E692" s="2">
        <v>1248186605.61</v>
      </c>
      <c r="F692" t="s">
        <v>83</v>
      </c>
      <c r="G692">
        <v>0.85</v>
      </c>
      <c r="H692">
        <v>0.79155672823219</v>
      </c>
    </row>
    <row r="693" spans="1:10">
      <c r="A693">
        <v>257</v>
      </c>
      <c r="B693">
        <v>8.65</v>
      </c>
      <c r="C693">
        <v>7.11</v>
      </c>
      <c r="D693">
        <v>16.28</v>
      </c>
      <c r="E693" s="2">
        <v>38873780439</v>
      </c>
      <c r="F693" t="s">
        <v>450</v>
      </c>
      <c r="G693">
        <v>2.26</v>
      </c>
      <c r="H693">
        <v>4.37812452658688</v>
      </c>
      <c r="I693">
        <v>18.6455</v>
      </c>
      <c r="J693">
        <v>22.032</v>
      </c>
    </row>
    <row r="694" spans="1:8">
      <c r="A694">
        <v>245</v>
      </c>
      <c r="B694">
        <v>0.89</v>
      </c>
      <c r="C694">
        <v>0.16</v>
      </c>
      <c r="D694">
        <v>1.91</v>
      </c>
      <c r="E694" s="2">
        <v>27191653775</v>
      </c>
      <c r="F694" t="s">
        <v>438</v>
      </c>
      <c r="G694">
        <v>5.13</v>
      </c>
      <c r="H694">
        <v>8.13852813852813</v>
      </c>
    </row>
    <row r="695" spans="1:8">
      <c r="A695">
        <v>241</v>
      </c>
      <c r="B695">
        <v>4.42</v>
      </c>
      <c r="C695">
        <v>3.3</v>
      </c>
      <c r="D695">
        <v>14.32</v>
      </c>
      <c r="E695" s="2">
        <v>35469277733.26</v>
      </c>
      <c r="F695" t="s">
        <v>809</v>
      </c>
      <c r="G695">
        <v>23.11</v>
      </c>
      <c r="H695">
        <v>563.636363636363</v>
      </c>
    </row>
    <row r="696" spans="1:10">
      <c r="A696">
        <v>237</v>
      </c>
      <c r="B696">
        <v>18.98</v>
      </c>
      <c r="C696">
        <v>9.55</v>
      </c>
      <c r="D696">
        <v>19.48</v>
      </c>
      <c r="E696" s="2">
        <v>2556900000</v>
      </c>
      <c r="F696" t="s">
        <v>1031</v>
      </c>
      <c r="G696">
        <v>0.66</v>
      </c>
      <c r="H696">
        <v>15.6451346439781</v>
      </c>
      <c r="I696">
        <v>4.2667</v>
      </c>
      <c r="J696">
        <v>3.794</v>
      </c>
    </row>
    <row r="697" spans="1:10">
      <c r="A697">
        <v>222</v>
      </c>
      <c r="B697">
        <v>7.16</v>
      </c>
      <c r="C697">
        <v>4.12</v>
      </c>
      <c r="D697">
        <v>7.85</v>
      </c>
      <c r="E697" s="2">
        <v>3193029159.2</v>
      </c>
      <c r="F697" t="s">
        <v>82</v>
      </c>
      <c r="G697">
        <v>0.57</v>
      </c>
      <c r="H697">
        <v>21.8278894472361</v>
      </c>
      <c r="I697">
        <v>6.7551</v>
      </c>
      <c r="J697">
        <v>6.726</v>
      </c>
    </row>
    <row r="698" spans="1:10">
      <c r="A698">
        <v>220</v>
      </c>
      <c r="B698">
        <v>5.19</v>
      </c>
      <c r="C698">
        <v>4.88</v>
      </c>
      <c r="D698">
        <v>8.19</v>
      </c>
      <c r="E698" s="2">
        <v>22676503500</v>
      </c>
      <c r="F698" t="s">
        <v>81</v>
      </c>
      <c r="G698">
        <v>1.56</v>
      </c>
      <c r="H698">
        <v>0.741393709062834</v>
      </c>
      <c r="I698">
        <v>63.5133</v>
      </c>
      <c r="J698">
        <v>57.572</v>
      </c>
    </row>
    <row r="699" spans="1:10">
      <c r="A699">
        <v>218</v>
      </c>
      <c r="B699">
        <v>3.4</v>
      </c>
      <c r="C699">
        <v>2.24</v>
      </c>
      <c r="D699">
        <v>9.75</v>
      </c>
      <c r="E699" s="2">
        <v>2762601250.83</v>
      </c>
      <c r="F699" t="s">
        <v>238</v>
      </c>
      <c r="G699">
        <v>1.37</v>
      </c>
      <c r="H699">
        <v>3.18494722349701</v>
      </c>
      <c r="I699">
        <v>29.41</v>
      </c>
      <c r="J699">
        <v>21.601</v>
      </c>
    </row>
    <row r="700" spans="1:8">
      <c r="A700">
        <v>209</v>
      </c>
      <c r="B700">
        <v>0.34</v>
      </c>
      <c r="C700">
        <v>0.18</v>
      </c>
      <c r="D700">
        <v>2.4</v>
      </c>
      <c r="E700" s="2">
        <v>857286611.5</v>
      </c>
      <c r="F700" t="s">
        <v>1497</v>
      </c>
      <c r="G700">
        <v>1.94</v>
      </c>
      <c r="H700">
        <v>5.66502463054187</v>
      </c>
    </row>
    <row r="701" spans="1:10">
      <c r="A701">
        <v>206</v>
      </c>
      <c r="B701">
        <v>1.19</v>
      </c>
      <c r="C701">
        <v>1.1</v>
      </c>
      <c r="D701">
        <v>4.28</v>
      </c>
      <c r="E701" s="2">
        <v>862686648.88</v>
      </c>
      <c r="F701" t="s">
        <v>746</v>
      </c>
      <c r="G701">
        <v>0.48</v>
      </c>
      <c r="H701">
        <v>0.463548396865364</v>
      </c>
      <c r="I701">
        <v>5.4253</v>
      </c>
      <c r="J701">
        <v>5.213</v>
      </c>
    </row>
    <row r="702" spans="1:8">
      <c r="A702">
        <v>205</v>
      </c>
      <c r="B702">
        <v>0.151</v>
      </c>
      <c r="C702">
        <v>0.081</v>
      </c>
      <c r="D702">
        <v>1.31</v>
      </c>
      <c r="E702" s="2">
        <v>943284736.37</v>
      </c>
      <c r="F702" t="s">
        <v>976</v>
      </c>
      <c r="G702">
        <v>0.83</v>
      </c>
      <c r="H702">
        <v>1.02068965517241</v>
      </c>
    </row>
    <row r="703" spans="1:10">
      <c r="A703">
        <v>198</v>
      </c>
      <c r="B703">
        <v>0.8</v>
      </c>
      <c r="C703">
        <v>0.26</v>
      </c>
      <c r="D703">
        <v>1.39</v>
      </c>
      <c r="E703" s="2">
        <v>10670867715.52</v>
      </c>
      <c r="F703" t="s">
        <v>79</v>
      </c>
      <c r="G703">
        <v>2.06</v>
      </c>
      <c r="H703">
        <v>3.3432077867118</v>
      </c>
      <c r="I703">
        <v>81.462</v>
      </c>
      <c r="J703">
        <v>55.396</v>
      </c>
    </row>
    <row r="704" spans="1:8">
      <c r="A704">
        <v>183</v>
      </c>
      <c r="B704">
        <v>0.173</v>
      </c>
      <c r="C704">
        <v>0.164</v>
      </c>
      <c r="D704">
        <v>0.81</v>
      </c>
      <c r="E704" s="2">
        <v>470300500</v>
      </c>
      <c r="F704" t="s">
        <v>80</v>
      </c>
      <c r="G704">
        <v>0.38</v>
      </c>
      <c r="H704">
        <v>22.7631578947368</v>
      </c>
    </row>
    <row r="705" spans="1:10">
      <c r="A705">
        <v>182</v>
      </c>
      <c r="B705">
        <v>0.35</v>
      </c>
      <c r="C705">
        <v>0.305</v>
      </c>
      <c r="D705">
        <v>0.77</v>
      </c>
      <c r="E705" s="2">
        <v>3319944086.7</v>
      </c>
      <c r="F705" t="s">
        <v>766</v>
      </c>
      <c r="G705">
        <v>0.57</v>
      </c>
      <c r="H705">
        <v>0.774561761108846</v>
      </c>
      <c r="I705">
        <v>10.4668</v>
      </c>
      <c r="J705">
        <v>8.84</v>
      </c>
    </row>
    <row r="706" spans="1:10">
      <c r="A706">
        <v>172</v>
      </c>
      <c r="B706">
        <v>0.27</v>
      </c>
      <c r="C706">
        <v>0.233</v>
      </c>
      <c r="D706">
        <v>0.79</v>
      </c>
      <c r="E706" s="2">
        <v>745716467.61</v>
      </c>
      <c r="F706" t="s">
        <v>1030</v>
      </c>
      <c r="G706">
        <v>0.32</v>
      </c>
      <c r="H706">
        <v>10.1503759398496</v>
      </c>
      <c r="I706">
        <v>6.3085</v>
      </c>
      <c r="J706">
        <v>6.032</v>
      </c>
    </row>
    <row r="707" spans="1:10">
      <c r="A707">
        <v>170</v>
      </c>
      <c r="B707">
        <v>4.1</v>
      </c>
      <c r="C707">
        <v>2.45</v>
      </c>
      <c r="D707">
        <v>9.89</v>
      </c>
      <c r="E707" s="2">
        <v>315476037.6</v>
      </c>
      <c r="F707" t="s">
        <v>77</v>
      </c>
      <c r="G707">
        <v>0.16</v>
      </c>
      <c r="H707">
        <v>62.3731859039634</v>
      </c>
      <c r="I707">
        <v>4.1822</v>
      </c>
      <c r="J707">
        <v>3.796</v>
      </c>
    </row>
    <row r="708" spans="1:8">
      <c r="A708">
        <v>169</v>
      </c>
      <c r="B708">
        <v>0.74</v>
      </c>
      <c r="C708">
        <v>0.69</v>
      </c>
      <c r="D708">
        <v>2.7</v>
      </c>
      <c r="E708" s="2">
        <v>3476036401.12</v>
      </c>
      <c r="F708" t="s">
        <v>181</v>
      </c>
      <c r="G708">
        <v>1.37</v>
      </c>
      <c r="H708">
        <v>9.23845193508114</v>
      </c>
    </row>
    <row r="709" spans="1:8">
      <c r="A709">
        <v>164</v>
      </c>
      <c r="B709">
        <v>0.2</v>
      </c>
      <c r="C709">
        <v>0.09</v>
      </c>
      <c r="D709">
        <v>0.5</v>
      </c>
      <c r="E709" s="2">
        <v>1511439123.4</v>
      </c>
      <c r="F709" t="s">
        <v>385</v>
      </c>
      <c r="G709">
        <v>6.31</v>
      </c>
      <c r="H709">
        <v>12.5</v>
      </c>
    </row>
    <row r="710" spans="1:10">
      <c r="A710">
        <v>144</v>
      </c>
      <c r="B710">
        <v>22.4</v>
      </c>
      <c r="C710">
        <v>19.8</v>
      </c>
      <c r="D710">
        <v>37</v>
      </c>
      <c r="E710" s="2">
        <v>59120768365.75</v>
      </c>
      <c r="F710" t="s">
        <v>1066</v>
      </c>
      <c r="G710">
        <v>0.83</v>
      </c>
      <c r="H710">
        <v>6.75455004305097</v>
      </c>
      <c r="I710">
        <v>13.0625</v>
      </c>
      <c r="J710">
        <v>12.923</v>
      </c>
    </row>
    <row r="711" spans="1:9">
      <c r="A711">
        <v>143</v>
      </c>
      <c r="B711">
        <v>0.28</v>
      </c>
      <c r="C711">
        <v>0.06</v>
      </c>
      <c r="D711">
        <v>0.52</v>
      </c>
      <c r="E711" s="2">
        <v>1420642831.58</v>
      </c>
      <c r="F711" t="s">
        <v>156</v>
      </c>
      <c r="G711" t="s">
        <v>157</v>
      </c>
      <c r="H711">
        <v>61.11</v>
      </c>
      <c r="I711">
        <v>16.3690476190476</v>
      </c>
    </row>
    <row r="712" spans="1:8">
      <c r="A712">
        <v>139</v>
      </c>
      <c r="B712">
        <v>0.38</v>
      </c>
      <c r="C712">
        <v>0.16</v>
      </c>
      <c r="D712">
        <v>4.35</v>
      </c>
      <c r="E712" s="2">
        <v>3215677830.02</v>
      </c>
      <c r="F712" t="s">
        <v>78</v>
      </c>
      <c r="G712">
        <v>2.48</v>
      </c>
      <c r="H712">
        <v>21.8390804597701</v>
      </c>
    </row>
    <row r="713" spans="1:10">
      <c r="A713">
        <v>138</v>
      </c>
      <c r="B713">
        <v>0.95</v>
      </c>
      <c r="C713">
        <v>0.73</v>
      </c>
      <c r="D713">
        <v>1.36</v>
      </c>
      <c r="E713" s="2">
        <v>824070957.93</v>
      </c>
      <c r="F713" t="s">
        <v>72</v>
      </c>
      <c r="G713">
        <v>0.33</v>
      </c>
      <c r="H713">
        <v>1.24858115777525</v>
      </c>
      <c r="I713">
        <v>2.3019</v>
      </c>
      <c r="J713">
        <v>1.827</v>
      </c>
    </row>
    <row r="714" spans="1:8">
      <c r="A714">
        <v>136</v>
      </c>
      <c r="B714">
        <v>0.455</v>
      </c>
      <c r="C714">
        <v>0.09</v>
      </c>
      <c r="D714">
        <v>0.71</v>
      </c>
      <c r="E714" s="2">
        <v>32747798360.73</v>
      </c>
      <c r="F714" t="s">
        <v>461</v>
      </c>
      <c r="G714">
        <v>45.88</v>
      </c>
      <c r="H714">
        <v>105.95238095238</v>
      </c>
    </row>
    <row r="715" spans="1:10">
      <c r="A715">
        <v>129</v>
      </c>
      <c r="B715">
        <v>1.2</v>
      </c>
      <c r="C715">
        <v>1.11</v>
      </c>
      <c r="D715">
        <v>2.27</v>
      </c>
      <c r="E715" s="2">
        <v>1558980279.6</v>
      </c>
      <c r="F715" t="s">
        <v>304</v>
      </c>
      <c r="G715">
        <v>0.1</v>
      </c>
      <c r="H715">
        <v>1.13036925395629</v>
      </c>
      <c r="I715">
        <v>1.6122</v>
      </c>
      <c r="J715">
        <v>1.541</v>
      </c>
    </row>
    <row r="716" spans="1:10">
      <c r="A716">
        <v>127</v>
      </c>
      <c r="B716">
        <v>17.6</v>
      </c>
      <c r="C716">
        <v>13.31</v>
      </c>
      <c r="D716">
        <v>30.3</v>
      </c>
      <c r="E716" s="2">
        <v>34298991040.42</v>
      </c>
      <c r="F716" t="s">
        <v>166</v>
      </c>
      <c r="G716">
        <v>0.94</v>
      </c>
      <c r="H716">
        <v>14.1630563213863</v>
      </c>
      <c r="I716">
        <v>3.9222</v>
      </c>
      <c r="J716">
        <v>3.817</v>
      </c>
    </row>
    <row r="717" spans="1:10">
      <c r="A717">
        <v>111</v>
      </c>
      <c r="B717">
        <v>0.9</v>
      </c>
      <c r="C717">
        <v>0.7</v>
      </c>
      <c r="D717">
        <v>2.44</v>
      </c>
      <c r="E717" s="2">
        <v>589909152</v>
      </c>
      <c r="F717" t="s">
        <v>767</v>
      </c>
      <c r="G717">
        <v>0.78</v>
      </c>
      <c r="H717">
        <v>2.96965784377017</v>
      </c>
      <c r="I717">
        <v>20.8965</v>
      </c>
      <c r="J717">
        <v>18.182</v>
      </c>
    </row>
    <row r="718" spans="1:10">
      <c r="A718">
        <v>101</v>
      </c>
      <c r="B718">
        <v>14.54</v>
      </c>
      <c r="C718">
        <v>13</v>
      </c>
      <c r="D718">
        <v>26.45</v>
      </c>
      <c r="E718" s="2">
        <v>66648143429.4</v>
      </c>
      <c r="F718" t="s">
        <v>76</v>
      </c>
      <c r="G718">
        <v>0.52</v>
      </c>
      <c r="H718">
        <v>6.60928510903982</v>
      </c>
      <c r="I718">
        <v>13.0888</v>
      </c>
      <c r="J718">
        <v>5.493</v>
      </c>
    </row>
    <row r="719" spans="1:10">
      <c r="A719">
        <v>95</v>
      </c>
      <c r="B719">
        <v>2.23</v>
      </c>
      <c r="C719">
        <v>1.7</v>
      </c>
      <c r="D719">
        <v>4.2</v>
      </c>
      <c r="E719" s="2">
        <v>10419753798.24</v>
      </c>
      <c r="F719" t="s">
        <v>222</v>
      </c>
      <c r="G719">
        <v>3.82</v>
      </c>
      <c r="H719">
        <v>15.4059680777238</v>
      </c>
      <c r="I719">
        <v>638.2307</v>
      </c>
      <c r="J719">
        <v>168.595</v>
      </c>
    </row>
    <row r="720" spans="1:8">
      <c r="A720">
        <v>90</v>
      </c>
      <c r="B720">
        <v>1.13</v>
      </c>
      <c r="C720">
        <v>0.72</v>
      </c>
      <c r="D720">
        <v>3.68</v>
      </c>
      <c r="E720" s="2">
        <v>509046000</v>
      </c>
      <c r="F720" t="s">
        <v>567</v>
      </c>
      <c r="G720">
        <v>0.97</v>
      </c>
      <c r="H720">
        <v>0.855601756508782</v>
      </c>
    </row>
    <row r="721" spans="1:10">
      <c r="A721">
        <v>85</v>
      </c>
      <c r="B721">
        <v>2.4</v>
      </c>
      <c r="C721">
        <v>1.47</v>
      </c>
      <c r="D721">
        <v>4.83</v>
      </c>
      <c r="E721" s="2">
        <v>4891991520</v>
      </c>
      <c r="F721" t="s">
        <v>689</v>
      </c>
      <c r="G721">
        <v>4.17</v>
      </c>
      <c r="H721">
        <v>3.15858453473132</v>
      </c>
      <c r="I721">
        <v>28.7582</v>
      </c>
      <c r="J721">
        <v>21.99</v>
      </c>
    </row>
    <row r="722" spans="1:8">
      <c r="A722">
        <v>82</v>
      </c>
      <c r="B722">
        <v>0.41</v>
      </c>
      <c r="C722">
        <v>0.365</v>
      </c>
      <c r="D722">
        <v>1.11</v>
      </c>
      <c r="E722" s="2">
        <v>1451087115.28</v>
      </c>
      <c r="F722" t="s">
        <v>781</v>
      </c>
      <c r="G722">
        <v>0.46</v>
      </c>
      <c r="H722">
        <v>0.710823909531502</v>
      </c>
    </row>
    <row r="723" spans="1:10">
      <c r="A723">
        <v>80</v>
      </c>
      <c r="B723">
        <v>0.199</v>
      </c>
      <c r="C723">
        <v>0.161</v>
      </c>
      <c r="D723">
        <v>0.91</v>
      </c>
      <c r="E723" s="2">
        <v>179872920</v>
      </c>
      <c r="F723" t="s">
        <v>75</v>
      </c>
      <c r="G723">
        <v>0.3</v>
      </c>
      <c r="H723">
        <v>92.3809523809524</v>
      </c>
      <c r="I723">
        <v>1.3193</v>
      </c>
      <c r="J723">
        <v>0.457</v>
      </c>
    </row>
    <row r="724" spans="1:10">
      <c r="A724">
        <v>75</v>
      </c>
      <c r="B724">
        <v>3.63</v>
      </c>
      <c r="C724">
        <v>2.2</v>
      </c>
      <c r="D724">
        <v>7.64</v>
      </c>
      <c r="E724" s="2">
        <v>2958362435.5</v>
      </c>
      <c r="F724" t="s">
        <v>217</v>
      </c>
      <c r="G724">
        <v>0.46</v>
      </c>
      <c r="H724">
        <v>13.352580295922</v>
      </c>
      <c r="I724">
        <v>6.1345</v>
      </c>
      <c r="J724">
        <v>9.501</v>
      </c>
    </row>
    <row r="725" spans="1:8">
      <c r="A725">
        <v>73</v>
      </c>
      <c r="B725">
        <v>0.56</v>
      </c>
      <c r="C725">
        <v>0.44</v>
      </c>
      <c r="D725">
        <v>2</v>
      </c>
      <c r="E725" s="2">
        <v>724789972.72</v>
      </c>
      <c r="F725" t="s">
        <v>474</v>
      </c>
      <c r="G725">
        <v>0.18</v>
      </c>
      <c r="H725">
        <v>0.775924984856753</v>
      </c>
    </row>
    <row r="726" spans="1:10">
      <c r="A726">
        <v>54</v>
      </c>
      <c r="B726">
        <v>24.85</v>
      </c>
      <c r="C726">
        <v>21.45</v>
      </c>
      <c r="D726">
        <v>31</v>
      </c>
      <c r="E726" s="2">
        <v>21757965525</v>
      </c>
      <c r="F726" t="s">
        <v>971</v>
      </c>
      <c r="G726">
        <v>0.47</v>
      </c>
      <c r="H726">
        <v>11.0590108820667</v>
      </c>
      <c r="I726">
        <v>7.672</v>
      </c>
      <c r="J726">
        <v>7.345</v>
      </c>
    </row>
    <row r="727" spans="1:10">
      <c r="A727">
        <v>39</v>
      </c>
      <c r="B727">
        <v>0.56</v>
      </c>
      <c r="C727">
        <v>0.43</v>
      </c>
      <c r="D727">
        <v>3.48</v>
      </c>
      <c r="E727" s="2">
        <v>2523576466.08</v>
      </c>
      <c r="F727" t="s">
        <v>1099</v>
      </c>
      <c r="G727">
        <v>3.91</v>
      </c>
      <c r="H727">
        <v>2.45454545454545</v>
      </c>
      <c r="I727">
        <v>21.4207</v>
      </c>
      <c r="J727">
        <v>11.886</v>
      </c>
    </row>
    <row r="728" spans="1:10">
      <c r="A728">
        <v>35</v>
      </c>
      <c r="B728">
        <v>2.35</v>
      </c>
      <c r="C728">
        <v>2.18</v>
      </c>
      <c r="D728">
        <v>4.1</v>
      </c>
      <c r="E728" s="2">
        <v>5307955698.84</v>
      </c>
      <c r="F728" t="s">
        <v>165</v>
      </c>
      <c r="G728">
        <v>0.6</v>
      </c>
      <c r="H728">
        <v>1.23991634299372</v>
      </c>
      <c r="I728">
        <v>5.5491</v>
      </c>
      <c r="J728">
        <v>4.507</v>
      </c>
    </row>
    <row r="729" spans="1:10">
      <c r="A729">
        <v>31</v>
      </c>
      <c r="B729">
        <v>1.01</v>
      </c>
      <c r="C729">
        <v>0.78</v>
      </c>
      <c r="D729">
        <v>2.38</v>
      </c>
      <c r="E729" s="2">
        <v>3146722319.64</v>
      </c>
      <c r="F729" t="s">
        <v>73</v>
      </c>
      <c r="G729">
        <v>0.59</v>
      </c>
      <c r="H729">
        <v>1.23307543520309</v>
      </c>
      <c r="I729">
        <v>7.5698</v>
      </c>
      <c r="J729">
        <v>6.236</v>
      </c>
    </row>
    <row r="730" spans="1:10">
      <c r="A730">
        <v>29</v>
      </c>
      <c r="B730">
        <v>3.03</v>
      </c>
      <c r="C730">
        <v>2.4</v>
      </c>
      <c r="D730">
        <v>4.67</v>
      </c>
      <c r="E730" s="2">
        <v>675132116.62</v>
      </c>
      <c r="F730" t="s">
        <v>885</v>
      </c>
      <c r="G730">
        <v>0.35</v>
      </c>
      <c r="H730">
        <v>6.54955541097375</v>
      </c>
      <c r="I730">
        <v>6.6459</v>
      </c>
      <c r="J730">
        <v>5.94</v>
      </c>
    </row>
    <row r="731" spans="1:10">
      <c r="A731">
        <v>27</v>
      </c>
      <c r="B731">
        <v>26.95</v>
      </c>
      <c r="C731">
        <v>19.02</v>
      </c>
      <c r="D731">
        <v>66.8</v>
      </c>
      <c r="E731" s="2">
        <v>115253829176.25</v>
      </c>
      <c r="F731" t="s">
        <v>925</v>
      </c>
      <c r="G731">
        <v>2.8</v>
      </c>
      <c r="H731">
        <v>2.26026939403054</v>
      </c>
      <c r="I731">
        <v>27.6983</v>
      </c>
      <c r="J731">
        <v>9.203</v>
      </c>
    </row>
    <row r="732" spans="1:10">
      <c r="A732">
        <v>15</v>
      </c>
      <c r="B732">
        <v>0.55</v>
      </c>
      <c r="C732">
        <v>0.49</v>
      </c>
      <c r="D732">
        <v>0.94</v>
      </c>
      <c r="E732" s="2">
        <v>960665420</v>
      </c>
      <c r="F732" t="s">
        <v>74</v>
      </c>
      <c r="G732">
        <v>0.41</v>
      </c>
      <c r="H732">
        <v>0.277217741935483</v>
      </c>
      <c r="I732">
        <v>7.1425</v>
      </c>
      <c r="J732">
        <v>6.494</v>
      </c>
    </row>
    <row r="733" spans="1:10">
      <c r="A733">
        <v>5</v>
      </c>
      <c r="B733">
        <v>49.65</v>
      </c>
      <c r="C733">
        <v>47.65</v>
      </c>
      <c r="D733">
        <v>84.4</v>
      </c>
      <c r="E733" s="2">
        <v>990325584909.75</v>
      </c>
      <c r="F733" t="s">
        <v>459</v>
      </c>
      <c r="G733">
        <v>0.68</v>
      </c>
      <c r="H733">
        <v>1.79527066008684</v>
      </c>
      <c r="I733">
        <v>10.1638</v>
      </c>
      <c r="J733">
        <v>9.86</v>
      </c>
    </row>
  </sheetData>
  <autoFilter ref="A1:L733"/>
  <pageMargins left="0.699305555555556" right="0.699305555555556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/>
  <dimension ref="A2:M105"/>
  <sheetViews>
    <sheetView workbookViewId="0">
      <selection activeCell="G80" sqref="G2:J80"/>
    </sheetView>
  </sheetViews>
  <sheetFormatPr defaultColWidth="9" defaultRowHeight="13.5"/>
  <cols>
    <col min="1" max="1" width="9.5" customWidth="1"/>
    <col min="2" max="2" width="7.5" customWidth="1"/>
    <col min="3" max="3" width="6.5" customWidth="1"/>
    <col min="4" max="4" width="7.5" customWidth="1"/>
    <col min="5" max="5" width="9.5" customWidth="1"/>
    <col min="6" max="6" width="17.25" customWidth="1"/>
    <col min="7" max="7" width="9.5" customWidth="1"/>
    <col min="8" max="10" width="12.75" customWidth="1"/>
    <col min="11" max="11" width="7.5" customWidth="1"/>
    <col min="12" max="12" width="6.5" customWidth="1"/>
  </cols>
  <sheetData>
    <row r="2" s="1" customFormat="1" spans="1:13">
      <c r="A2">
        <v>10</v>
      </c>
      <c r="B2">
        <v>21.85</v>
      </c>
      <c r="C2">
        <v>19.46</v>
      </c>
      <c r="D2">
        <v>45</v>
      </c>
      <c r="E2" s="2">
        <v>29062996290.9</v>
      </c>
      <c r="F2" t="s">
        <v>930</v>
      </c>
      <c r="G2">
        <v>0.39</v>
      </c>
      <c r="H2">
        <v>2.71794221996958</v>
      </c>
      <c r="I2">
        <v>9.0511</v>
      </c>
      <c r="J2">
        <v>9.052</v>
      </c>
      <c r="K2"/>
      <c r="L2"/>
      <c r="M2"/>
    </row>
    <row r="3" spans="1:10">
      <c r="A3">
        <v>20</v>
      </c>
      <c r="B3">
        <v>34.15</v>
      </c>
      <c r="C3">
        <v>27.35</v>
      </c>
      <c r="D3">
        <v>46.8</v>
      </c>
      <c r="E3" s="2">
        <v>69286060686.7</v>
      </c>
      <c r="F3" t="s">
        <v>952</v>
      </c>
      <c r="G3">
        <v>0.34</v>
      </c>
      <c r="H3">
        <v>1.20642198589087</v>
      </c>
      <c r="I3">
        <v>4.8683</v>
      </c>
      <c r="J3">
        <v>4.868</v>
      </c>
    </row>
    <row r="4" spans="1:8">
      <c r="A4">
        <v>61</v>
      </c>
      <c r="B4">
        <v>0.035</v>
      </c>
      <c r="C4">
        <v>0.023</v>
      </c>
      <c r="D4">
        <v>0.41</v>
      </c>
      <c r="E4" s="2">
        <v>2053217719.25</v>
      </c>
      <c r="F4" t="s">
        <v>1124</v>
      </c>
      <c r="G4">
        <v>0.69</v>
      </c>
      <c r="H4">
        <v>10.9375</v>
      </c>
    </row>
    <row r="5" spans="1:10">
      <c r="A5">
        <v>109</v>
      </c>
      <c r="B5">
        <v>0.9</v>
      </c>
      <c r="C5">
        <v>0.37</v>
      </c>
      <c r="D5">
        <v>6.21</v>
      </c>
      <c r="E5" s="2">
        <v>6191909853.36</v>
      </c>
      <c r="F5" t="s">
        <v>1135</v>
      </c>
      <c r="G5">
        <v>2.24</v>
      </c>
      <c r="H5">
        <v>41.1214953271028</v>
      </c>
      <c r="I5">
        <v>470.2597</v>
      </c>
      <c r="J5">
        <v>120.548</v>
      </c>
    </row>
    <row r="6" spans="1:8">
      <c r="A6">
        <v>166</v>
      </c>
      <c r="B6">
        <v>0.142</v>
      </c>
      <c r="C6">
        <v>0.115</v>
      </c>
      <c r="D6">
        <v>0.436</v>
      </c>
      <c r="E6" s="2">
        <v>347544756.89</v>
      </c>
      <c r="F6" t="s">
        <v>888</v>
      </c>
      <c r="G6">
        <v>0.09</v>
      </c>
      <c r="H6">
        <v>2.18210361067503</v>
      </c>
    </row>
    <row r="7" spans="1:10">
      <c r="A7">
        <v>175</v>
      </c>
      <c r="B7">
        <v>3.76</v>
      </c>
      <c r="C7">
        <v>2.4</v>
      </c>
      <c r="D7">
        <v>4.72</v>
      </c>
      <c r="E7" s="2">
        <v>32567350198</v>
      </c>
      <c r="F7" t="s">
        <v>878</v>
      </c>
      <c r="G7">
        <v>1.4</v>
      </c>
      <c r="H7">
        <v>0.87638720488324</v>
      </c>
      <c r="I7">
        <v>12.0692</v>
      </c>
      <c r="J7">
        <v>12.068</v>
      </c>
    </row>
    <row r="8" spans="1:8">
      <c r="A8">
        <v>197</v>
      </c>
      <c r="B8">
        <v>0.385</v>
      </c>
      <c r="C8">
        <v>0.052</v>
      </c>
      <c r="D8">
        <v>0.495</v>
      </c>
      <c r="E8" s="2">
        <v>281380534.13</v>
      </c>
      <c r="F8" t="s">
        <v>1114</v>
      </c>
      <c r="G8">
        <v>0.1</v>
      </c>
      <c r="H8">
        <v>0.183239677498167</v>
      </c>
    </row>
    <row r="9" spans="1:10">
      <c r="A9">
        <v>217</v>
      </c>
      <c r="B9">
        <v>0.73</v>
      </c>
      <c r="C9">
        <v>0.24</v>
      </c>
      <c r="D9">
        <v>1.51</v>
      </c>
      <c r="E9" s="2">
        <v>4124201690.96</v>
      </c>
      <c r="F9" t="s">
        <v>1047</v>
      </c>
      <c r="G9">
        <v>1.49</v>
      </c>
      <c r="H9">
        <v>5.66640063846767</v>
      </c>
      <c r="I9">
        <v>50.3996</v>
      </c>
      <c r="J9">
        <v>46.405</v>
      </c>
    </row>
    <row r="10" spans="1:10">
      <c r="A10">
        <v>273</v>
      </c>
      <c r="B10">
        <v>0.315</v>
      </c>
      <c r="C10">
        <v>0.06</v>
      </c>
      <c r="D10">
        <v>0.88</v>
      </c>
      <c r="E10" s="2">
        <v>5070269448.75</v>
      </c>
      <c r="F10" t="s">
        <v>1123</v>
      </c>
      <c r="G10">
        <v>1.68</v>
      </c>
      <c r="H10">
        <v>29.7297297297297</v>
      </c>
      <c r="I10">
        <v>14.1966</v>
      </c>
      <c r="J10">
        <v>13.75</v>
      </c>
    </row>
    <row r="11" spans="1:8">
      <c r="A11">
        <v>276</v>
      </c>
      <c r="B11">
        <v>0.182</v>
      </c>
      <c r="C11">
        <v>0.107</v>
      </c>
      <c r="D11">
        <v>1.06</v>
      </c>
      <c r="E11" s="2">
        <v>316410720.25</v>
      </c>
      <c r="F11" t="s">
        <v>868</v>
      </c>
      <c r="G11">
        <v>0.25</v>
      </c>
      <c r="H11">
        <v>1.55187445510026</v>
      </c>
    </row>
    <row r="12" spans="1:10">
      <c r="A12">
        <v>305</v>
      </c>
      <c r="B12">
        <v>0.6</v>
      </c>
      <c r="C12">
        <v>0.42</v>
      </c>
      <c r="D12">
        <v>1.04</v>
      </c>
      <c r="E12" s="2">
        <v>1221136352.57</v>
      </c>
      <c r="F12" t="s">
        <v>1037</v>
      </c>
      <c r="G12">
        <v>1.04</v>
      </c>
      <c r="H12">
        <v>0.0602821401018441</v>
      </c>
      <c r="I12">
        <v>19.752</v>
      </c>
      <c r="J12">
        <v>15.438</v>
      </c>
    </row>
    <row r="13" spans="1:10">
      <c r="A13">
        <v>328</v>
      </c>
      <c r="B13">
        <v>2.92</v>
      </c>
      <c r="C13">
        <v>1.35</v>
      </c>
      <c r="D13">
        <v>3.55</v>
      </c>
      <c r="E13" s="2">
        <v>1639610647.6</v>
      </c>
      <c r="F13" t="s">
        <v>1024</v>
      </c>
      <c r="G13">
        <v>0.85</v>
      </c>
      <c r="H13">
        <v>0.58731970530248</v>
      </c>
      <c r="I13">
        <v>14.3511</v>
      </c>
      <c r="J13">
        <v>14.358</v>
      </c>
    </row>
    <row r="14" spans="1:8">
      <c r="A14">
        <v>378</v>
      </c>
      <c r="B14">
        <v>0.95</v>
      </c>
      <c r="C14">
        <v>0.65</v>
      </c>
      <c r="D14">
        <v>10.5</v>
      </c>
      <c r="E14" s="2">
        <v>5238359792.1</v>
      </c>
      <c r="F14" t="s">
        <v>926</v>
      </c>
      <c r="G14">
        <v>2.83</v>
      </c>
      <c r="H14">
        <v>85</v>
      </c>
    </row>
    <row r="15" spans="1:8">
      <c r="A15">
        <v>381</v>
      </c>
      <c r="B15">
        <v>0.05</v>
      </c>
      <c r="C15">
        <v>0.039</v>
      </c>
      <c r="D15">
        <v>0.65</v>
      </c>
      <c r="E15" s="2">
        <v>280097873.62</v>
      </c>
      <c r="F15" t="s">
        <v>864</v>
      </c>
      <c r="G15">
        <v>0.73</v>
      </c>
      <c r="H15">
        <v>0.951008645533141</v>
      </c>
    </row>
    <row r="16" spans="1:8">
      <c r="A16">
        <v>399</v>
      </c>
      <c r="B16">
        <v>1.1</v>
      </c>
      <c r="C16">
        <v>0.5</v>
      </c>
      <c r="D16">
        <v>1.46</v>
      </c>
      <c r="E16" s="2">
        <v>1610612326.4</v>
      </c>
      <c r="F16" t="s">
        <v>1125</v>
      </c>
      <c r="G16">
        <v>2.16</v>
      </c>
      <c r="H16">
        <v>36.5448504983388</v>
      </c>
    </row>
    <row r="17" spans="1:8">
      <c r="A17">
        <v>467</v>
      </c>
      <c r="B17">
        <v>0.34</v>
      </c>
      <c r="C17">
        <v>0.33</v>
      </c>
      <c r="D17">
        <v>1.65</v>
      </c>
      <c r="E17" s="2">
        <v>4449145268.18</v>
      </c>
      <c r="F17" t="s">
        <v>993</v>
      </c>
      <c r="G17">
        <v>0.65</v>
      </c>
      <c r="H17">
        <v>0.815152241668664</v>
      </c>
    </row>
    <row r="18" spans="1:10">
      <c r="A18">
        <v>558</v>
      </c>
      <c r="B18">
        <v>0.45</v>
      </c>
      <c r="C18">
        <v>0.36</v>
      </c>
      <c r="D18">
        <v>1.43</v>
      </c>
      <c r="E18" s="2">
        <v>498636600</v>
      </c>
      <c r="F18" t="s">
        <v>957</v>
      </c>
      <c r="G18">
        <v>0.28</v>
      </c>
      <c r="H18">
        <v>0.157672185193148</v>
      </c>
      <c r="I18">
        <v>4.7417</v>
      </c>
      <c r="J18">
        <v>4.731</v>
      </c>
    </row>
    <row r="19" spans="1:8">
      <c r="A19">
        <v>630</v>
      </c>
      <c r="B19">
        <v>0.375</v>
      </c>
      <c r="C19">
        <v>0.24</v>
      </c>
      <c r="D19">
        <v>1.23</v>
      </c>
      <c r="E19" s="2">
        <v>689191407.97</v>
      </c>
      <c r="F19" t="s">
        <v>895</v>
      </c>
      <c r="G19">
        <v>5.75</v>
      </c>
      <c r="H19">
        <v>1.56912637828668</v>
      </c>
    </row>
    <row r="20" spans="1:8">
      <c r="A20">
        <v>632</v>
      </c>
      <c r="B20">
        <v>0.42</v>
      </c>
      <c r="C20">
        <v>0.17</v>
      </c>
      <c r="D20">
        <v>0.74</v>
      </c>
      <c r="E20" s="2">
        <v>1395573493.36</v>
      </c>
      <c r="F20" t="s">
        <v>1115</v>
      </c>
      <c r="G20">
        <v>0.74</v>
      </c>
      <c r="H20">
        <v>1075</v>
      </c>
    </row>
    <row r="21" spans="1:8">
      <c r="A21">
        <v>663</v>
      </c>
      <c r="B21">
        <v>0.205</v>
      </c>
      <c r="C21">
        <v>0.136</v>
      </c>
      <c r="D21">
        <v>0.5</v>
      </c>
      <c r="E21" s="2">
        <v>789980946.9</v>
      </c>
      <c r="F21" t="s">
        <v>1041</v>
      </c>
      <c r="G21">
        <v>1.05</v>
      </c>
      <c r="H21">
        <v>9.94949494949495</v>
      </c>
    </row>
    <row r="22" spans="1:10">
      <c r="A22">
        <v>688</v>
      </c>
      <c r="B22">
        <v>24.5</v>
      </c>
      <c r="C22">
        <v>19.8</v>
      </c>
      <c r="D22">
        <v>34.05</v>
      </c>
      <c r="E22" s="2">
        <v>239612127558.3</v>
      </c>
      <c r="F22" t="s">
        <v>1061</v>
      </c>
      <c r="G22">
        <v>1.25</v>
      </c>
      <c r="H22">
        <v>1.61422108850315</v>
      </c>
      <c r="I22">
        <v>7.1929</v>
      </c>
      <c r="J22">
        <v>6.731</v>
      </c>
    </row>
    <row r="23" spans="1:10">
      <c r="A23">
        <v>707</v>
      </c>
      <c r="B23">
        <v>0.25</v>
      </c>
      <c r="C23">
        <v>0.15</v>
      </c>
      <c r="D23">
        <v>0.74</v>
      </c>
      <c r="E23" s="2">
        <v>519190200</v>
      </c>
      <c r="F23" t="s">
        <v>1076</v>
      </c>
      <c r="G23">
        <v>1.23</v>
      </c>
      <c r="H23">
        <v>1.02650913548849</v>
      </c>
      <c r="I23">
        <v>19.999</v>
      </c>
      <c r="J23">
        <v>13.636</v>
      </c>
    </row>
    <row r="24" spans="1:10">
      <c r="A24">
        <v>727</v>
      </c>
      <c r="B24">
        <v>1.4</v>
      </c>
      <c r="C24">
        <v>0.37</v>
      </c>
      <c r="D24">
        <v>1.75</v>
      </c>
      <c r="E24" s="2">
        <v>4747600000</v>
      </c>
      <c r="F24" t="s">
        <v>934</v>
      </c>
      <c r="G24">
        <v>6.72</v>
      </c>
      <c r="H24">
        <v>873.684210526315</v>
      </c>
      <c r="I24">
        <v>30.6164</v>
      </c>
      <c r="J24">
        <v>20.881</v>
      </c>
    </row>
    <row r="25" spans="1:10">
      <c r="A25">
        <v>787</v>
      </c>
      <c r="B25">
        <v>0.94</v>
      </c>
      <c r="C25">
        <v>0.84</v>
      </c>
      <c r="D25">
        <v>2.1</v>
      </c>
      <c r="E25" s="2">
        <v>7961845061.1</v>
      </c>
      <c r="F25" t="s">
        <v>1055</v>
      </c>
      <c r="G25">
        <v>0.4</v>
      </c>
      <c r="H25">
        <v>0.299916565421411</v>
      </c>
      <c r="I25">
        <v>9.8503</v>
      </c>
      <c r="J25">
        <v>9.824</v>
      </c>
    </row>
    <row r="26" spans="1:8">
      <c r="A26">
        <v>810</v>
      </c>
      <c r="B26">
        <v>0.51</v>
      </c>
      <c r="C26">
        <v>0.3</v>
      </c>
      <c r="D26">
        <v>1.78</v>
      </c>
      <c r="E26" s="2">
        <v>208549687.5</v>
      </c>
      <c r="F26" t="s">
        <v>1084</v>
      </c>
      <c r="G26">
        <v>0.72</v>
      </c>
      <c r="H26">
        <v>1.8720217835262</v>
      </c>
    </row>
    <row r="27" spans="1:10">
      <c r="A27">
        <v>880</v>
      </c>
      <c r="B27">
        <v>5.28</v>
      </c>
      <c r="C27">
        <v>4.43</v>
      </c>
      <c r="D27">
        <v>21</v>
      </c>
      <c r="E27" s="2">
        <v>29414992323.6</v>
      </c>
      <c r="F27" t="s">
        <v>1008</v>
      </c>
      <c r="G27">
        <v>1.26</v>
      </c>
      <c r="H27">
        <v>0.597982957485711</v>
      </c>
      <c r="I27">
        <v>11.9331</v>
      </c>
      <c r="J27">
        <v>11.932</v>
      </c>
    </row>
    <row r="28" spans="1:10">
      <c r="A28">
        <v>881</v>
      </c>
      <c r="B28">
        <v>3.63</v>
      </c>
      <c r="C28">
        <v>2.81</v>
      </c>
      <c r="D28">
        <v>10.48</v>
      </c>
      <c r="E28" s="2">
        <v>7834750393.05</v>
      </c>
      <c r="F28" t="s">
        <v>874</v>
      </c>
      <c r="G28">
        <v>0.55</v>
      </c>
      <c r="H28">
        <v>0.114438080846194</v>
      </c>
      <c r="I28">
        <v>8.3443</v>
      </c>
      <c r="J28">
        <v>8.288</v>
      </c>
    </row>
    <row r="29" spans="1:8">
      <c r="A29">
        <v>893</v>
      </c>
      <c r="B29">
        <v>0.3</v>
      </c>
      <c r="C29">
        <v>0.211</v>
      </c>
      <c r="D29">
        <v>1</v>
      </c>
      <c r="E29" s="2">
        <v>612125000</v>
      </c>
      <c r="F29" t="s">
        <v>986</v>
      </c>
      <c r="G29">
        <v>0.25</v>
      </c>
      <c r="H29">
        <v>0.981066970524724</v>
      </c>
    </row>
    <row r="30" spans="1:10">
      <c r="A30">
        <v>916</v>
      </c>
      <c r="B30">
        <v>5.34</v>
      </c>
      <c r="C30">
        <v>3.6</v>
      </c>
      <c r="D30">
        <v>11.36</v>
      </c>
      <c r="E30" s="2">
        <v>17334750510</v>
      </c>
      <c r="F30" t="s">
        <v>1006</v>
      </c>
      <c r="G30">
        <v>0.92</v>
      </c>
      <c r="H30">
        <v>1.72116150863248</v>
      </c>
      <c r="I30">
        <v>12.1296</v>
      </c>
      <c r="J30">
        <v>12.129</v>
      </c>
    </row>
    <row r="31" spans="1:10">
      <c r="A31">
        <v>938</v>
      </c>
      <c r="B31">
        <v>0.74</v>
      </c>
      <c r="C31">
        <v>0.55</v>
      </c>
      <c r="D31">
        <v>2.13</v>
      </c>
      <c r="E31" s="2">
        <v>1350347277.6</v>
      </c>
      <c r="F31" t="s">
        <v>1069</v>
      </c>
      <c r="G31">
        <v>1.36</v>
      </c>
      <c r="H31">
        <v>5.41746335245379</v>
      </c>
      <c r="I31">
        <v>122.9936</v>
      </c>
      <c r="J31">
        <v>101.19</v>
      </c>
    </row>
    <row r="32" spans="1:8">
      <c r="A32">
        <v>969</v>
      </c>
      <c r="B32">
        <v>0.35</v>
      </c>
      <c r="C32">
        <v>0.23</v>
      </c>
      <c r="D32">
        <v>0.75</v>
      </c>
      <c r="E32" s="2">
        <v>723089400</v>
      </c>
      <c r="F32" t="s">
        <v>1101</v>
      </c>
      <c r="G32">
        <v>1.42</v>
      </c>
      <c r="H32">
        <v>1.7915309446254</v>
      </c>
    </row>
    <row r="33" spans="1:8">
      <c r="A33">
        <v>975</v>
      </c>
      <c r="B33">
        <v>0.045</v>
      </c>
      <c r="C33">
        <v>0.026</v>
      </c>
      <c r="D33">
        <v>0.836</v>
      </c>
      <c r="E33" s="2">
        <v>398291423.75</v>
      </c>
      <c r="F33" t="s">
        <v>849</v>
      </c>
      <c r="G33">
        <v>0.17</v>
      </c>
      <c r="H33">
        <v>0.342395834428203</v>
      </c>
    </row>
    <row r="34" spans="1:10">
      <c r="A34">
        <v>982</v>
      </c>
      <c r="B34">
        <v>0.233</v>
      </c>
      <c r="C34">
        <v>0.18</v>
      </c>
      <c r="D34">
        <v>0.74</v>
      </c>
      <c r="E34" s="2">
        <v>2079200000</v>
      </c>
      <c r="F34" t="s">
        <v>1070</v>
      </c>
      <c r="G34">
        <v>23.54</v>
      </c>
      <c r="H34">
        <v>12.7683615819209</v>
      </c>
      <c r="I34">
        <v>117.7017</v>
      </c>
      <c r="J34">
        <v>118.947</v>
      </c>
    </row>
    <row r="35" spans="1:8">
      <c r="A35">
        <v>986</v>
      </c>
      <c r="B35">
        <v>0.177</v>
      </c>
      <c r="C35">
        <v>0.082</v>
      </c>
      <c r="D35">
        <v>1.345</v>
      </c>
      <c r="E35" s="2">
        <v>662384693.86</v>
      </c>
      <c r="F35" t="s">
        <v>859</v>
      </c>
      <c r="G35">
        <v>0.49</v>
      </c>
      <c r="H35">
        <v>8.23255813953488</v>
      </c>
    </row>
    <row r="36" spans="1:10">
      <c r="A36">
        <v>987</v>
      </c>
      <c r="B36">
        <v>0.255</v>
      </c>
      <c r="C36">
        <v>0.163</v>
      </c>
      <c r="D36">
        <v>0.45</v>
      </c>
      <c r="E36" s="2">
        <v>582023845.22</v>
      </c>
      <c r="F36" t="s">
        <v>1058</v>
      </c>
      <c r="G36">
        <v>0.36</v>
      </c>
      <c r="H36">
        <v>4.17229729729729</v>
      </c>
      <c r="I36">
        <v>14.3873</v>
      </c>
      <c r="J36">
        <v>14.36</v>
      </c>
    </row>
    <row r="37" spans="1:10">
      <c r="A37">
        <v>1087</v>
      </c>
      <c r="B37">
        <v>2.6</v>
      </c>
      <c r="C37">
        <v>0.98</v>
      </c>
      <c r="D37">
        <v>6.62</v>
      </c>
      <c r="E37" s="2">
        <v>2238600000</v>
      </c>
      <c r="F37" t="s">
        <v>1103</v>
      </c>
      <c r="G37">
        <v>1.71</v>
      </c>
      <c r="H37">
        <v>0.849416376366534</v>
      </c>
      <c r="I37">
        <v>36.2542</v>
      </c>
      <c r="J37">
        <v>33.45</v>
      </c>
    </row>
    <row r="38" spans="1:10">
      <c r="A38">
        <v>1088</v>
      </c>
      <c r="B38">
        <v>12.58</v>
      </c>
      <c r="C38">
        <v>10.12</v>
      </c>
      <c r="D38">
        <v>24.4</v>
      </c>
      <c r="E38" s="2">
        <v>42278366300</v>
      </c>
      <c r="F38" t="s">
        <v>938</v>
      </c>
      <c r="G38">
        <v>0.67</v>
      </c>
      <c r="H38">
        <v>1.14389716343903</v>
      </c>
      <c r="I38">
        <v>5.1146</v>
      </c>
      <c r="J38">
        <v>5.115</v>
      </c>
    </row>
    <row r="39" spans="1:10">
      <c r="A39">
        <v>1098</v>
      </c>
      <c r="B39">
        <v>6.17</v>
      </c>
      <c r="C39">
        <v>5.92</v>
      </c>
      <c r="D39">
        <v>8.28</v>
      </c>
      <c r="E39" s="2">
        <v>4572807977.88</v>
      </c>
      <c r="F39" t="s">
        <v>1012</v>
      </c>
      <c r="G39">
        <v>0.35</v>
      </c>
      <c r="H39">
        <v>0.36177586287641</v>
      </c>
      <c r="I39">
        <v>5.5766</v>
      </c>
      <c r="J39">
        <v>5.552</v>
      </c>
    </row>
    <row r="40" spans="1:8">
      <c r="A40">
        <v>1102</v>
      </c>
      <c r="B40">
        <v>0.14</v>
      </c>
      <c r="C40">
        <v>0.07</v>
      </c>
      <c r="D40">
        <v>0.64</v>
      </c>
      <c r="E40" s="2">
        <v>973260394.18</v>
      </c>
      <c r="F40" t="s">
        <v>965</v>
      </c>
      <c r="G40">
        <v>2.58</v>
      </c>
      <c r="H40">
        <v>72.6315789473684</v>
      </c>
    </row>
    <row r="41" spans="1:10">
      <c r="A41">
        <v>1132</v>
      </c>
      <c r="B41">
        <v>0.56</v>
      </c>
      <c r="C41">
        <v>0.35</v>
      </c>
      <c r="D41">
        <v>1.05</v>
      </c>
      <c r="E41" s="2">
        <v>1508385586.4</v>
      </c>
      <c r="F41" t="s">
        <v>1025</v>
      </c>
      <c r="G41">
        <v>0.85</v>
      </c>
      <c r="H41">
        <v>1.09126984126984</v>
      </c>
      <c r="I41">
        <v>118.4813</v>
      </c>
      <c r="J41">
        <v>117.021</v>
      </c>
    </row>
    <row r="42" spans="1:8">
      <c r="A42">
        <v>1150</v>
      </c>
      <c r="B42">
        <v>0.8</v>
      </c>
      <c r="C42">
        <v>0.47</v>
      </c>
      <c r="D42">
        <v>2.6</v>
      </c>
      <c r="E42" s="2">
        <v>602963430</v>
      </c>
      <c r="F42" t="s">
        <v>1130</v>
      </c>
      <c r="G42">
        <v>2.27</v>
      </c>
      <c r="H42">
        <v>1.50745257452574</v>
      </c>
    </row>
    <row r="43" spans="1:8">
      <c r="A43">
        <v>1205</v>
      </c>
      <c r="B43">
        <v>0.69</v>
      </c>
      <c r="C43">
        <v>0.51</v>
      </c>
      <c r="D43">
        <v>2.61</v>
      </c>
      <c r="E43" s="2">
        <v>5343254461.32</v>
      </c>
      <c r="F43" t="s">
        <v>935</v>
      </c>
      <c r="G43">
        <v>1.28</v>
      </c>
      <c r="H43">
        <v>1.36655948553054</v>
      </c>
    </row>
    <row r="44" spans="1:10">
      <c r="A44">
        <v>1282</v>
      </c>
      <c r="B44">
        <v>1</v>
      </c>
      <c r="C44">
        <v>0.19</v>
      </c>
      <c r="D44">
        <v>1.94</v>
      </c>
      <c r="E44" s="2">
        <v>22410542024</v>
      </c>
      <c r="F44" t="s">
        <v>1094</v>
      </c>
      <c r="G44">
        <v>5.4</v>
      </c>
      <c r="H44">
        <v>27.9569892473118</v>
      </c>
      <c r="I44">
        <v>123.347</v>
      </c>
      <c r="J44">
        <v>44.068</v>
      </c>
    </row>
    <row r="45" spans="1:10">
      <c r="A45">
        <v>1317</v>
      </c>
      <c r="B45">
        <v>4.7</v>
      </c>
      <c r="C45">
        <v>1.7</v>
      </c>
      <c r="D45">
        <v>5.02</v>
      </c>
      <c r="E45" s="2">
        <v>6295318400</v>
      </c>
      <c r="F45" t="s">
        <v>1044</v>
      </c>
      <c r="G45">
        <v>2.92</v>
      </c>
      <c r="H45">
        <v>7.67323042752406</v>
      </c>
      <c r="I45">
        <v>25.2014</v>
      </c>
      <c r="J45">
        <v>22.281</v>
      </c>
    </row>
    <row r="46" spans="1:8">
      <c r="A46">
        <v>1380</v>
      </c>
      <c r="B46">
        <v>0.074</v>
      </c>
      <c r="C46">
        <v>0.038</v>
      </c>
      <c r="D46">
        <v>0.33</v>
      </c>
      <c r="E46" s="2">
        <v>258449794.73</v>
      </c>
      <c r="F46" t="s">
        <v>850</v>
      </c>
      <c r="G46">
        <v>0.62</v>
      </c>
      <c r="H46">
        <v>35.4943209086546</v>
      </c>
    </row>
    <row r="47" spans="1:10">
      <c r="A47">
        <v>1448</v>
      </c>
      <c r="B47">
        <v>5.54</v>
      </c>
      <c r="C47">
        <v>2.95</v>
      </c>
      <c r="D47">
        <v>6.3</v>
      </c>
      <c r="E47" s="2">
        <v>11534434381.92</v>
      </c>
      <c r="F47" t="s">
        <v>1073</v>
      </c>
      <c r="G47">
        <v>4.34</v>
      </c>
      <c r="H47">
        <v>8.25027200115503</v>
      </c>
      <c r="I47">
        <v>33.9707</v>
      </c>
      <c r="J47">
        <v>33.803</v>
      </c>
    </row>
    <row r="48" spans="1:10">
      <c r="A48">
        <v>1483</v>
      </c>
      <c r="B48">
        <v>0.77</v>
      </c>
      <c r="C48">
        <v>0.34</v>
      </c>
      <c r="D48">
        <v>0.91</v>
      </c>
      <c r="E48" s="2">
        <v>348750000</v>
      </c>
      <c r="F48" t="s">
        <v>1148</v>
      </c>
      <c r="G48">
        <v>3.61</v>
      </c>
      <c r="H48">
        <v>0.870473537604456</v>
      </c>
      <c r="I48">
        <v>16.2747</v>
      </c>
      <c r="J48">
        <v>13.812</v>
      </c>
    </row>
    <row r="49" spans="1:10">
      <c r="A49">
        <v>1488</v>
      </c>
      <c r="B49">
        <v>1.29</v>
      </c>
      <c r="C49">
        <v>0.45</v>
      </c>
      <c r="D49">
        <v>1.99</v>
      </c>
      <c r="E49" s="2">
        <v>1014750000</v>
      </c>
      <c r="F49" t="s">
        <v>896</v>
      </c>
      <c r="G49">
        <v>3.57</v>
      </c>
      <c r="H49">
        <v>1.53080273802115</v>
      </c>
      <c r="I49">
        <v>101.3433</v>
      </c>
      <c r="J49">
        <v>101.653</v>
      </c>
    </row>
    <row r="50" spans="1:8">
      <c r="A50">
        <v>1557</v>
      </c>
      <c r="B50">
        <v>1.78</v>
      </c>
      <c r="C50">
        <v>1.15</v>
      </c>
      <c r="D50">
        <v>2.24</v>
      </c>
      <c r="E50" s="2">
        <v>672000000</v>
      </c>
      <c r="F50" t="s">
        <v>1118</v>
      </c>
      <c r="G50">
        <v>4.28</v>
      </c>
      <c r="H50">
        <v>14.4265</v>
      </c>
    </row>
    <row r="51" spans="1:8">
      <c r="A51">
        <v>1588</v>
      </c>
      <c r="B51">
        <v>12.28</v>
      </c>
      <c r="C51">
        <v>10.98</v>
      </c>
      <c r="D51">
        <v>46.45</v>
      </c>
      <c r="E51" s="2">
        <v>613800000</v>
      </c>
      <c r="F51" t="s">
        <v>1080</v>
      </c>
      <c r="G51">
        <v>2.29</v>
      </c>
      <c r="H51">
        <v>4.89685872831106</v>
      </c>
    </row>
    <row r="52" spans="1:10">
      <c r="A52">
        <v>1613</v>
      </c>
      <c r="B52">
        <v>0.057</v>
      </c>
      <c r="C52">
        <v>0.04</v>
      </c>
      <c r="D52">
        <v>0.89</v>
      </c>
      <c r="E52" s="2">
        <v>477204000</v>
      </c>
      <c r="F52" t="s">
        <v>855</v>
      </c>
      <c r="G52">
        <v>0.58</v>
      </c>
      <c r="H52">
        <v>4.63414634146341</v>
      </c>
      <c r="I52">
        <v>2.8288</v>
      </c>
      <c r="J52">
        <v>10.755</v>
      </c>
    </row>
    <row r="53" spans="1:8">
      <c r="A53">
        <v>1662</v>
      </c>
      <c r="B53">
        <v>0.97</v>
      </c>
      <c r="C53">
        <v>0.81</v>
      </c>
      <c r="D53">
        <v>1.9</v>
      </c>
      <c r="E53" s="2">
        <v>570000000</v>
      </c>
      <c r="F53" t="s">
        <v>1007</v>
      </c>
      <c r="G53">
        <v>2.42</v>
      </c>
      <c r="H53">
        <v>6.6278</v>
      </c>
    </row>
    <row r="54" spans="1:8">
      <c r="A54">
        <v>1822</v>
      </c>
      <c r="B54">
        <v>0.28</v>
      </c>
      <c r="C54">
        <v>0.17</v>
      </c>
      <c r="D54">
        <v>0.7</v>
      </c>
      <c r="E54" s="2">
        <v>1879598750</v>
      </c>
      <c r="F54" t="s">
        <v>953</v>
      </c>
      <c r="G54">
        <v>2.24</v>
      </c>
      <c r="H54">
        <v>3.02398331595411</v>
      </c>
    </row>
    <row r="55" spans="1:10">
      <c r="A55">
        <v>1882</v>
      </c>
      <c r="B55">
        <v>13.68</v>
      </c>
      <c r="C55">
        <v>8.67</v>
      </c>
      <c r="D55">
        <v>20.8</v>
      </c>
      <c r="E55" s="2">
        <v>21322560000</v>
      </c>
      <c r="F55" t="s">
        <v>991</v>
      </c>
      <c r="G55">
        <v>2.23</v>
      </c>
      <c r="H55">
        <v>2.32278179797526</v>
      </c>
      <c r="I55">
        <v>13.1021</v>
      </c>
      <c r="J55">
        <v>13.102</v>
      </c>
    </row>
    <row r="56" spans="1:9">
      <c r="A56">
        <v>2193</v>
      </c>
      <c r="B56">
        <v>0.84</v>
      </c>
      <c r="C56">
        <v>0.5</v>
      </c>
      <c r="D56">
        <v>1.52</v>
      </c>
      <c r="E56" s="2">
        <v>344450000</v>
      </c>
      <c r="F56" t="s">
        <v>928</v>
      </c>
      <c r="G56">
        <v>1.43</v>
      </c>
      <c r="H56">
        <v>1.45562960364784</v>
      </c>
      <c r="I56">
        <v>9.8456</v>
      </c>
    </row>
    <row r="57" spans="1:10">
      <c r="A57">
        <v>2282</v>
      </c>
      <c r="B57">
        <v>11</v>
      </c>
      <c r="C57">
        <v>7.83</v>
      </c>
      <c r="D57">
        <v>28.8</v>
      </c>
      <c r="E57" s="2">
        <v>41192000010.84</v>
      </c>
      <c r="F57" t="s">
        <v>924</v>
      </c>
      <c r="G57">
        <v>8.38</v>
      </c>
      <c r="H57">
        <v>2.39732843841917</v>
      </c>
      <c r="I57">
        <v>13.2343</v>
      </c>
      <c r="J57">
        <v>13.234</v>
      </c>
    </row>
    <row r="58" spans="1:10">
      <c r="A58">
        <v>2358</v>
      </c>
      <c r="B58">
        <v>0.15</v>
      </c>
      <c r="C58">
        <v>0.093</v>
      </c>
      <c r="D58">
        <v>0.59</v>
      </c>
      <c r="E58" s="2">
        <v>562400000</v>
      </c>
      <c r="F58" t="s">
        <v>881</v>
      </c>
      <c r="G58">
        <v>3.38</v>
      </c>
      <c r="H58">
        <v>2.78195488721804</v>
      </c>
      <c r="I58">
        <v>39.0963</v>
      </c>
      <c r="J58">
        <v>38.947</v>
      </c>
    </row>
    <row r="59" spans="1:10">
      <c r="A59">
        <v>2607</v>
      </c>
      <c r="B59">
        <v>15.14</v>
      </c>
      <c r="C59">
        <v>13.38</v>
      </c>
      <c r="D59">
        <v>29.45</v>
      </c>
      <c r="E59" s="2">
        <v>11534362435.2</v>
      </c>
      <c r="F59" t="s">
        <v>944</v>
      </c>
      <c r="G59">
        <v>1.13</v>
      </c>
      <c r="H59">
        <v>0.319789393992747</v>
      </c>
      <c r="I59">
        <v>11.7915</v>
      </c>
      <c r="J59">
        <v>11.791</v>
      </c>
    </row>
    <row r="60" spans="1:10">
      <c r="A60">
        <v>2698</v>
      </c>
      <c r="B60">
        <v>4.88</v>
      </c>
      <c r="C60">
        <v>3</v>
      </c>
      <c r="D60">
        <v>6.8</v>
      </c>
      <c r="E60" s="2">
        <v>2026733100</v>
      </c>
      <c r="F60" t="s">
        <v>1009</v>
      </c>
      <c r="G60">
        <v>0.29</v>
      </c>
      <c r="H60">
        <v>0.494486884487715</v>
      </c>
      <c r="I60">
        <v>5.0062</v>
      </c>
      <c r="J60">
        <v>5.006</v>
      </c>
    </row>
    <row r="61" spans="1:10">
      <c r="A61">
        <v>2777</v>
      </c>
      <c r="B61">
        <v>11</v>
      </c>
      <c r="C61">
        <v>6.35</v>
      </c>
      <c r="D61">
        <v>11.52</v>
      </c>
      <c r="E61" s="2">
        <v>10985095888</v>
      </c>
      <c r="F61" t="s">
        <v>1052</v>
      </c>
      <c r="G61">
        <v>0.6</v>
      </c>
      <c r="H61">
        <v>0.654472948884636</v>
      </c>
      <c r="I61">
        <v>5.2011</v>
      </c>
      <c r="J61">
        <v>5.172</v>
      </c>
    </row>
    <row r="62" spans="1:10">
      <c r="A62">
        <v>2788</v>
      </c>
      <c r="B62">
        <v>1.01</v>
      </c>
      <c r="C62">
        <v>0.79</v>
      </c>
      <c r="D62">
        <v>1.19</v>
      </c>
      <c r="E62" s="2">
        <v>821102000</v>
      </c>
      <c r="F62" t="s">
        <v>1033</v>
      </c>
      <c r="G62">
        <v>0.79</v>
      </c>
      <c r="H62">
        <v>1.31660472919152</v>
      </c>
      <c r="I62">
        <v>26.2694</v>
      </c>
      <c r="J62">
        <v>26.385</v>
      </c>
    </row>
    <row r="63" spans="1:7">
      <c r="A63">
        <v>3110</v>
      </c>
      <c r="B63">
        <v>21.65</v>
      </c>
      <c r="C63">
        <v>19.38</v>
      </c>
      <c r="D63">
        <v>28.4</v>
      </c>
      <c r="E63" s="2">
        <v>257400000</v>
      </c>
      <c r="F63" t="s">
        <v>1019</v>
      </c>
      <c r="G63">
        <v>0</v>
      </c>
    </row>
    <row r="64" spans="1:10">
      <c r="A64">
        <v>3336</v>
      </c>
      <c r="B64">
        <v>3.92</v>
      </c>
      <c r="C64">
        <v>2.58</v>
      </c>
      <c r="D64">
        <v>5.72</v>
      </c>
      <c r="E64" s="2">
        <v>4367911021.5</v>
      </c>
      <c r="F64" t="s">
        <v>1119</v>
      </c>
      <c r="G64">
        <v>0.67</v>
      </c>
      <c r="H64">
        <v>0.480484920165582</v>
      </c>
      <c r="I64">
        <v>4.9921</v>
      </c>
      <c r="J64">
        <v>5.072</v>
      </c>
    </row>
    <row r="65" spans="1:8">
      <c r="A65">
        <v>3344</v>
      </c>
      <c r="B65">
        <v>1.33</v>
      </c>
      <c r="C65">
        <v>0.88</v>
      </c>
      <c r="D65">
        <v>1.98</v>
      </c>
      <c r="E65" s="2">
        <v>938622108.97</v>
      </c>
      <c r="F65" t="s">
        <v>1112</v>
      </c>
      <c r="G65">
        <v>0.82</v>
      </c>
      <c r="H65">
        <v>0.96910521713786</v>
      </c>
    </row>
    <row r="66" spans="1:10">
      <c r="A66">
        <v>3839</v>
      </c>
      <c r="B66">
        <v>2.32</v>
      </c>
      <c r="C66">
        <v>1.5</v>
      </c>
      <c r="D66">
        <v>8</v>
      </c>
      <c r="E66" s="2">
        <v>531987465.1</v>
      </c>
      <c r="F66" t="s">
        <v>1005</v>
      </c>
      <c r="G66">
        <v>0.46</v>
      </c>
      <c r="H66">
        <v>0.661755052792527</v>
      </c>
      <c r="I66">
        <v>8.3893</v>
      </c>
      <c r="J66">
        <v>8.231</v>
      </c>
    </row>
    <row r="67" spans="1:10">
      <c r="A67">
        <v>3933</v>
      </c>
      <c r="B67">
        <v>2.95</v>
      </c>
      <c r="C67">
        <v>2.7</v>
      </c>
      <c r="D67">
        <v>6.56</v>
      </c>
      <c r="E67" s="2">
        <v>4913162500</v>
      </c>
      <c r="F67" t="s">
        <v>906</v>
      </c>
      <c r="G67">
        <v>0.73</v>
      </c>
      <c r="H67">
        <v>0.625841881670293</v>
      </c>
      <c r="I67">
        <v>44.5202</v>
      </c>
      <c r="J67">
        <v>44.543</v>
      </c>
    </row>
    <row r="68" spans="1:10">
      <c r="A68">
        <v>3966</v>
      </c>
      <c r="B68">
        <v>3.04</v>
      </c>
      <c r="C68">
        <v>0.61</v>
      </c>
      <c r="D68">
        <v>3.91</v>
      </c>
      <c r="E68" s="2">
        <v>1401600000</v>
      </c>
      <c r="F68" t="s">
        <v>875</v>
      </c>
      <c r="G68">
        <v>17.61</v>
      </c>
      <c r="H68">
        <v>3.85733157199471</v>
      </c>
      <c r="I68">
        <v>59.3094</v>
      </c>
      <c r="J68">
        <v>59.35</v>
      </c>
    </row>
    <row r="69" spans="1:10">
      <c r="A69">
        <v>6030</v>
      </c>
      <c r="B69">
        <v>18.08</v>
      </c>
      <c r="C69">
        <v>12.82</v>
      </c>
      <c r="D69">
        <v>40.5</v>
      </c>
      <c r="E69" s="2">
        <v>40417533398</v>
      </c>
      <c r="F69" t="s">
        <v>1039</v>
      </c>
      <c r="G69">
        <v>1.3</v>
      </c>
      <c r="H69">
        <v>2.46931999359346</v>
      </c>
      <c r="I69">
        <v>9.0947</v>
      </c>
      <c r="J69">
        <v>13.786</v>
      </c>
    </row>
    <row r="70" spans="1:8">
      <c r="A70">
        <v>6230</v>
      </c>
      <c r="B70">
        <v>23</v>
      </c>
      <c r="C70">
        <v>13.7</v>
      </c>
      <c r="D70">
        <v>53</v>
      </c>
      <c r="E70" s="2">
        <v>4723678398</v>
      </c>
      <c r="F70" t="s">
        <v>999</v>
      </c>
      <c r="G70">
        <v>0.02</v>
      </c>
      <c r="H70">
        <v>0.0182158249785871</v>
      </c>
    </row>
    <row r="71" spans="1:8">
      <c r="A71">
        <v>8129</v>
      </c>
      <c r="B71">
        <v>0.179</v>
      </c>
      <c r="C71">
        <v>0.1</v>
      </c>
      <c r="D71">
        <v>0.39</v>
      </c>
      <c r="E71" s="2">
        <v>444304850</v>
      </c>
      <c r="F71" t="s">
        <v>1131</v>
      </c>
      <c r="G71">
        <v>13.98</v>
      </c>
      <c r="H71">
        <v>59.6666666666666</v>
      </c>
    </row>
    <row r="72" spans="1:8">
      <c r="A72">
        <v>8150</v>
      </c>
      <c r="B72">
        <v>0.38</v>
      </c>
      <c r="C72">
        <v>0.128</v>
      </c>
      <c r="D72">
        <v>0.746</v>
      </c>
      <c r="E72" s="2">
        <v>394879873.64</v>
      </c>
      <c r="F72" t="s">
        <v>1098</v>
      </c>
      <c r="G72">
        <v>5.01</v>
      </c>
      <c r="H72">
        <v>25.8333333333333</v>
      </c>
    </row>
    <row r="73" spans="1:8">
      <c r="A73">
        <v>8167</v>
      </c>
      <c r="B73">
        <v>0.475</v>
      </c>
      <c r="C73">
        <v>0.13</v>
      </c>
      <c r="D73">
        <v>2.06</v>
      </c>
      <c r="E73" s="2">
        <v>3811537738</v>
      </c>
      <c r="F73" t="s">
        <v>1091</v>
      </c>
      <c r="G73">
        <v>2.95</v>
      </c>
      <c r="H73">
        <v>1.99004975124378</v>
      </c>
    </row>
    <row r="74" spans="1:8">
      <c r="A74">
        <v>8182</v>
      </c>
      <c r="B74">
        <v>0.128</v>
      </c>
      <c r="C74">
        <v>0.101</v>
      </c>
      <c r="D74">
        <v>5.51</v>
      </c>
      <c r="E74" s="2">
        <v>170180000</v>
      </c>
      <c r="F74" t="s">
        <v>960</v>
      </c>
      <c r="G74">
        <v>1.65</v>
      </c>
      <c r="H74">
        <v>1.63679831938188</v>
      </c>
    </row>
    <row r="75" spans="1:8">
      <c r="A75">
        <v>8279</v>
      </c>
      <c r="B75">
        <v>1.79</v>
      </c>
      <c r="C75">
        <v>0.54</v>
      </c>
      <c r="D75">
        <v>2.25</v>
      </c>
      <c r="E75" s="2">
        <v>8245090705.28</v>
      </c>
      <c r="F75" t="s">
        <v>1074</v>
      </c>
      <c r="G75">
        <v>7.78</v>
      </c>
      <c r="H75">
        <v>26.3868065967016</v>
      </c>
    </row>
    <row r="76" spans="1:10">
      <c r="A76">
        <v>8290</v>
      </c>
      <c r="B76">
        <v>0.164</v>
      </c>
      <c r="C76">
        <v>0</v>
      </c>
      <c r="D76">
        <v>4.7</v>
      </c>
      <c r="E76" s="2">
        <v>314000000</v>
      </c>
      <c r="F76" t="s">
        <v>1092</v>
      </c>
      <c r="G76">
        <v>3.88</v>
      </c>
      <c r="H76">
        <v>5.39518900343642</v>
      </c>
      <c r="I76">
        <v>6.9221</v>
      </c>
      <c r="J76">
        <v>5.395</v>
      </c>
    </row>
    <row r="77" spans="1:8">
      <c r="A77">
        <v>8301</v>
      </c>
      <c r="B77">
        <v>0.85</v>
      </c>
      <c r="C77">
        <v>0.19</v>
      </c>
      <c r="D77">
        <v>3</v>
      </c>
      <c r="E77" s="2">
        <v>170170000</v>
      </c>
      <c r="F77" t="s">
        <v>846</v>
      </c>
      <c r="G77">
        <v>131.25</v>
      </c>
      <c r="H77">
        <v>12.7465386774221</v>
      </c>
    </row>
    <row r="78" spans="1:10">
      <c r="A78">
        <v>8307</v>
      </c>
      <c r="B78">
        <v>0.64</v>
      </c>
      <c r="C78">
        <v>0.31</v>
      </c>
      <c r="D78">
        <v>4</v>
      </c>
      <c r="E78" s="2">
        <v>264000000</v>
      </c>
      <c r="F78" t="s">
        <v>929</v>
      </c>
      <c r="G78">
        <v>5.52</v>
      </c>
      <c r="H78">
        <v>4.15094339622641</v>
      </c>
      <c r="I78">
        <v>79.3269</v>
      </c>
      <c r="J78">
        <v>70.213</v>
      </c>
    </row>
    <row r="79" spans="1:10">
      <c r="A79">
        <v>8311</v>
      </c>
      <c r="B79">
        <v>0.93</v>
      </c>
      <c r="C79">
        <v>0.64</v>
      </c>
      <c r="D79">
        <v>3.73</v>
      </c>
      <c r="E79" s="2">
        <v>1632055866.1</v>
      </c>
      <c r="F79" t="s">
        <v>1068</v>
      </c>
      <c r="G79">
        <v>6.17</v>
      </c>
      <c r="H79">
        <v>1.27981384525887</v>
      </c>
      <c r="I79">
        <v>58.851</v>
      </c>
      <c r="J79">
        <v>58.824</v>
      </c>
    </row>
    <row r="80" spans="1:8">
      <c r="A80">
        <v>8363</v>
      </c>
      <c r="B80">
        <v>1.26</v>
      </c>
      <c r="C80">
        <v>0.73</v>
      </c>
      <c r="D80">
        <v>11.3</v>
      </c>
      <c r="E80" s="2">
        <v>238000000</v>
      </c>
      <c r="F80" t="s">
        <v>1109</v>
      </c>
      <c r="G80">
        <v>7.04</v>
      </c>
      <c r="H80">
        <v>3.69221222463543</v>
      </c>
    </row>
    <row r="81" spans="1:9">
      <c r="A81" t="s">
        <v>1498</v>
      </c>
      <c r="B81">
        <v>2.14</v>
      </c>
      <c r="C81">
        <v>1.602</v>
      </c>
      <c r="D81">
        <v>3.465</v>
      </c>
      <c r="E81" s="2">
        <v>26736925163.52</v>
      </c>
      <c r="F81" t="s">
        <v>1499</v>
      </c>
      <c r="G81">
        <v>510.71</v>
      </c>
      <c r="H81">
        <v>2.149</v>
      </c>
      <c r="I81">
        <v>2.889</v>
      </c>
    </row>
    <row r="82" spans="1:13">
      <c r="A82" s="1" t="s">
        <v>1500</v>
      </c>
      <c r="B82" s="1">
        <v>13.83</v>
      </c>
      <c r="C82" s="1">
        <v>10.36</v>
      </c>
      <c r="D82" s="1">
        <v>33.98</v>
      </c>
      <c r="E82" s="3">
        <v>42341030340</v>
      </c>
      <c r="F82" s="1" t="s">
        <v>1501</v>
      </c>
      <c r="G82" s="1">
        <v>2.57</v>
      </c>
      <c r="H82" s="1">
        <v>6.2742</v>
      </c>
      <c r="I82" s="1">
        <v>17.9428</v>
      </c>
      <c r="J82" s="1">
        <v>17.9428</v>
      </c>
      <c r="K82" s="1"/>
      <c r="L82" s="1"/>
      <c r="M82" s="1">
        <v>1</v>
      </c>
    </row>
    <row r="83" spans="1:10">
      <c r="A83" t="s">
        <v>1502</v>
      </c>
      <c r="B83">
        <v>37.22</v>
      </c>
      <c r="C83">
        <v>22.6</v>
      </c>
      <c r="D83">
        <v>269.5</v>
      </c>
      <c r="E83" s="2">
        <v>30369295515</v>
      </c>
      <c r="F83" t="s">
        <v>1503</v>
      </c>
      <c r="G83">
        <v>23.67</v>
      </c>
      <c r="H83">
        <v>11.614</v>
      </c>
      <c r="I83">
        <v>119.2124</v>
      </c>
      <c r="J83">
        <v>119.2124</v>
      </c>
    </row>
    <row r="84" spans="1:10">
      <c r="A84" t="s">
        <v>1504</v>
      </c>
      <c r="B84">
        <v>58.91</v>
      </c>
      <c r="C84">
        <v>33.6</v>
      </c>
      <c r="D84">
        <v>179.8</v>
      </c>
      <c r="E84" s="2">
        <v>34745363323.2</v>
      </c>
      <c r="F84" t="s">
        <v>1505</v>
      </c>
      <c r="G84">
        <v>16.66</v>
      </c>
      <c r="H84">
        <v>17.8248</v>
      </c>
      <c r="I84">
        <v>96.3756</v>
      </c>
      <c r="J84">
        <v>89.7809</v>
      </c>
    </row>
    <row r="85" spans="1:10">
      <c r="A85" t="s">
        <v>1506</v>
      </c>
      <c r="B85">
        <v>15.38</v>
      </c>
      <c r="C85">
        <v>11.9</v>
      </c>
      <c r="D85">
        <v>21.42</v>
      </c>
      <c r="E85" s="2">
        <v>294739649537.97</v>
      </c>
      <c r="F85" t="s">
        <v>1507</v>
      </c>
      <c r="G85">
        <v>0.97</v>
      </c>
      <c r="H85">
        <v>2.0132</v>
      </c>
      <c r="I85">
        <v>6.2527</v>
      </c>
      <c r="J85">
        <v>5.8883</v>
      </c>
    </row>
    <row r="86" spans="1:10">
      <c r="A86" t="s">
        <v>1508</v>
      </c>
      <c r="B86">
        <v>31.8</v>
      </c>
      <c r="C86">
        <v>24.65</v>
      </c>
      <c r="D86">
        <v>94.3</v>
      </c>
      <c r="E86" s="2">
        <v>586064539604.6</v>
      </c>
      <c r="F86" t="s">
        <v>800</v>
      </c>
      <c r="G86">
        <v>1.75</v>
      </c>
      <c r="H86">
        <v>0.9453</v>
      </c>
      <c r="I86">
        <v>10.8124</v>
      </c>
      <c r="J86">
        <v>10.8124</v>
      </c>
    </row>
    <row r="87" spans="1:10">
      <c r="A87" t="s">
        <v>1509</v>
      </c>
      <c r="B87">
        <v>16.78</v>
      </c>
      <c r="C87">
        <v>11.95</v>
      </c>
      <c r="D87">
        <v>34.31</v>
      </c>
      <c r="E87" s="2">
        <v>121695441912</v>
      </c>
      <c r="F87" t="s">
        <v>1510</v>
      </c>
      <c r="G87">
        <v>1.58</v>
      </c>
      <c r="H87">
        <v>4.9141</v>
      </c>
      <c r="I87">
        <v>27.1262</v>
      </c>
      <c r="J87">
        <v>11.6112</v>
      </c>
    </row>
    <row r="88" spans="1:9">
      <c r="A88" t="s">
        <v>1511</v>
      </c>
      <c r="B88">
        <v>24.51</v>
      </c>
      <c r="C88">
        <v>17.81</v>
      </c>
      <c r="D88">
        <v>80.6</v>
      </c>
      <c r="E88" s="2">
        <v>21850367779.24</v>
      </c>
      <c r="F88" t="s">
        <v>1512</v>
      </c>
      <c r="G88">
        <v>17.72</v>
      </c>
      <c r="H88">
        <v>120.4706</v>
      </c>
      <c r="I88">
        <v>874.8094</v>
      </c>
    </row>
    <row r="89" spans="1:10">
      <c r="A89" t="s">
        <v>1513</v>
      </c>
      <c r="B89">
        <v>16.78</v>
      </c>
      <c r="C89">
        <v>13.05</v>
      </c>
      <c r="D89">
        <v>39</v>
      </c>
      <c r="E89" s="2">
        <v>17956300585.15</v>
      </c>
      <c r="F89" t="s">
        <v>1514</v>
      </c>
      <c r="G89">
        <v>12.6</v>
      </c>
      <c r="H89">
        <v>1.7393</v>
      </c>
      <c r="I89">
        <v>126.0767</v>
      </c>
      <c r="J89">
        <v>119.6876</v>
      </c>
    </row>
    <row r="90" spans="1:10">
      <c r="A90" t="s">
        <v>1515</v>
      </c>
      <c r="B90">
        <v>19.22</v>
      </c>
      <c r="C90">
        <v>15.72</v>
      </c>
      <c r="D90">
        <v>66.1</v>
      </c>
      <c r="E90" s="2">
        <v>115622347475.16</v>
      </c>
      <c r="F90" t="s">
        <v>1516</v>
      </c>
      <c r="G90">
        <v>2.57</v>
      </c>
      <c r="H90">
        <v>0.9566</v>
      </c>
      <c r="I90">
        <v>8.1682</v>
      </c>
      <c r="J90">
        <v>8.0966</v>
      </c>
    </row>
    <row r="91" spans="1:10">
      <c r="A91" t="s">
        <v>1517</v>
      </c>
      <c r="B91">
        <v>11.53</v>
      </c>
      <c r="C91">
        <v>10.04</v>
      </c>
      <c r="D91">
        <v>23.54</v>
      </c>
      <c r="E91" s="2">
        <v>86012452697.5</v>
      </c>
      <c r="F91" t="s">
        <v>1518</v>
      </c>
      <c r="G91">
        <v>2.92</v>
      </c>
      <c r="H91">
        <v>0.7003</v>
      </c>
      <c r="I91">
        <v>99.2167</v>
      </c>
      <c r="J91">
        <v>43.8568</v>
      </c>
    </row>
    <row r="92" spans="1:10">
      <c r="A92" t="s">
        <v>1519</v>
      </c>
      <c r="B92">
        <v>24.88</v>
      </c>
      <c r="C92">
        <v>9.45</v>
      </c>
      <c r="D92">
        <v>36.6</v>
      </c>
      <c r="E92" s="2">
        <v>14837925385.64</v>
      </c>
      <c r="F92" t="s">
        <v>1520</v>
      </c>
      <c r="G92">
        <v>20.65</v>
      </c>
      <c r="H92">
        <v>34.639</v>
      </c>
      <c r="I92">
        <v>1152.5406</v>
      </c>
      <c r="J92">
        <v>130.9969</v>
      </c>
    </row>
    <row r="93" spans="1:10">
      <c r="A93" t="s">
        <v>1521</v>
      </c>
      <c r="B93">
        <v>35.8</v>
      </c>
      <c r="C93">
        <v>16.29</v>
      </c>
      <c r="D93">
        <v>44.1</v>
      </c>
      <c r="E93" s="2">
        <v>31285695000</v>
      </c>
      <c r="F93" t="s">
        <v>1522</v>
      </c>
      <c r="G93">
        <v>11.32</v>
      </c>
      <c r="H93">
        <v>16.5929</v>
      </c>
      <c r="I93">
        <v>831.1528</v>
      </c>
      <c r="J93">
        <v>91.4725</v>
      </c>
    </row>
    <row r="94" spans="1:10">
      <c r="A94" t="s">
        <v>1523</v>
      </c>
      <c r="B94">
        <v>27.93</v>
      </c>
      <c r="C94">
        <v>23.36</v>
      </c>
      <c r="D94">
        <v>68.84</v>
      </c>
      <c r="E94" s="2">
        <v>36082937121.63</v>
      </c>
      <c r="F94" t="s">
        <v>1524</v>
      </c>
      <c r="G94">
        <v>5.76</v>
      </c>
      <c r="H94">
        <v>14.4286</v>
      </c>
      <c r="I94">
        <v>84.8422</v>
      </c>
      <c r="J94">
        <v>89.095</v>
      </c>
    </row>
    <row r="95" spans="1:10">
      <c r="A95" t="s">
        <v>1525</v>
      </c>
      <c r="B95">
        <v>19.5</v>
      </c>
      <c r="C95">
        <v>8.41</v>
      </c>
      <c r="D95">
        <v>30.5</v>
      </c>
      <c r="E95" s="2">
        <v>14522477640</v>
      </c>
      <c r="F95" t="s">
        <v>1526</v>
      </c>
      <c r="G95">
        <v>5.62</v>
      </c>
      <c r="H95">
        <v>4.7467</v>
      </c>
      <c r="I95">
        <v>102.3385</v>
      </c>
      <c r="J95">
        <v>102.3385</v>
      </c>
    </row>
    <row r="96" spans="1:9">
      <c r="A96" t="s">
        <v>1527</v>
      </c>
      <c r="B96">
        <v>26.9</v>
      </c>
      <c r="C96">
        <v>20.1</v>
      </c>
      <c r="D96">
        <v>44.88</v>
      </c>
      <c r="E96" s="2">
        <v>9943500000</v>
      </c>
      <c r="F96" t="s">
        <v>1528</v>
      </c>
      <c r="G96">
        <v>5.25</v>
      </c>
      <c r="H96">
        <v>5.1989</v>
      </c>
      <c r="I96">
        <v>175.3093</v>
      </c>
    </row>
    <row r="97" spans="1:10">
      <c r="A97" t="s">
        <v>1529</v>
      </c>
      <c r="B97">
        <v>19.89</v>
      </c>
      <c r="C97">
        <v>14.41</v>
      </c>
      <c r="D97">
        <v>60.4</v>
      </c>
      <c r="E97" s="2">
        <v>14945248237.08</v>
      </c>
      <c r="F97" t="s">
        <v>1530</v>
      </c>
      <c r="G97">
        <v>7.48</v>
      </c>
      <c r="H97">
        <v>18.1624</v>
      </c>
      <c r="I97">
        <v>227.805</v>
      </c>
      <c r="J97">
        <v>165.1178</v>
      </c>
    </row>
    <row r="98" spans="1:10">
      <c r="A98" t="s">
        <v>1531</v>
      </c>
      <c r="B98">
        <v>34.49</v>
      </c>
      <c r="C98">
        <v>18.7</v>
      </c>
      <c r="D98">
        <v>55.02</v>
      </c>
      <c r="E98" s="2">
        <v>10734986079</v>
      </c>
      <c r="F98" t="s">
        <v>1532</v>
      </c>
      <c r="G98">
        <v>10.88</v>
      </c>
      <c r="H98">
        <v>32.2591</v>
      </c>
      <c r="I98">
        <v>200.2619</v>
      </c>
      <c r="J98">
        <v>200.2619</v>
      </c>
    </row>
    <row r="99" spans="1:10">
      <c r="A99" t="s">
        <v>1533</v>
      </c>
      <c r="B99">
        <v>45.75</v>
      </c>
      <c r="C99">
        <v>25.68</v>
      </c>
      <c r="D99">
        <v>147.4</v>
      </c>
      <c r="E99" s="2">
        <v>23608619266.2</v>
      </c>
      <c r="F99" t="s">
        <v>1534</v>
      </c>
      <c r="G99">
        <v>27.24</v>
      </c>
      <c r="H99">
        <v>45.3124</v>
      </c>
      <c r="I99">
        <v>852.707</v>
      </c>
      <c r="J99">
        <v>361.6883</v>
      </c>
    </row>
    <row r="100" spans="1:10">
      <c r="A100" t="s">
        <v>1535</v>
      </c>
      <c r="B100">
        <v>11.32</v>
      </c>
      <c r="C100">
        <v>8.02</v>
      </c>
      <c r="D100">
        <v>20.35</v>
      </c>
      <c r="E100" s="2">
        <v>3627360000</v>
      </c>
      <c r="F100" t="s">
        <v>1536</v>
      </c>
      <c r="G100">
        <v>6.05</v>
      </c>
      <c r="H100">
        <v>5.9715</v>
      </c>
      <c r="I100">
        <v>163.864</v>
      </c>
      <c r="J100">
        <v>163.864</v>
      </c>
    </row>
    <row r="101" spans="1:10">
      <c r="A101" t="s">
        <v>1537</v>
      </c>
      <c r="B101">
        <v>28.41</v>
      </c>
      <c r="C101">
        <v>14.5</v>
      </c>
      <c r="D101">
        <v>62.2</v>
      </c>
      <c r="E101" s="2">
        <v>17122504834.44</v>
      </c>
      <c r="F101" t="s">
        <v>1538</v>
      </c>
      <c r="G101">
        <v>11.74</v>
      </c>
      <c r="H101">
        <v>19.9589</v>
      </c>
      <c r="I101">
        <v>125.2664</v>
      </c>
      <c r="J101">
        <v>125.2664</v>
      </c>
    </row>
    <row r="102" spans="1:10">
      <c r="A102" t="s">
        <v>1539</v>
      </c>
      <c r="B102">
        <v>31.7</v>
      </c>
      <c r="C102">
        <v>25.68</v>
      </c>
      <c r="D102">
        <v>206.8</v>
      </c>
      <c r="E102" s="2">
        <v>18424737598</v>
      </c>
      <c r="F102" t="s">
        <v>1540</v>
      </c>
      <c r="G102">
        <v>20.96</v>
      </c>
      <c r="H102">
        <v>28.4641</v>
      </c>
      <c r="I102">
        <v>152.3063</v>
      </c>
      <c r="J102">
        <v>129.893</v>
      </c>
    </row>
    <row r="103" spans="1:10">
      <c r="A103" t="s">
        <v>1541</v>
      </c>
      <c r="B103">
        <v>103.25</v>
      </c>
      <c r="C103">
        <v>59.67</v>
      </c>
      <c r="D103">
        <v>251.6</v>
      </c>
      <c r="E103" s="2">
        <v>12174000000</v>
      </c>
      <c r="F103" t="s">
        <v>1542</v>
      </c>
      <c r="G103">
        <v>25.9</v>
      </c>
      <c r="H103">
        <v>37.2823</v>
      </c>
      <c r="I103">
        <v>263.6803</v>
      </c>
      <c r="J103">
        <v>260.3518</v>
      </c>
    </row>
    <row r="104" spans="1:10">
      <c r="A104" t="s">
        <v>1543</v>
      </c>
      <c r="B104">
        <v>38.67</v>
      </c>
      <c r="C104">
        <v>21.4</v>
      </c>
      <c r="D104">
        <v>246.79</v>
      </c>
      <c r="E104" s="2">
        <v>14755930811.58</v>
      </c>
      <c r="F104" t="s">
        <v>1544</v>
      </c>
      <c r="G104">
        <v>10.02</v>
      </c>
      <c r="H104">
        <v>19.9721</v>
      </c>
      <c r="I104">
        <v>102.1147</v>
      </c>
      <c r="J104">
        <v>106.1728</v>
      </c>
    </row>
    <row r="105" spans="1:10">
      <c r="A105" t="s">
        <v>1545</v>
      </c>
      <c r="B105">
        <v>126</v>
      </c>
      <c r="C105">
        <v>13.39</v>
      </c>
      <c r="D105">
        <v>167.87</v>
      </c>
      <c r="E105" s="2">
        <v>8419472000</v>
      </c>
      <c r="F105" t="s">
        <v>1546</v>
      </c>
      <c r="G105">
        <v>27.99</v>
      </c>
      <c r="H105">
        <v>20.1961</v>
      </c>
      <c r="I105">
        <v>238.2466</v>
      </c>
      <c r="J105">
        <v>201.2083</v>
      </c>
    </row>
  </sheetData>
  <autoFilter ref="A1:M105"/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Microsoft</Company>
  <Application>Microsoft Excel</Application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PE</vt:lpstr>
      <vt:lpstr>Sheet2</vt:lpstr>
      <vt:lpstr>mg</vt:lpstr>
      <vt:lpstr>Chart1</vt:lpstr>
      <vt:lpstr>Sheet1</vt:lpstr>
      <vt:lpstr>bkNogg</vt:lpstr>
      <vt:lpstr>2016-02-16</vt:lpstr>
      <vt:lpstr>有差距</vt:lpstr>
      <vt:lpstr>mine</vt:lpstr>
      <vt:lpstr>点子评估</vt:lpstr>
      <vt:lpstr>static</vt:lpstr>
      <vt:lpstr>newadd</vt:lpstr>
      <vt:lpstr>newadd2</vt:lpstr>
      <vt:lpstr>newadd3</vt:lpstr>
      <vt:lpstr>all</vt:lpstr>
      <vt:lpstr>newadd4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dragonriver</dc:creator>
  <cp:lastModifiedBy>longjiangsu</cp:lastModifiedBy>
  <dcterms:created xsi:type="dcterms:W3CDTF">2016-01-24T12:42:00Z</dcterms:created>
  <dcterms:modified xsi:type="dcterms:W3CDTF">2016-11-18T12:18:04Z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